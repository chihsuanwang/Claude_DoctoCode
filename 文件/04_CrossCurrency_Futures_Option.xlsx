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文件\"/>
    </mc:Choice>
  </mc:AlternateContent>
  <xr:revisionPtr revIDLastSave="0" documentId="13_ncr:1_{31A7EF61-B244-4F5E-BF4C-13F0C2A6D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ss-Currency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0" i="1"/>
  <c r="C27" i="1"/>
  <c r="C26" i="1"/>
  <c r="C25" i="1"/>
  <c r="C22" i="1"/>
  <c r="C17" i="1"/>
  <c r="C20" i="1" s="1"/>
  <c r="C21" i="1" s="1"/>
  <c r="C16" i="1"/>
  <c r="C31" i="1" l="1"/>
</calcChain>
</file>

<file path=xl/sharedStrings.xml><?xml version="1.0" encoding="utf-8"?>
<sst xmlns="http://schemas.openxmlformats.org/spreadsheetml/2006/main" count="84" uniqueCount="77">
  <si>
    <t>Cross-Currency Futures Option  （跨幣種選擇權）</t>
  </si>
  <si>
    <t>Payoff（payoff ccy）= max(F_T/X_T − K, 0)，Effective Vol σ_Z = √(σ²+σ_X²+2ρσσ_X)，Z₀ = F/X₀</t>
  </si>
  <si>
    <t>▌ INPUT PARAMETERS  （黃色格可修改）</t>
  </si>
  <si>
    <t>Futures Price (underlier currency)</t>
  </si>
  <si>
    <t>F</t>
  </si>
  <si>
    <t>USD</t>
  </si>
  <si>
    <t>如 S&amp;P 500 期貨</t>
  </si>
  <si>
    <t>Strike (payoff currency)</t>
  </si>
  <si>
    <t>K</t>
  </si>
  <si>
    <t>EUR</t>
  </si>
  <si>
    <t>執行價為 payoff 幣種</t>
  </si>
  <si>
    <t>Payoff Currency Risk-Free Rate</t>
  </si>
  <si>
    <t>r_d</t>
  </si>
  <si>
    <t>decimal</t>
  </si>
  <si>
    <t>EUR 利率</t>
  </si>
  <si>
    <t>Time to Expiry</t>
  </si>
  <si>
    <t>T</t>
  </si>
  <si>
    <t>Years</t>
  </si>
  <si>
    <t>Underlying Volatility</t>
  </si>
  <si>
    <t>σ</t>
  </si>
  <si>
    <t>FX Rate Volatility  σ_X</t>
  </si>
  <si>
    <t>σ_X</t>
  </si>
  <si>
    <t>USD/EUR FX vol</t>
  </si>
  <si>
    <t>Correlation  ρ(F, 1/X)</t>
  </si>
  <si>
    <t>ρ</t>
  </si>
  <si>
    <t>F 與 1/X（ρ 同號代表強化）</t>
  </si>
  <si>
    <t>Spot FX Rate  X₀ (payoff/underlier)</t>
  </si>
  <si>
    <t>X₀</t>
  </si>
  <si>
    <t>EUR/USD</t>
  </si>
  <si>
    <t>今日即期匯率</t>
  </si>
  <si>
    <t>▌ EFFECTIVE VOLATILITY  σ_Z = √(σ²+σ_X²+2ρσσ_X)</t>
  </si>
  <si>
    <t xml:space="preserve">  期貨價格（underlier ccy）÷ FX rate = 期貨價格（payoff ccy）；其波動度由 σ、σ_X、ρ 合成</t>
  </si>
  <si>
    <t>Effective Volatility  σ_Z = √(σ²+σ_X²+2ρ·σ·σ_X)</t>
  </si>
  <si>
    <t>σ_Z</t>
  </si>
  <si>
    <t>Futures Price in Payoff Ccy  Z₀ = F / X₀</t>
  </si>
  <si>
    <t>Z₀</t>
  </si>
  <si>
    <t>▌ BLACK-76 ON Z₀  (payoff currency)</t>
  </si>
  <si>
    <t>d₁  (using Z₀ &amp; σ_Z)</t>
  </si>
  <si>
    <t>d₁</t>
  </si>
  <si>
    <t>d₂</t>
  </si>
  <si>
    <t>Discount Factor</t>
  </si>
  <si>
    <t>e^(−r_d·T)</t>
  </si>
  <si>
    <t>▌ CROSS-CURRENCY OPTION PRICES  （in payoff currency）</t>
  </si>
  <si>
    <t>Cross-Ccy Call  = e^(−r_d·T)·[Z₀·N(d₁) − K·N(d₂)]</t>
  </si>
  <si>
    <t>C_X</t>
  </si>
  <si>
    <t>Cross-Ccy Put   = e^(−r_d·T)·[K·N(−d₂) − Z₀·N(−d₁)]</t>
  </si>
  <si>
    <t>P_X</t>
  </si>
  <si>
    <t>Put-Call Parity Check  [C_X − P_X − e^(−r_d·T)(Z₀−K)]</t>
  </si>
  <si>
    <t>✓</t>
  </si>
  <si>
    <t>≈ 0</t>
  </si>
  <si>
    <t>▌ CROSS-CURRENCY GREEKS  (per unit)</t>
  </si>
  <si>
    <t>Delta in Payoff Ccy  ∂C_X/∂Z₀ = e^(−r_d·T)·N(d₁)</t>
  </si>
  <si>
    <t>Δ_Z</t>
  </si>
  <si>
    <t>Delta in Underlier Ccy  ∂C_X/∂F = Δ_Z / X₀</t>
  </si>
  <si>
    <t>Δ_F</t>
  </si>
  <si>
    <t>per USD</t>
  </si>
  <si>
    <t>Effective Vega  (per 1% σ_Z)</t>
  </si>
  <si>
    <t>ν_Z</t>
  </si>
  <si>
    <t>EUR/1%σ</t>
  </si>
  <si>
    <t>▌ EFFECTIVE VOL TABLE — σ_X vs ρ  (σ=20%)</t>
  </si>
  <si>
    <t>σ_X \ ρ</t>
  </si>
  <si>
    <t>ρ=-0.5</t>
  </si>
  <si>
    <t>ρ=-0.3</t>
  </si>
  <si>
    <t>ρ=+0.0</t>
  </si>
  <si>
    <t>ρ=+0.3</t>
  </si>
  <si>
    <t>ρ=+0.5</t>
  </si>
  <si>
    <t>5%</t>
  </si>
  <si>
    <t>10%</t>
  </si>
  <si>
    <t>15%</t>
  </si>
  <si>
    <t>20%</t>
  </si>
  <si>
    <t>25%</t>
  </si>
  <si>
    <t>▌ PRICE TABLE — Cross-Ccy Call vs Z₀ and σ_Z</t>
  </si>
  <si>
    <t>Z₀ \ σ_Z</t>
  </si>
  <si>
    <t>σ_Z=15%</t>
  </si>
  <si>
    <t>σ_Z=20%</t>
  </si>
  <si>
    <t>σ_Z=25%</t>
  </si>
  <si>
    <t>σ_Z=30%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</si>
</sst>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5" x14ac:knownFonts="1">
    <font>
      <sz val="11"/>
      <color theme="1"/>
      <name val="新細明體"/>
      <family val="2"/>
      <scheme val="minor"/>
    </font>
    <font>
      <b/>
      <sz val="14"/>
      <color rgb="FFFFFFFF"/>
      <name val="微軟正黑體"/>
      <family val="2"/>
      <charset val="136"/>
    </font>
    <font>
      <i/>
      <sz val="9"/>
      <color rgb="FF444444"/>
      <name val="微軟正黑體"/>
      <family val="2"/>
      <charset val="136"/>
    </font>
    <font>
      <b/>
      <sz val="10"/>
      <color rgb="FF1F497D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0"/>
      <color rgb="FF1F497D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9"/>
      <color rgb="FF666666"/>
      <name val="微軟正黑體"/>
      <family val="2"/>
      <charset val="136"/>
    </font>
    <font>
      <i/>
      <sz val="9"/>
      <color rgb="FF888888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9"/>
      <color rgb="FFFFFFFF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8F0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/>
    <xf numFmtId="0" fontId="8" fillId="0" borderId="0" xfId="0" applyFont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0" fontId="10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6" borderId="1" xfId="0" applyFont="1" applyFill="1" applyBorder="1"/>
    <xf numFmtId="10" fontId="13" fillId="8" borderId="1" xfId="0" applyNumberFormat="1" applyFont="1" applyFill="1" applyBorder="1"/>
    <xf numFmtId="10" fontId="13" fillId="6" borderId="1" xfId="0" applyNumberFormat="1" applyFont="1" applyFill="1" applyBorder="1"/>
    <xf numFmtId="4" fontId="13" fillId="8" borderId="1" xfId="0" applyNumberFormat="1" applyFont="1" applyFill="1" applyBorder="1"/>
    <xf numFmtId="4" fontId="13" fillId="6" borderId="1" xfId="0" applyNumberFormat="1" applyFont="1" applyFill="1" applyBorder="1"/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9" workbookViewId="0">
      <selection activeCell="I44" sqref="I44"/>
    </sheetView>
  </sheetViews>
  <sheetFormatPr defaultRowHeight="15.75" x14ac:dyDescent="0.25"/>
  <cols>
    <col min="1" max="1" width="40" customWidth="1"/>
    <col min="2" max="2" width="10" customWidth="1"/>
    <col min="3" max="3" width="16" customWidth="1"/>
    <col min="4" max="4" width="14" customWidth="1"/>
    <col min="5" max="5" width="44" customWidth="1"/>
  </cols>
  <sheetData>
    <row r="1" spans="1:6" ht="30" customHeight="1" x14ac:dyDescent="0.25">
      <c r="A1" s="24" t="s">
        <v>0</v>
      </c>
      <c r="B1" s="21"/>
      <c r="C1" s="21"/>
      <c r="D1" s="21"/>
      <c r="E1" s="21"/>
      <c r="F1" s="21"/>
    </row>
    <row r="2" spans="1:6" x14ac:dyDescent="0.25">
      <c r="A2" s="22" t="s">
        <v>1</v>
      </c>
      <c r="B2" s="21"/>
      <c r="C2" s="21"/>
      <c r="D2" s="21"/>
      <c r="E2" s="21"/>
      <c r="F2" s="21"/>
    </row>
    <row r="4" spans="1:6" ht="18" customHeight="1" x14ac:dyDescent="0.25">
      <c r="A4" s="20" t="s">
        <v>2</v>
      </c>
      <c r="B4" s="21"/>
      <c r="C4" s="21"/>
      <c r="D4" s="21"/>
      <c r="E4" s="21"/>
      <c r="F4" s="21"/>
    </row>
    <row r="5" spans="1:6" x14ac:dyDescent="0.25">
      <c r="A5" s="1" t="s">
        <v>3</v>
      </c>
      <c r="B5" s="2" t="s">
        <v>4</v>
      </c>
      <c r="C5" s="3">
        <v>4200</v>
      </c>
      <c r="D5" s="4" t="s">
        <v>5</v>
      </c>
      <c r="E5" s="5" t="s">
        <v>6</v>
      </c>
    </row>
    <row r="6" spans="1:6" x14ac:dyDescent="0.25">
      <c r="A6" s="1" t="s">
        <v>7</v>
      </c>
      <c r="B6" s="2" t="s">
        <v>8</v>
      </c>
      <c r="C6" s="3">
        <v>3600</v>
      </c>
      <c r="D6" s="4" t="s">
        <v>9</v>
      </c>
      <c r="E6" s="5" t="s">
        <v>10</v>
      </c>
    </row>
    <row r="7" spans="1:6" x14ac:dyDescent="0.25">
      <c r="A7" s="1" t="s">
        <v>11</v>
      </c>
      <c r="B7" s="2" t="s">
        <v>12</v>
      </c>
      <c r="C7" s="3">
        <v>0.04</v>
      </c>
      <c r="D7" s="4" t="s">
        <v>13</v>
      </c>
      <c r="E7" s="5" t="s">
        <v>14</v>
      </c>
    </row>
    <row r="8" spans="1:6" x14ac:dyDescent="0.25">
      <c r="A8" s="1" t="s">
        <v>15</v>
      </c>
      <c r="B8" s="2" t="s">
        <v>16</v>
      </c>
      <c r="C8" s="3">
        <v>0.5</v>
      </c>
      <c r="D8" s="4" t="s">
        <v>17</v>
      </c>
    </row>
    <row r="9" spans="1:6" x14ac:dyDescent="0.25">
      <c r="A9" s="1" t="s">
        <v>18</v>
      </c>
      <c r="B9" s="2" t="s">
        <v>19</v>
      </c>
      <c r="C9" s="3">
        <v>0.2</v>
      </c>
      <c r="D9" s="4" t="s">
        <v>13</v>
      </c>
    </row>
    <row r="10" spans="1:6" x14ac:dyDescent="0.25">
      <c r="A10" s="1" t="s">
        <v>20</v>
      </c>
      <c r="B10" s="2" t="s">
        <v>21</v>
      </c>
      <c r="C10" s="3">
        <v>0.1</v>
      </c>
      <c r="D10" s="4" t="s">
        <v>13</v>
      </c>
      <c r="E10" s="5" t="s">
        <v>22</v>
      </c>
    </row>
    <row r="11" spans="1:6" x14ac:dyDescent="0.25">
      <c r="A11" s="1" t="s">
        <v>23</v>
      </c>
      <c r="B11" s="2" t="s">
        <v>24</v>
      </c>
      <c r="C11" s="3">
        <v>0.3</v>
      </c>
      <c r="D11" s="4"/>
      <c r="E11" s="5" t="s">
        <v>25</v>
      </c>
    </row>
    <row r="12" spans="1:6" x14ac:dyDescent="0.25">
      <c r="A12" s="1" t="s">
        <v>26</v>
      </c>
      <c r="B12" s="2" t="s">
        <v>27</v>
      </c>
      <c r="C12" s="3">
        <v>0.92</v>
      </c>
      <c r="D12" s="4" t="s">
        <v>28</v>
      </c>
      <c r="E12" s="5" t="s">
        <v>29</v>
      </c>
    </row>
    <row r="14" spans="1:6" ht="18" customHeight="1" x14ac:dyDescent="0.25">
      <c r="A14" s="20" t="s">
        <v>30</v>
      </c>
      <c r="B14" s="21"/>
      <c r="C14" s="21"/>
      <c r="D14" s="21"/>
      <c r="E14" s="21"/>
      <c r="F14" s="21"/>
    </row>
    <row r="15" spans="1:6" x14ac:dyDescent="0.25">
      <c r="A15" s="23" t="s">
        <v>31</v>
      </c>
      <c r="B15" s="21"/>
      <c r="C15" s="21"/>
      <c r="D15" s="21"/>
      <c r="E15" s="21"/>
    </row>
    <row r="16" spans="1:6" x14ac:dyDescent="0.25">
      <c r="A16" s="6" t="s">
        <v>32</v>
      </c>
      <c r="B16" s="7" t="s">
        <v>33</v>
      </c>
      <c r="C16" s="8">
        <f>SQRT(C9^2+C10^2+2*C11*C9*C10)</f>
        <v>0.24899799195977468</v>
      </c>
      <c r="D16" s="9" t="s">
        <v>13</v>
      </c>
    </row>
    <row r="17" spans="1:6" x14ac:dyDescent="0.25">
      <c r="A17" s="6" t="s">
        <v>34</v>
      </c>
      <c r="B17" s="7" t="s">
        <v>35</v>
      </c>
      <c r="C17" s="8">
        <f>C5/C12</f>
        <v>4565.217391304348</v>
      </c>
      <c r="D17" s="9" t="s">
        <v>9</v>
      </c>
    </row>
    <row r="19" spans="1:6" ht="18" customHeight="1" x14ac:dyDescent="0.25">
      <c r="A19" s="20" t="s">
        <v>36</v>
      </c>
      <c r="B19" s="21"/>
      <c r="C19" s="21"/>
      <c r="D19" s="21"/>
      <c r="E19" s="21"/>
      <c r="F19" s="21"/>
    </row>
    <row r="20" spans="1:6" x14ac:dyDescent="0.25">
      <c r="A20" s="6" t="s">
        <v>37</v>
      </c>
      <c r="B20" s="7" t="s">
        <v>38</v>
      </c>
      <c r="C20" s="8">
        <f>(LN(C17/C6)+0.5*C16^2*C8)/(C16*SQRT(C8))</f>
        <v>1.4371268285144603</v>
      </c>
      <c r="D20" s="9"/>
    </row>
    <row r="21" spans="1:6" x14ac:dyDescent="0.25">
      <c r="A21" s="6" t="s">
        <v>39</v>
      </c>
      <c r="B21" s="7" t="s">
        <v>39</v>
      </c>
      <c r="C21" s="8">
        <f>C20-C16*SQRT(C8)</f>
        <v>1.2610586598978701</v>
      </c>
      <c r="D21" s="9"/>
    </row>
    <row r="22" spans="1:6" x14ac:dyDescent="0.25">
      <c r="A22" s="6" t="s">
        <v>40</v>
      </c>
      <c r="B22" s="7" t="s">
        <v>41</v>
      </c>
      <c r="C22" s="8">
        <f>EXP(-C7*C8)</f>
        <v>0.98019867330675525</v>
      </c>
      <c r="D22" s="9"/>
    </row>
    <row r="24" spans="1:6" ht="18" customHeight="1" x14ac:dyDescent="0.25">
      <c r="A24" s="20" t="s">
        <v>42</v>
      </c>
      <c r="B24" s="21"/>
      <c r="C24" s="21"/>
      <c r="D24" s="21"/>
      <c r="E24" s="21"/>
      <c r="F24" s="21"/>
    </row>
    <row r="25" spans="1:6" x14ac:dyDescent="0.25">
      <c r="A25" s="10" t="s">
        <v>43</v>
      </c>
      <c r="B25" s="11" t="s">
        <v>44</v>
      </c>
      <c r="C25" s="12">
        <f>C22*(C17*_xlfn.SINGLE(_xlfn.NORM.S.DIST(C20,TRUE))-C6*_xlfn.SINGLE(_xlfn.NORM.S.DIST(C21,TRUE)))</f>
        <v>974.69713663829884</v>
      </c>
      <c r="D25" s="13" t="s">
        <v>9</v>
      </c>
    </row>
    <row r="26" spans="1:6" x14ac:dyDescent="0.25">
      <c r="A26" s="10" t="s">
        <v>45</v>
      </c>
      <c r="B26" s="11" t="s">
        <v>46</v>
      </c>
      <c r="C26" s="12">
        <f>C22*(C6*_xlfn.SINGLE(_xlfn.NORM.S.DIST(-C21,TRUE))-C17*_xlfn.SINGLE(_xlfn.NORM.S.DIST(-C20,TRUE)))</f>
        <v>28.592330229170024</v>
      </c>
      <c r="D26" s="13" t="s">
        <v>9</v>
      </c>
    </row>
    <row r="27" spans="1:6" x14ac:dyDescent="0.25">
      <c r="A27" s="6" t="s">
        <v>47</v>
      </c>
      <c r="B27" s="7" t="s">
        <v>48</v>
      </c>
      <c r="C27" s="8">
        <f>C25-C26-C22*(C17-C6)</f>
        <v>0</v>
      </c>
      <c r="D27" s="9" t="s">
        <v>49</v>
      </c>
    </row>
    <row r="29" spans="1:6" ht="18" customHeight="1" x14ac:dyDescent="0.25">
      <c r="A29" s="20" t="s">
        <v>50</v>
      </c>
      <c r="B29" s="21"/>
      <c r="C29" s="21"/>
      <c r="D29" s="21"/>
      <c r="E29" s="21"/>
      <c r="F29" s="21"/>
    </row>
    <row r="30" spans="1:6" x14ac:dyDescent="0.25">
      <c r="A30" s="6" t="s">
        <v>51</v>
      </c>
      <c r="B30" s="7" t="s">
        <v>52</v>
      </c>
      <c r="C30" s="8">
        <f>C22*_xlfn.SINGLE(_xlfn.NORM.S.DIST(C20,TRUE))</f>
        <v>0.90634954499282849</v>
      </c>
      <c r="D30" s="9"/>
    </row>
    <row r="31" spans="1:6" x14ac:dyDescent="0.25">
      <c r="A31" s="6" t="s">
        <v>53</v>
      </c>
      <c r="B31" s="7" t="s">
        <v>54</v>
      </c>
      <c r="C31" s="8">
        <f>C30/C12</f>
        <v>0.98516254890524835</v>
      </c>
      <c r="D31" s="9" t="s">
        <v>55</v>
      </c>
    </row>
    <row r="32" spans="1:6" x14ac:dyDescent="0.25">
      <c r="A32" s="6" t="s">
        <v>56</v>
      </c>
      <c r="B32" s="7" t="s">
        <v>57</v>
      </c>
      <c r="C32" s="8">
        <f>C17*C22*_xlfn.SINGLE(_xlfn.NORM.S.DIST(C20,FALSE))*SQRT(C8)*0.01</f>
        <v>4.494580524580841</v>
      </c>
      <c r="D32" s="9" t="s">
        <v>58</v>
      </c>
    </row>
    <row r="34" spans="1:6" ht="18" customHeight="1" x14ac:dyDescent="0.25">
      <c r="A34" s="20" t="s">
        <v>59</v>
      </c>
      <c r="B34" s="21"/>
      <c r="C34" s="21"/>
      <c r="D34" s="21"/>
      <c r="E34" s="21"/>
      <c r="F34" s="21"/>
    </row>
    <row r="35" spans="1:6" x14ac:dyDescent="0.25">
      <c r="A35" s="14" t="s">
        <v>60</v>
      </c>
      <c r="B35" s="14" t="s">
        <v>61</v>
      </c>
      <c r="C35" s="14" t="s">
        <v>62</v>
      </c>
      <c r="D35" s="14" t="s">
        <v>63</v>
      </c>
      <c r="E35" s="14" t="s">
        <v>64</v>
      </c>
      <c r="F35" s="14" t="s">
        <v>65</v>
      </c>
    </row>
    <row r="36" spans="1:6" x14ac:dyDescent="0.25">
      <c r="A36" s="15" t="s">
        <v>66</v>
      </c>
      <c r="B36" s="16">
        <v>0.18029999999999999</v>
      </c>
      <c r="C36" s="16">
        <v>0.191</v>
      </c>
      <c r="D36" s="16">
        <v>0.20619999999999999</v>
      </c>
      <c r="E36" s="16">
        <v>0.22020000000000001</v>
      </c>
      <c r="F36" s="16">
        <v>0.2291</v>
      </c>
    </row>
    <row r="37" spans="1:6" x14ac:dyDescent="0.25">
      <c r="A37" s="15" t="s">
        <v>67</v>
      </c>
      <c r="B37" s="17">
        <v>0.17319999999999999</v>
      </c>
      <c r="C37" s="17">
        <v>0.19489999999999999</v>
      </c>
      <c r="D37" s="17">
        <v>0.22359999999999999</v>
      </c>
      <c r="E37" s="17">
        <v>0.249</v>
      </c>
      <c r="F37" s="17">
        <v>0.2646</v>
      </c>
    </row>
    <row r="38" spans="1:6" x14ac:dyDescent="0.25">
      <c r="A38" s="15" t="s">
        <v>68</v>
      </c>
      <c r="B38" s="16">
        <v>0.18029999999999999</v>
      </c>
      <c r="C38" s="16">
        <v>0.21099999999999999</v>
      </c>
      <c r="D38" s="16">
        <v>0.25</v>
      </c>
      <c r="E38" s="16">
        <v>0.28370000000000001</v>
      </c>
      <c r="F38" s="16">
        <v>0.30409999999999998</v>
      </c>
    </row>
    <row r="39" spans="1:6" x14ac:dyDescent="0.25">
      <c r="A39" s="15" t="s">
        <v>69</v>
      </c>
      <c r="B39" s="17">
        <v>0.2</v>
      </c>
      <c r="C39" s="17">
        <v>0.2366</v>
      </c>
      <c r="D39" s="17">
        <v>0.2828</v>
      </c>
      <c r="E39" s="17">
        <v>0.32250000000000001</v>
      </c>
      <c r="F39" s="17">
        <v>0.34639999999999999</v>
      </c>
    </row>
    <row r="40" spans="1:6" x14ac:dyDescent="0.25">
      <c r="A40" s="15" t="s">
        <v>70</v>
      </c>
      <c r="B40" s="16">
        <v>0.2291</v>
      </c>
      <c r="C40" s="16">
        <v>0.26929999999999998</v>
      </c>
      <c r="D40" s="16">
        <v>0.32019999999999998</v>
      </c>
      <c r="E40" s="16">
        <v>0.36399999999999999</v>
      </c>
      <c r="F40" s="16">
        <v>0.39050000000000001</v>
      </c>
    </row>
    <row r="42" spans="1:6" ht="18" customHeight="1" x14ac:dyDescent="0.25">
      <c r="A42" s="20" t="s">
        <v>71</v>
      </c>
      <c r="B42" s="21"/>
      <c r="C42" s="21"/>
      <c r="D42" s="21"/>
      <c r="E42" s="21"/>
      <c r="F42" s="21"/>
    </row>
    <row r="43" spans="1:6" x14ac:dyDescent="0.25">
      <c r="A43" s="14" t="s">
        <v>72</v>
      </c>
      <c r="B43" s="14" t="s">
        <v>73</v>
      </c>
      <c r="C43" s="14" t="s">
        <v>74</v>
      </c>
      <c r="D43" s="14" t="s">
        <v>75</v>
      </c>
      <c r="E43" s="14" t="s">
        <v>76</v>
      </c>
    </row>
    <row r="44" spans="1:6" x14ac:dyDescent="0.25">
      <c r="A44" s="15">
        <v>2800</v>
      </c>
      <c r="B44" s="18">
        <v>0.98</v>
      </c>
      <c r="C44" s="18">
        <v>6.64</v>
      </c>
      <c r="D44" s="18">
        <v>19.18</v>
      </c>
      <c r="E44" s="18">
        <v>38.07</v>
      </c>
    </row>
    <row r="45" spans="1:6" x14ac:dyDescent="0.25">
      <c r="A45" s="15">
        <v>3000</v>
      </c>
      <c r="B45" s="19">
        <v>5.96</v>
      </c>
      <c r="C45" s="19">
        <v>21.18</v>
      </c>
      <c r="D45" s="19">
        <v>44.57</v>
      </c>
      <c r="E45" s="19">
        <v>73.63</v>
      </c>
    </row>
    <row r="46" spans="1:6" x14ac:dyDescent="0.25">
      <c r="A46" s="15">
        <v>3200</v>
      </c>
      <c r="B46" s="18">
        <v>23.69</v>
      </c>
      <c r="C46" s="18">
        <v>53.28</v>
      </c>
      <c r="D46" s="18">
        <v>88.74</v>
      </c>
      <c r="E46" s="18">
        <v>127.56</v>
      </c>
    </row>
    <row r="47" spans="1:6" x14ac:dyDescent="0.25">
      <c r="A47" s="15">
        <v>3400</v>
      </c>
      <c r="B47" s="19">
        <v>67.63</v>
      </c>
      <c r="C47" s="19">
        <v>110.93</v>
      </c>
      <c r="D47" s="19">
        <v>156.1</v>
      </c>
      <c r="E47" s="19">
        <v>202.18</v>
      </c>
    </row>
    <row r="48" spans="1:6" x14ac:dyDescent="0.25">
      <c r="A48" s="15">
        <v>3600</v>
      </c>
      <c r="B48" s="18">
        <v>149.24</v>
      </c>
      <c r="C48" s="18">
        <v>198.92</v>
      </c>
      <c r="D48" s="18">
        <v>248.53</v>
      </c>
      <c r="E48" s="18">
        <v>298.07</v>
      </c>
    </row>
    <row r="49" spans="1:5" x14ac:dyDescent="0.25">
      <c r="A49" s="15">
        <v>3800</v>
      </c>
      <c r="B49" s="19">
        <v>270.89</v>
      </c>
      <c r="C49" s="19">
        <v>317.2</v>
      </c>
      <c r="D49" s="19">
        <v>365.28</v>
      </c>
      <c r="E49" s="19">
        <v>414.23</v>
      </c>
    </row>
    <row r="50" spans="1:5" x14ac:dyDescent="0.25">
      <c r="A50" s="15">
        <v>4000</v>
      </c>
      <c r="B50" s="18">
        <v>425.34</v>
      </c>
      <c r="C50" s="18">
        <v>461.57</v>
      </c>
      <c r="D50" s="18">
        <v>503.48</v>
      </c>
      <c r="E50" s="18">
        <v>548.51</v>
      </c>
    </row>
    <row r="51" spans="1:5" x14ac:dyDescent="0.25">
      <c r="A51" s="15">
        <v>4200</v>
      </c>
      <c r="B51" s="19">
        <v>601.27</v>
      </c>
      <c r="C51" s="19">
        <v>625.78</v>
      </c>
      <c r="D51" s="19">
        <v>659.16</v>
      </c>
      <c r="E51" s="19">
        <v>698.16</v>
      </c>
    </row>
    <row r="52" spans="1:5" x14ac:dyDescent="0.25">
      <c r="A52" s="15">
        <v>4400</v>
      </c>
      <c r="B52" s="18">
        <v>788.82</v>
      </c>
      <c r="C52" s="18">
        <v>803.52</v>
      </c>
      <c r="D52" s="18">
        <v>828.17</v>
      </c>
      <c r="E52" s="18">
        <v>860.23</v>
      </c>
    </row>
    <row r="53" spans="1:5" x14ac:dyDescent="0.25">
      <c r="A53" s="15">
        <v>4600</v>
      </c>
      <c r="B53" s="19">
        <v>981.7</v>
      </c>
      <c r="C53" s="19">
        <v>989.69</v>
      </c>
      <c r="D53" s="19">
        <v>1006.75</v>
      </c>
      <c r="E53" s="19">
        <v>1031.97</v>
      </c>
    </row>
  </sheetData>
  <mergeCells count="10">
    <mergeCell ref="A1:F1"/>
    <mergeCell ref="A34:F34"/>
    <mergeCell ref="A4:F4"/>
    <mergeCell ref="A29:F29"/>
    <mergeCell ref="A24:F24"/>
    <mergeCell ref="A2:F2"/>
    <mergeCell ref="A42:F42"/>
    <mergeCell ref="A19:F19"/>
    <mergeCell ref="A14:F14"/>
    <mergeCell ref="A15:E15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Cross-Currency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2026-04-10T06:18:21Z</dcterms:created>
  <dcterms:modified xsi:type="dcterms:W3CDTF">2026-04-10T06:20:53Z</dcterms:modified>
</cp:coreProperties>
</file>