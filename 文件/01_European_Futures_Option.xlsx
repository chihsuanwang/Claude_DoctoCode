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hs\Claude_DoctoCode\文件\"/>
    </mc:Choice>
  </mc:AlternateContent>
  <xr:revisionPtr revIDLastSave="0" documentId="13_ncr:1_{FA06F6B3-C95D-4E3E-981C-3E2E90AEC32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lack-76 Calculator" sheetId="1" r:id="rId1"/>
    <sheet name="Chart — Price vs 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7" i="1"/>
  <c r="C16" i="1"/>
  <c r="C15" i="1"/>
  <c r="C13" i="1"/>
  <c r="C14" i="1" s="1"/>
  <c r="C23" i="1" l="1"/>
  <c r="C34" i="1"/>
  <c r="C29" i="1"/>
  <c r="C31" i="1"/>
  <c r="C32" i="1"/>
  <c r="C33" i="1"/>
  <c r="C24" i="1" l="1"/>
  <c r="C36" i="1" s="1"/>
  <c r="C30" i="1"/>
  <c r="C35" i="1"/>
  <c r="C25" i="1" l="1"/>
</calcChain>
</file>

<file path=xl/sharedStrings.xml><?xml version="1.0" encoding="utf-8"?>
<sst xmlns="http://schemas.openxmlformats.org/spreadsheetml/2006/main" count="116" uniqueCount="101">
  <si>
    <t>European Futures Option — Black-76 Model</t>
  </si>
  <si>
    <t>Source: Black (1976), Journal of Financial Economics. Formula: C = e^(−rT)[F·N(d₁) − K·N(d₂)], P = e^(−rT)[K·N(−d₂) − F·N(−d₁)]</t>
  </si>
  <si>
    <t>▌ INPUT PARAMETERS  （黃色格可修改）</t>
  </si>
  <si>
    <t>Futures Price</t>
  </si>
  <si>
    <t>F</t>
  </si>
  <si>
    <t>USD</t>
  </si>
  <si>
    <t>目前期貨價格</t>
  </si>
  <si>
    <t>Strike Price</t>
  </si>
  <si>
    <t>K</t>
  </si>
  <si>
    <t>選擇權執行價格</t>
  </si>
  <si>
    <t>Risk-Free Rate</t>
  </si>
  <si>
    <t>r</t>
  </si>
  <si>
    <t>decimal</t>
  </si>
  <si>
    <t>折現用無風險利率（如 5% → 0.05）</t>
  </si>
  <si>
    <t>Time to Expiry</t>
  </si>
  <si>
    <t>T</t>
  </si>
  <si>
    <t>Years</t>
  </si>
  <si>
    <t>到期年數</t>
  </si>
  <si>
    <t>Volatility</t>
  </si>
  <si>
    <t>σ</t>
  </si>
  <si>
    <t>年化波動度（如 20% → 0.20）</t>
  </si>
  <si>
    <t>Notional (# contracts)</t>
  </si>
  <si>
    <t>N</t>
  </si>
  <si>
    <t>units</t>
  </si>
  <si>
    <t>合約數量（乘數）</t>
  </si>
  <si>
    <t>▌ INTERMEDIATE CALCULATIONS</t>
  </si>
  <si>
    <t>d₁</t>
  </si>
  <si>
    <t>d₂</t>
  </si>
  <si>
    <t>Discount Factor</t>
  </si>
  <si>
    <t>e^(−rT)</t>
  </si>
  <si>
    <t>N(d₁)</t>
  </si>
  <si>
    <t>N(d₂)</t>
  </si>
  <si>
    <t>N(−d₁)</t>
  </si>
  <si>
    <t>N(−d₂)</t>
  </si>
  <si>
    <t>φ(d₁) — normal PDF</t>
  </si>
  <si>
    <t>φ(d₁)</t>
  </si>
  <si>
    <t>▌ OPTION PRICES</t>
  </si>
  <si>
    <t>Call Price  C = e^(−rT)[F·N(d₁)−K·N(d₂)]</t>
  </si>
  <si>
    <t>C</t>
  </si>
  <si>
    <t>Put Price   P = e^(−rT)[K·N(−d₂)−F·N(−d₁)]</t>
  </si>
  <si>
    <t>P</t>
  </si>
  <si>
    <t>Put-Call Parity Check  [C−P = e^(−rT)(F−K)]</t>
  </si>
  <si>
    <t>✓</t>
  </si>
  <si>
    <t xml:space="preserve">  ☑ 值應接近 0（數值誤差 &lt; 1e-10）</t>
  </si>
  <si>
    <t>▌ GREEKS  （per contract, N=1）</t>
  </si>
  <si>
    <t>Delta — Call  Δ_c = e^(−rT)·N(d₁)</t>
  </si>
  <si>
    <t>Δ_c</t>
  </si>
  <si>
    <t>Delta — Put   Δ_p = −e^(−rT)·N(−d₁)</t>
  </si>
  <si>
    <t>Δ_p</t>
  </si>
  <si>
    <t>Gamma  Γ = e^(−rT)·φ(d₁)/(F·σ·√T)</t>
  </si>
  <si>
    <t>Γ</t>
  </si>
  <si>
    <t>per USD</t>
  </si>
  <si>
    <t>Vega  ν = F·e^(−rT)·φ(d₁)·√T  (per 1% σ)</t>
  </si>
  <si>
    <t>ν</t>
  </si>
  <si>
    <t>USD / 1%σ</t>
  </si>
  <si>
    <t>Theta — Call  (per calendar day)</t>
  </si>
  <si>
    <t>Θ_c</t>
  </si>
  <si>
    <t>USD / day</t>
  </si>
  <si>
    <t>Theta — Put   (per calendar day)</t>
  </si>
  <si>
    <t>Θ_p</t>
  </si>
  <si>
    <t>Rho — Call   (per 1% rate change)</t>
  </si>
  <si>
    <t>ρ_c</t>
  </si>
  <si>
    <t>USD / 1%r</t>
  </si>
  <si>
    <t>Rho — Put    (per 1% rate change)</t>
  </si>
  <si>
    <t>ρ_p</t>
  </si>
  <si>
    <t>▌ SENSITIVITY TABLE — Futures Price vs Option Price &amp; Delta</t>
  </si>
  <si>
    <t>Futures Price F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</si>
  <si>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</si>
  <si>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</si>
  <si>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</si>
  <si>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</si>
  <si>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</si>
  <si>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</si>
  <si>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</si>
  <si>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</si>
  <si>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</si>
  <si>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</si>
  <si>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</si>
  <si>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</si>
  <si>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</si>
  <si>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Call Price</t>
  </si>
  <si>
    <t>Put Price</t>
  </si>
  <si>
    <t>Call Delta</t>
  </si>
  <si>
    <t>Put Delta</t>
  </si>
  <si>
    <t>Gamma</t>
  </si>
  <si>
    <t>Vega (1%σ)</t>
  </si>
  <si>
    <t xml:space="preserve">  ※ 固定參數：K=100.0, r=0.05, T=0.5 yr, σ=0.2  (與上方輸入格無連動)</t>
  </si>
  <si>
    <t>▌ SENSITIVITY TABLE — Volatility vs Option Price  (F=100, K=100, r=5%, T=0.5yr)</t>
  </si>
  <si>
    <t>Volatility σ</t>
  </si>
  <si>
    <t>5%</t>
  </si>
  <si>
    <t>10%</t>
  </si>
  <si>
    <t>15%</t>
  </si>
  <si>
    <t>20%</t>
  </si>
  <si>
    <t>25%</t>
  </si>
  <si>
    <t>30%</t>
  </si>
  <si>
    <t>35%</t>
  </si>
  <si>
    <t>40%</t>
  </si>
  <si>
    <t>45%</t>
  </si>
  <si>
    <t>50%</t>
  </si>
  <si>
    <t>Call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</si>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</sst>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14" x14ac:knownFonts="1">
    <font>
      <sz val="11"/>
      <color theme="1"/>
      <name val="新細明體"/>
      <family val="2"/>
      <scheme val="minor"/>
    </font>
    <font>
      <b/>
      <sz val="14"/>
      <color rgb="FFFFFFFF"/>
      <name val="微軟正黑體"/>
      <family val="2"/>
      <charset val="136"/>
    </font>
    <font>
      <i/>
      <sz val="9"/>
      <color rgb="FF444444"/>
      <name val="微軟正黑體"/>
      <family val="2"/>
      <charset val="136"/>
    </font>
    <font>
      <b/>
      <sz val="10"/>
      <color rgb="FF1F497D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i/>
      <sz val="10"/>
      <color rgb="FF1F497D"/>
      <name val="微軟正黑體"/>
      <family val="2"/>
      <charset val="136"/>
    </font>
    <font>
      <b/>
      <sz val="10"/>
      <color rgb="FFC00000"/>
      <name val="微軟正黑體"/>
      <family val="2"/>
      <charset val="136"/>
    </font>
    <font>
      <sz val="9"/>
      <color rgb="FF666666"/>
      <name val="微軟正黑體"/>
      <family val="2"/>
      <charset val="136"/>
    </font>
    <font>
      <i/>
      <sz val="9"/>
      <color rgb="FF888888"/>
      <name val="微軟正黑體"/>
      <family val="2"/>
      <charset val="136"/>
    </font>
    <font>
      <sz val="10"/>
      <color rgb="FF333333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9"/>
      <color rgb="FFFFFFFF"/>
      <name val="微軟正黑體"/>
      <family val="2"/>
      <charset val="136"/>
    </font>
    <font>
      <sz val="9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8F0FB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7" fillId="5" borderId="1" xfId="0" applyFont="1" applyFill="1" applyBorder="1"/>
    <xf numFmtId="0" fontId="8" fillId="0" borderId="0" xfId="0" applyFont="1"/>
    <xf numFmtId="0" fontId="4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/>
    <xf numFmtId="0" fontId="10" fillId="7" borderId="1" xfId="0" applyFont="1" applyFill="1" applyBorder="1"/>
    <xf numFmtId="0" fontId="5" fillId="7" borderId="1" xfId="0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12" fillId="6" borderId="1" xfId="0" applyFont="1" applyFill="1" applyBorder="1"/>
    <xf numFmtId="176" fontId="12" fillId="8" borderId="1" xfId="0" applyNumberFormat="1" applyFont="1" applyFill="1" applyBorder="1"/>
    <xf numFmtId="176" fontId="12" fillId="6" borderId="1" xfId="0" applyNumberFormat="1" applyFont="1" applyFill="1" applyBorder="1"/>
    <xf numFmtId="0" fontId="3" fillId="4" borderId="1" xfId="0" applyFont="1" applyFill="1" applyBorder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European Futures Option Price vs Futures Price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'Chart — Price vs F'!$B$1</c:f>
              <c:strCache>
                <c:ptCount val="1"/>
                <c:pt idx="0">
                  <c:v>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'Chart — Price vs F'!$A$2:$A$14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'Chart — Price vs F'!$B$2:$B$14</c:f>
              <c:numCache>
                <c:formatCode>General</c:formatCode>
                <c:ptCount val="13"/>
                <c:pt idx="0">
                  <c:v>2.1499999999999998E-2</c:v>
                </c:pt>
                <c:pt idx="1">
                  <c:v>9.2299999999999993E-2</c:v>
                </c:pt>
                <c:pt idx="2">
                  <c:v>0.30149999999999999</c:v>
                </c:pt>
                <c:pt idx="3">
                  <c:v>0.78969999999999996</c:v>
                </c:pt>
                <c:pt idx="4">
                  <c:v>1.7286999999999999</c:v>
                </c:pt>
                <c:pt idx="5">
                  <c:v>3.2704</c:v>
                </c:pt>
                <c:pt idx="6">
                  <c:v>5.4980000000000002</c:v>
                </c:pt>
                <c:pt idx="7">
                  <c:v>8.4052000000000007</c:v>
                </c:pt>
                <c:pt idx="8">
                  <c:v>11.909700000000001</c:v>
                </c:pt>
                <c:pt idx="9">
                  <c:v>15.8878</c:v>
                </c:pt>
                <c:pt idx="10">
                  <c:v>20.2088</c:v>
                </c:pt>
                <c:pt idx="11">
                  <c:v>24.759599999999999</c:v>
                </c:pt>
                <c:pt idx="12">
                  <c:v>29.4541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E-40A7-8EDF-E70EFE4F541E}"/>
            </c:ext>
          </c:extLst>
        </c:ser>
        <c:ser>
          <c:idx val="1"/>
          <c:order val="1"/>
          <c:tx>
            <c:strRef>
              <c:f>'Chart — Price vs F'!$C$1</c:f>
              <c:strCache>
                <c:ptCount val="1"/>
                <c:pt idx="0">
                  <c:v>Put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'Chart — Price vs F'!$A$2:$A$14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'Chart — Price vs F'!$C$2:$C$14</c:f>
              <c:numCache>
                <c:formatCode>General</c:formatCode>
                <c:ptCount val="13"/>
                <c:pt idx="0">
                  <c:v>29.280799999999999</c:v>
                </c:pt>
                <c:pt idx="1">
                  <c:v>24.475100000000001</c:v>
                </c:pt>
                <c:pt idx="2">
                  <c:v>19.807700000000001</c:v>
                </c:pt>
                <c:pt idx="3">
                  <c:v>15.4194</c:v>
                </c:pt>
                <c:pt idx="4">
                  <c:v>11.4818</c:v>
                </c:pt>
                <c:pt idx="5">
                  <c:v>8.1469000000000005</c:v>
                </c:pt>
                <c:pt idx="6">
                  <c:v>5.4980000000000002</c:v>
                </c:pt>
                <c:pt idx="7">
                  <c:v>3.5286</c:v>
                </c:pt>
                <c:pt idx="8">
                  <c:v>2.1566999999999998</c:v>
                </c:pt>
                <c:pt idx="9">
                  <c:v>1.2581</c:v>
                </c:pt>
                <c:pt idx="10">
                  <c:v>0.7026</c:v>
                </c:pt>
                <c:pt idx="11">
                  <c:v>0.37690000000000001</c:v>
                </c:pt>
                <c:pt idx="12">
                  <c:v>0.1948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E-40A7-8EDF-E70EFE4F5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Futures Price 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Option Price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opLeftCell="A34" workbookViewId="0">
      <selection activeCell="H22" sqref="H22"/>
    </sheetView>
  </sheetViews>
  <sheetFormatPr defaultRowHeight="15.75" x14ac:dyDescent="0.25"/>
  <cols>
    <col min="1" max="1" width="44.5703125" bestFit="1" customWidth="1"/>
    <col min="2" max="2" width="8" customWidth="1"/>
    <col min="3" max="3" width="16" customWidth="1"/>
    <col min="4" max="4" width="12" customWidth="1"/>
    <col min="5" max="5" width="40" customWidth="1"/>
  </cols>
  <sheetData>
    <row r="1" spans="1:6" ht="30" customHeight="1" x14ac:dyDescent="0.25">
      <c r="A1" s="22" t="s">
        <v>0</v>
      </c>
      <c r="B1" s="19"/>
      <c r="C1" s="19"/>
      <c r="D1" s="19"/>
      <c r="E1" s="19"/>
      <c r="F1" s="19"/>
    </row>
    <row r="2" spans="1:6" x14ac:dyDescent="0.25">
      <c r="A2" s="20" t="s">
        <v>1</v>
      </c>
      <c r="B2" s="19"/>
      <c r="C2" s="19"/>
      <c r="D2" s="19"/>
      <c r="E2" s="19"/>
      <c r="F2" s="19"/>
    </row>
    <row r="4" spans="1:6" ht="18" customHeight="1" x14ac:dyDescent="0.25">
      <c r="A4" s="18" t="s">
        <v>2</v>
      </c>
      <c r="B4" s="19"/>
      <c r="C4" s="19"/>
      <c r="D4" s="19"/>
      <c r="E4" s="19"/>
      <c r="F4" s="19"/>
    </row>
    <row r="5" spans="1:6" x14ac:dyDescent="0.25">
      <c r="A5" s="1" t="s">
        <v>3</v>
      </c>
      <c r="B5" s="2" t="s">
        <v>4</v>
      </c>
      <c r="C5" s="3">
        <v>100</v>
      </c>
      <c r="D5" s="4" t="s">
        <v>5</v>
      </c>
      <c r="E5" s="5" t="s">
        <v>6</v>
      </c>
    </row>
    <row r="6" spans="1:6" x14ac:dyDescent="0.25">
      <c r="A6" s="1" t="s">
        <v>7</v>
      </c>
      <c r="B6" s="2" t="s">
        <v>8</v>
      </c>
      <c r="C6" s="3">
        <v>100</v>
      </c>
      <c r="D6" s="4" t="s">
        <v>5</v>
      </c>
      <c r="E6" s="5" t="s">
        <v>9</v>
      </c>
    </row>
    <row r="7" spans="1:6" x14ac:dyDescent="0.25">
      <c r="A7" s="1" t="s">
        <v>10</v>
      </c>
      <c r="B7" s="2" t="s">
        <v>11</v>
      </c>
      <c r="C7" s="3">
        <v>0.05</v>
      </c>
      <c r="D7" s="4" t="s">
        <v>12</v>
      </c>
      <c r="E7" s="5" t="s">
        <v>13</v>
      </c>
    </row>
    <row r="8" spans="1:6" x14ac:dyDescent="0.25">
      <c r="A8" s="1" t="s">
        <v>14</v>
      </c>
      <c r="B8" s="2" t="s">
        <v>15</v>
      </c>
      <c r="C8" s="3">
        <v>0.5</v>
      </c>
      <c r="D8" s="4" t="s">
        <v>16</v>
      </c>
      <c r="E8" s="5" t="s">
        <v>17</v>
      </c>
    </row>
    <row r="9" spans="1:6" x14ac:dyDescent="0.25">
      <c r="A9" s="1" t="s">
        <v>18</v>
      </c>
      <c r="B9" s="2" t="s">
        <v>19</v>
      </c>
      <c r="C9" s="3">
        <v>0.2</v>
      </c>
      <c r="D9" s="4" t="s">
        <v>12</v>
      </c>
      <c r="E9" s="5" t="s">
        <v>20</v>
      </c>
    </row>
    <row r="10" spans="1:6" x14ac:dyDescent="0.25">
      <c r="A10" s="1" t="s">
        <v>21</v>
      </c>
      <c r="B10" s="2" t="s">
        <v>22</v>
      </c>
      <c r="C10" s="3">
        <v>1</v>
      </c>
      <c r="D10" s="4" t="s">
        <v>23</v>
      </c>
      <c r="E10" s="5" t="s">
        <v>24</v>
      </c>
    </row>
    <row r="12" spans="1:6" ht="18" customHeight="1" x14ac:dyDescent="0.25">
      <c r="A12" s="18" t="s">
        <v>25</v>
      </c>
      <c r="B12" s="19"/>
      <c r="C12" s="19"/>
      <c r="D12" s="19"/>
      <c r="E12" s="19"/>
      <c r="F12" s="19"/>
    </row>
    <row r="13" spans="1:6" x14ac:dyDescent="0.25">
      <c r="A13" s="6" t="s">
        <v>26</v>
      </c>
      <c r="B13" s="7" t="s">
        <v>26</v>
      </c>
      <c r="C13" s="8">
        <f>(LN(C5/C6)+0.5*C9^2*C8)/(C9*SQRT(C8))</f>
        <v>7.0710678118654752E-2</v>
      </c>
      <c r="D13" s="9"/>
    </row>
    <row r="14" spans="1:6" x14ac:dyDescent="0.25">
      <c r="A14" s="6" t="s">
        <v>27</v>
      </c>
      <c r="B14" s="7" t="s">
        <v>27</v>
      </c>
      <c r="C14" s="8">
        <f>C13-C9*SQRT(C8)</f>
        <v>-7.0710678118654779E-2</v>
      </c>
      <c r="D14" s="9"/>
    </row>
    <row r="15" spans="1:6" x14ac:dyDescent="0.25">
      <c r="A15" s="6" t="s">
        <v>28</v>
      </c>
      <c r="B15" s="7" t="s">
        <v>29</v>
      </c>
      <c r="C15" s="8">
        <f>EXP(-C7*C8)</f>
        <v>0.97530991202833262</v>
      </c>
      <c r="D15" s="9"/>
    </row>
    <row r="16" spans="1:6" x14ac:dyDescent="0.25">
      <c r="A16" s="6" t="s">
        <v>30</v>
      </c>
      <c r="B16" s="7" t="s">
        <v>30</v>
      </c>
      <c r="C16" s="8">
        <f>_xlfn.NORM.S.DIST(C13,TRUE)</f>
        <v>0.52818598889850832</v>
      </c>
      <c r="D16" s="9"/>
    </row>
    <row r="17" spans="1:6" x14ac:dyDescent="0.25">
      <c r="A17" s="6" t="s">
        <v>31</v>
      </c>
      <c r="B17" s="7" t="s">
        <v>31</v>
      </c>
      <c r="C17" s="8">
        <f>_xlfn.NORM.S.DIST(C14,TRUE)</f>
        <v>0.47181401110149168</v>
      </c>
      <c r="D17" s="9"/>
    </row>
    <row r="18" spans="1:6" x14ac:dyDescent="0.25">
      <c r="A18" s="6" t="s">
        <v>32</v>
      </c>
      <c r="B18" s="7" t="s">
        <v>32</v>
      </c>
      <c r="C18" s="8">
        <f>_xlfn.SINGLE(_xlfn.NORM.S.DIST(-C13,TRUE))</f>
        <v>0.47181401110149168</v>
      </c>
      <c r="D18" s="9"/>
    </row>
    <row r="19" spans="1:6" x14ac:dyDescent="0.25">
      <c r="A19" s="6" t="s">
        <v>33</v>
      </c>
      <c r="B19" s="7" t="s">
        <v>33</v>
      </c>
      <c r="C19" s="8">
        <f>_xlfn.SINGLE(_xlfn.NORM.S.DIST(-C14,TRUE))</f>
        <v>0.52818598889850832</v>
      </c>
      <c r="D19" s="9"/>
    </row>
    <row r="20" spans="1:6" x14ac:dyDescent="0.25">
      <c r="A20" s="6" t="s">
        <v>34</v>
      </c>
      <c r="B20" s="7" t="s">
        <v>35</v>
      </c>
      <c r="C20" s="8">
        <f>_xlfn.SINGLE(_xlfn.NORM.S.DIST(C13,FALSE))</f>
        <v>0.39794617035679214</v>
      </c>
      <c r="D20" s="9"/>
    </row>
    <row r="22" spans="1:6" ht="18" customHeight="1" x14ac:dyDescent="0.25">
      <c r="A22" s="18" t="s">
        <v>36</v>
      </c>
      <c r="B22" s="19"/>
      <c r="C22" s="19"/>
      <c r="D22" s="19"/>
      <c r="E22" s="19"/>
      <c r="F22" s="19"/>
    </row>
    <row r="23" spans="1:6" x14ac:dyDescent="0.25">
      <c r="A23" s="10" t="s">
        <v>37</v>
      </c>
      <c r="B23" s="11" t="s">
        <v>38</v>
      </c>
      <c r="C23" s="12">
        <f>C10*C15*(C5*C16-C6*C17)</f>
        <v>5.4980148706071432</v>
      </c>
      <c r="D23" s="13" t="s">
        <v>5</v>
      </c>
    </row>
    <row r="24" spans="1:6" x14ac:dyDescent="0.25">
      <c r="A24" s="10" t="s">
        <v>39</v>
      </c>
      <c r="B24" s="11" t="s">
        <v>40</v>
      </c>
      <c r="C24" s="12">
        <f>C10*C15*(C6*C19-C5*C18)</f>
        <v>5.4980148706071432</v>
      </c>
      <c r="D24" s="13" t="s">
        <v>5</v>
      </c>
    </row>
    <row r="25" spans="1:6" x14ac:dyDescent="0.25">
      <c r="A25" s="6" t="s">
        <v>41</v>
      </c>
      <c r="B25" s="7" t="s">
        <v>42</v>
      </c>
      <c r="C25" s="8">
        <f>C23/C10-C24/C10-C15*(C5-C6)</f>
        <v>0</v>
      </c>
      <c r="D25" s="9"/>
    </row>
    <row r="26" spans="1:6" x14ac:dyDescent="0.25">
      <c r="A26" s="21" t="s">
        <v>43</v>
      </c>
      <c r="B26" s="19"/>
      <c r="C26" s="19"/>
      <c r="D26" s="19"/>
      <c r="E26" s="19"/>
    </row>
    <row r="28" spans="1:6" ht="18" customHeight="1" x14ac:dyDescent="0.25">
      <c r="A28" s="18" t="s">
        <v>44</v>
      </c>
      <c r="B28" s="19"/>
      <c r="C28" s="19"/>
      <c r="D28" s="19"/>
      <c r="E28" s="19"/>
      <c r="F28" s="19"/>
    </row>
    <row r="29" spans="1:6" x14ac:dyDescent="0.25">
      <c r="A29" s="6" t="s">
        <v>45</v>
      </c>
      <c r="B29" s="7" t="s">
        <v>46</v>
      </c>
      <c r="C29" s="8">
        <f>C15*C16</f>
        <v>0.51514503036720205</v>
      </c>
      <c r="D29" s="9"/>
    </row>
    <row r="30" spans="1:6" x14ac:dyDescent="0.25">
      <c r="A30" s="6" t="s">
        <v>47</v>
      </c>
      <c r="B30" s="7" t="s">
        <v>48</v>
      </c>
      <c r="C30" s="8">
        <f>-C15*C18</f>
        <v>-0.46016488166113062</v>
      </c>
      <c r="D30" s="9"/>
    </row>
    <row r="31" spans="1:6" x14ac:dyDescent="0.25">
      <c r="A31" s="6" t="s">
        <v>49</v>
      </c>
      <c r="B31" s="7" t="s">
        <v>50</v>
      </c>
      <c r="C31" s="8">
        <f>C15*C20/(C5*C9*SQRT(C8))</f>
        <v>2.7444288099699433E-2</v>
      </c>
      <c r="D31" s="9" t="s">
        <v>51</v>
      </c>
    </row>
    <row r="32" spans="1:6" x14ac:dyDescent="0.25">
      <c r="A32" s="6" t="s">
        <v>52</v>
      </c>
      <c r="B32" s="7" t="s">
        <v>53</v>
      </c>
      <c r="C32" s="8">
        <f>C5*C15*C20*SQRT(C8)*0.01</f>
        <v>0.27444288099699438</v>
      </c>
      <c r="D32" s="9" t="s">
        <v>54</v>
      </c>
    </row>
    <row r="33" spans="1:14" x14ac:dyDescent="0.25">
      <c r="A33" s="6" t="s">
        <v>55</v>
      </c>
      <c r="B33" s="7" t="s">
        <v>56</v>
      </c>
      <c r="C33" s="8">
        <f>(-C5*C15*C20*C9/(2*SQRT(C8))-C7*C15*(C5*C16-C6*C17))/365</f>
        <v>-1.5791118804028066E-2</v>
      </c>
      <c r="D33" s="9" t="s">
        <v>57</v>
      </c>
    </row>
    <row r="34" spans="1:14" x14ac:dyDescent="0.25">
      <c r="A34" s="6" t="s">
        <v>58</v>
      </c>
      <c r="B34" s="7" t="s">
        <v>59</v>
      </c>
      <c r="C34" s="8">
        <f>(-C5*C15*C20*C9/(2*SQRT(C8))+C7*C15*(C6*C19-C5*C18))/365</f>
        <v>-1.428481336002611E-2</v>
      </c>
      <c r="D34" s="9" t="s">
        <v>57</v>
      </c>
    </row>
    <row r="35" spans="1:14" x14ac:dyDescent="0.25">
      <c r="A35" s="6" t="s">
        <v>60</v>
      </c>
      <c r="B35" s="7" t="s">
        <v>61</v>
      </c>
      <c r="C35" s="8">
        <f>-C8*(C23/C10)*0.01</f>
        <v>-2.7490074353035715E-2</v>
      </c>
      <c r="D35" s="9" t="s">
        <v>62</v>
      </c>
    </row>
    <row r="36" spans="1:14" x14ac:dyDescent="0.25">
      <c r="A36" s="6" t="s">
        <v>63</v>
      </c>
      <c r="B36" s="7" t="s">
        <v>64</v>
      </c>
      <c r="C36" s="8">
        <f>-C8*(C24/C10)*0.01</f>
        <v>-2.7490074353035715E-2</v>
      </c>
      <c r="D36" s="9" t="s">
        <v>62</v>
      </c>
    </row>
    <row r="38" spans="1:14" ht="18" customHeight="1" x14ac:dyDescent="0.25">
      <c r="A38" s="18" t="s">
        <v>65</v>
      </c>
      <c r="B38" s="19"/>
      <c r="C38" s="19"/>
      <c r="D38" s="19"/>
      <c r="E38" s="19"/>
      <c r="F38" s="19"/>
    </row>
    <row r="39" spans="1:14" x14ac:dyDescent="0.25">
      <c r="A39" s="14" t="s">
        <v>66</v>
      </c>
      <c r="B39" s="14" t="s">
        <v>67</v>
      </c>
      <c r="C39" s="14" t="s">
        <v>68</v>
      </c>
      <c r="D39" s="14" t="s">
        <v>69</v>
      </c>
      <c r="E39" s="14" t="s">
        <v>70</v>
      </c>
      <c r="F39" s="14" t="s">
        <v>71</v>
      </c>
      <c r="G39" s="14" t="s">
        <v>72</v>
      </c>
      <c r="H39" s="14" t="s">
        <v>73</v>
      </c>
      <c r="I39" s="14" t="s">
        <v>74</v>
      </c>
      <c r="J39" s="14" t="s">
        <v>75</v>
      </c>
      <c r="K39" s="14" t="s">
        <v>76</v>
      </c>
      <c r="L39" s="14" t="s">
        <v>77</v>
      </c>
      <c r="M39" s="14" t="s">
        <v>78</v>
      </c>
      <c r="N39" s="14" t="s">
        <v>79</v>
      </c>
    </row>
    <row r="40" spans="1:14" x14ac:dyDescent="0.25">
      <c r="A40" s="15" t="s">
        <v>80</v>
      </c>
      <c r="B40" s="16">
        <v>2.1499999999999998E-2</v>
      </c>
      <c r="C40" s="16">
        <v>9.2299999999999993E-2</v>
      </c>
      <c r="D40" s="16">
        <v>0.30149999999999999</v>
      </c>
      <c r="E40" s="16">
        <v>0.78969999999999996</v>
      </c>
      <c r="F40" s="16">
        <v>1.7286999999999999</v>
      </c>
      <c r="G40" s="16">
        <v>3.2704</v>
      </c>
      <c r="H40" s="16">
        <v>5.4980000000000002</v>
      </c>
      <c r="I40" s="16">
        <v>8.4052000000000007</v>
      </c>
      <c r="J40" s="16">
        <v>11.909700000000001</v>
      </c>
      <c r="K40" s="16">
        <v>15.8878</v>
      </c>
      <c r="L40" s="16">
        <v>20.2088</v>
      </c>
      <c r="M40" s="16">
        <v>24.759599999999999</v>
      </c>
      <c r="N40" s="16">
        <v>29.4541</v>
      </c>
    </row>
    <row r="41" spans="1:14" x14ac:dyDescent="0.25">
      <c r="A41" s="15" t="s">
        <v>81</v>
      </c>
      <c r="B41" s="17">
        <v>29.280799999999999</v>
      </c>
      <c r="C41" s="17">
        <v>24.475100000000001</v>
      </c>
      <c r="D41" s="17">
        <v>19.807700000000001</v>
      </c>
      <c r="E41" s="17">
        <v>15.4194</v>
      </c>
      <c r="F41" s="17">
        <v>11.4818</v>
      </c>
      <c r="G41" s="17">
        <v>8.1469000000000005</v>
      </c>
      <c r="H41" s="17">
        <v>5.4980000000000002</v>
      </c>
      <c r="I41" s="17">
        <v>3.5286</v>
      </c>
      <c r="J41" s="17">
        <v>2.1566999999999998</v>
      </c>
      <c r="K41" s="17">
        <v>1.2581</v>
      </c>
      <c r="L41" s="17">
        <v>0.7026</v>
      </c>
      <c r="M41" s="17">
        <v>0.37690000000000001</v>
      </c>
      <c r="N41" s="17">
        <v>0.1948</v>
      </c>
    </row>
    <row r="42" spans="1:14" x14ac:dyDescent="0.25">
      <c r="A42" s="15" t="s">
        <v>82</v>
      </c>
      <c r="B42" s="16">
        <v>6.8999999999999999E-3</v>
      </c>
      <c r="C42" s="16">
        <v>2.4199999999999999E-2</v>
      </c>
      <c r="D42" s="16">
        <v>6.4299999999999996E-2</v>
      </c>
      <c r="E42" s="16">
        <v>0.13689999999999999</v>
      </c>
      <c r="F42" s="16">
        <v>0.24390000000000001</v>
      </c>
      <c r="G42" s="16">
        <v>0.37559999999999999</v>
      </c>
      <c r="H42" s="16">
        <v>0.5151</v>
      </c>
      <c r="I42" s="16">
        <v>0.64490000000000003</v>
      </c>
      <c r="J42" s="16">
        <v>0.75270000000000004</v>
      </c>
      <c r="K42" s="16">
        <v>0.83409999999999995</v>
      </c>
      <c r="L42" s="16">
        <v>0.89049999999999996</v>
      </c>
      <c r="M42" s="16">
        <v>0.92689999999999995</v>
      </c>
      <c r="N42" s="16">
        <v>0.94889999999999997</v>
      </c>
    </row>
    <row r="43" spans="1:14" x14ac:dyDescent="0.25">
      <c r="A43" s="15" t="s">
        <v>83</v>
      </c>
      <c r="B43" s="17">
        <v>-0.96840000000000004</v>
      </c>
      <c r="C43" s="17">
        <v>-0.95109999999999995</v>
      </c>
      <c r="D43" s="17">
        <v>-0.91110000000000002</v>
      </c>
      <c r="E43" s="17">
        <v>-0.83840000000000003</v>
      </c>
      <c r="F43" s="17">
        <v>-0.73140000000000005</v>
      </c>
      <c r="G43" s="17">
        <v>-0.59970000000000001</v>
      </c>
      <c r="H43" s="17">
        <v>-0.4602</v>
      </c>
      <c r="I43" s="17">
        <v>-0.33040000000000003</v>
      </c>
      <c r="J43" s="17">
        <v>-0.22259999999999999</v>
      </c>
      <c r="K43" s="17">
        <v>-0.14119999999999999</v>
      </c>
      <c r="L43" s="17">
        <v>-8.48E-2</v>
      </c>
      <c r="M43" s="17">
        <v>-4.8399999999999999E-2</v>
      </c>
      <c r="N43" s="17">
        <v>-2.64E-2</v>
      </c>
    </row>
    <row r="44" spans="1:14" x14ac:dyDescent="0.25">
      <c r="A44" s="15" t="s">
        <v>84</v>
      </c>
      <c r="B44" s="16">
        <v>1.9E-3</v>
      </c>
      <c r="C44" s="16">
        <v>5.3E-3</v>
      </c>
      <c r="D44" s="16">
        <v>1.0999999999999999E-2</v>
      </c>
      <c r="E44" s="16">
        <v>1.8100000000000002E-2</v>
      </c>
      <c r="F44" s="16">
        <v>2.4400000000000002E-2</v>
      </c>
      <c r="G44" s="16">
        <v>2.7799999999999998E-2</v>
      </c>
      <c r="H44" s="16">
        <v>2.7400000000000001E-2</v>
      </c>
      <c r="I44" s="16">
        <v>2.4E-2</v>
      </c>
      <c r="J44" s="16">
        <v>1.9E-2</v>
      </c>
      <c r="K44" s="16">
        <v>1.37E-2</v>
      </c>
      <c r="L44" s="16">
        <v>9.1000000000000004E-3</v>
      </c>
      <c r="M44" s="16">
        <v>5.7000000000000002E-3</v>
      </c>
      <c r="N44" s="16">
        <v>3.3E-3</v>
      </c>
    </row>
    <row r="45" spans="1:14" x14ac:dyDescent="0.25">
      <c r="A45" s="15" t="s">
        <v>85</v>
      </c>
      <c r="B45" s="17">
        <v>9.4999999999999998E-3</v>
      </c>
      <c r="C45" s="17">
        <v>0.03</v>
      </c>
      <c r="D45" s="17">
        <v>7.0699999999999999E-2</v>
      </c>
      <c r="E45" s="17">
        <v>0.13070000000000001</v>
      </c>
      <c r="F45" s="17">
        <v>0.1973</v>
      </c>
      <c r="G45" s="17">
        <v>0.2505</v>
      </c>
      <c r="H45" s="17">
        <v>0.27439999999999998</v>
      </c>
      <c r="I45" s="17">
        <v>0.26500000000000001</v>
      </c>
      <c r="J45" s="17">
        <v>0.22939999999999999</v>
      </c>
      <c r="K45" s="17">
        <v>0.18060000000000001</v>
      </c>
      <c r="L45" s="17">
        <v>0.13100000000000001</v>
      </c>
      <c r="M45" s="17">
        <v>8.8400000000000006E-2</v>
      </c>
      <c r="N45" s="17">
        <v>5.6000000000000001E-2</v>
      </c>
    </row>
    <row r="47" spans="1:14" x14ac:dyDescent="0.25">
      <c r="A47" s="21" t="s">
        <v>86</v>
      </c>
      <c r="B47" s="19"/>
      <c r="C47" s="19"/>
      <c r="D47" s="19"/>
      <c r="E47" s="19"/>
    </row>
    <row r="49" spans="1:11" ht="18" customHeight="1" x14ac:dyDescent="0.25">
      <c r="A49" s="18" t="s">
        <v>87</v>
      </c>
      <c r="B49" s="19"/>
      <c r="C49" s="19"/>
      <c r="D49" s="19"/>
      <c r="E49" s="19"/>
      <c r="F49" s="19"/>
    </row>
    <row r="50" spans="1:11" x14ac:dyDescent="0.25">
      <c r="A50" s="14" t="s">
        <v>88</v>
      </c>
      <c r="B50" s="14" t="s">
        <v>89</v>
      </c>
      <c r="C50" s="14" t="s">
        <v>90</v>
      </c>
      <c r="D50" s="14" t="s">
        <v>91</v>
      </c>
      <c r="E50" s="14" t="s">
        <v>92</v>
      </c>
      <c r="F50" s="14" t="s">
        <v>93</v>
      </c>
      <c r="G50" s="14" t="s">
        <v>94</v>
      </c>
      <c r="H50" s="14" t="s">
        <v>95</v>
      </c>
      <c r="I50" s="14" t="s">
        <v>96</v>
      </c>
      <c r="J50" s="14" t="s">
        <v>97</v>
      </c>
      <c r="K50" s="14" t="s">
        <v>98</v>
      </c>
    </row>
    <row r="51" spans="1:11" x14ac:dyDescent="0.25">
      <c r="A51" s="15" t="s">
        <v>80</v>
      </c>
      <c r="B51" s="17">
        <v>1.3755999999999999</v>
      </c>
      <c r="C51" s="17">
        <v>2.7507000000000001</v>
      </c>
      <c r="D51" s="17">
        <v>4.125</v>
      </c>
      <c r="E51" s="17">
        <v>5.4980000000000002</v>
      </c>
      <c r="F51" s="17">
        <v>6.8693</v>
      </c>
      <c r="G51" s="17">
        <v>8.2384000000000004</v>
      </c>
      <c r="H51" s="17">
        <v>9.6050000000000004</v>
      </c>
      <c r="I51" s="17">
        <v>10.9686</v>
      </c>
      <c r="J51" s="17">
        <v>12.328799999999999</v>
      </c>
      <c r="K51" s="17">
        <v>13.6852</v>
      </c>
    </row>
    <row r="52" spans="1:11" x14ac:dyDescent="0.25">
      <c r="A52" s="15" t="s">
        <v>81</v>
      </c>
      <c r="B52" s="16">
        <v>1.3755999999999999</v>
      </c>
      <c r="C52" s="16">
        <v>2.7507000000000001</v>
      </c>
      <c r="D52" s="16">
        <v>4.125</v>
      </c>
      <c r="E52" s="16">
        <v>5.4980000000000002</v>
      </c>
      <c r="F52" s="16">
        <v>6.8693</v>
      </c>
      <c r="G52" s="16">
        <v>8.2384000000000004</v>
      </c>
      <c r="H52" s="16">
        <v>9.6050000000000004</v>
      </c>
      <c r="I52" s="16">
        <v>10.9686</v>
      </c>
      <c r="J52" s="16">
        <v>12.328799999999999</v>
      </c>
      <c r="K52" s="16">
        <v>13.6852</v>
      </c>
    </row>
  </sheetData>
  <mergeCells count="10">
    <mergeCell ref="A1:F1"/>
    <mergeCell ref="A47:E47"/>
    <mergeCell ref="A22:F22"/>
    <mergeCell ref="A12:F12"/>
    <mergeCell ref="A4:F4"/>
    <mergeCell ref="A38:F38"/>
    <mergeCell ref="A2:F2"/>
    <mergeCell ref="A49:F49"/>
    <mergeCell ref="A28:F28"/>
    <mergeCell ref="A26:E26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H29" sqref="H29"/>
    </sheetView>
  </sheetViews>
  <sheetFormatPr defaultRowHeight="15.75" x14ac:dyDescent="0.25"/>
  <sheetData>
    <row r="1" spans="1:3" x14ac:dyDescent="0.25">
      <c r="A1" t="s">
        <v>4</v>
      </c>
      <c r="B1" t="s">
        <v>99</v>
      </c>
      <c r="C1" t="s">
        <v>100</v>
      </c>
    </row>
    <row r="2" spans="1:3" x14ac:dyDescent="0.25">
      <c r="A2">
        <v>70</v>
      </c>
      <c r="B2">
        <v>2.1499999999999998E-2</v>
      </c>
      <c r="C2">
        <v>29.280799999999999</v>
      </c>
    </row>
    <row r="3" spans="1:3" x14ac:dyDescent="0.25">
      <c r="A3">
        <v>75</v>
      </c>
      <c r="B3">
        <v>9.2299999999999993E-2</v>
      </c>
      <c r="C3">
        <v>24.475100000000001</v>
      </c>
    </row>
    <row r="4" spans="1:3" x14ac:dyDescent="0.25">
      <c r="A4">
        <v>80</v>
      </c>
      <c r="B4">
        <v>0.30149999999999999</v>
      </c>
      <c r="C4">
        <v>19.807700000000001</v>
      </c>
    </row>
    <row r="5" spans="1:3" x14ac:dyDescent="0.25">
      <c r="A5">
        <v>85</v>
      </c>
      <c r="B5">
        <v>0.78969999999999996</v>
      </c>
      <c r="C5">
        <v>15.4194</v>
      </c>
    </row>
    <row r="6" spans="1:3" x14ac:dyDescent="0.25">
      <c r="A6">
        <v>90</v>
      </c>
      <c r="B6">
        <v>1.7286999999999999</v>
      </c>
      <c r="C6">
        <v>11.4818</v>
      </c>
    </row>
    <row r="7" spans="1:3" x14ac:dyDescent="0.25">
      <c r="A7">
        <v>95</v>
      </c>
      <c r="B7">
        <v>3.2704</v>
      </c>
      <c r="C7">
        <v>8.1469000000000005</v>
      </c>
    </row>
    <row r="8" spans="1:3" x14ac:dyDescent="0.25">
      <c r="A8">
        <v>100</v>
      </c>
      <c r="B8">
        <v>5.4980000000000002</v>
      </c>
      <c r="C8">
        <v>5.4980000000000002</v>
      </c>
    </row>
    <row r="9" spans="1:3" x14ac:dyDescent="0.25">
      <c r="A9">
        <v>105</v>
      </c>
      <c r="B9">
        <v>8.4052000000000007</v>
      </c>
      <c r="C9">
        <v>3.5286</v>
      </c>
    </row>
    <row r="10" spans="1:3" x14ac:dyDescent="0.25">
      <c r="A10">
        <v>110</v>
      </c>
      <c r="B10">
        <v>11.909700000000001</v>
      </c>
      <c r="C10">
        <v>2.1566999999999998</v>
      </c>
    </row>
    <row r="11" spans="1:3" x14ac:dyDescent="0.25">
      <c r="A11">
        <v>115</v>
      </c>
      <c r="B11">
        <v>15.8878</v>
      </c>
      <c r="C11">
        <v>1.2581</v>
      </c>
    </row>
    <row r="12" spans="1:3" x14ac:dyDescent="0.25">
      <c r="A12">
        <v>120</v>
      </c>
      <c r="B12">
        <v>20.2088</v>
      </c>
      <c r="C12">
        <v>0.7026</v>
      </c>
    </row>
    <row r="13" spans="1:3" x14ac:dyDescent="0.25">
      <c r="A13">
        <v>125</v>
      </c>
      <c r="B13">
        <v>24.759599999999999</v>
      </c>
      <c r="C13">
        <v>0.37690000000000001</v>
      </c>
    </row>
    <row r="14" spans="1:3" x14ac:dyDescent="0.25">
      <c r="A14">
        <v>130</v>
      </c>
      <c r="B14">
        <v>29.4541</v>
      </c>
      <c r="C14">
        <v>0.1948</v>
      </c>
    </row>
  </sheetData>
  <phoneticPr fontId="1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Black-76 Calculator</vt:lpstr>
      <vt:lpstr>Chart — Price vs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Chihsuan Wang</cp:lastModifiedBy>
  <dcterms:created xsi:type="dcterms:W3CDTF">2026-04-10T06:18:21Z</dcterms:created>
  <dcterms:modified xsi:type="dcterms:W3CDTF">2026-04-10T06:20:02Z</dcterms:modified>
</cp:coreProperties>
</file>