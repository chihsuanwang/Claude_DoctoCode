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hs\Claude_DoctoCode\文件\"/>
    </mc:Choice>
  </mc:AlternateContent>
  <xr:revisionPtr revIDLastSave="0" documentId="13_ncr:1_{A52E6533-2279-4FAE-A97F-E55C209D4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nto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26" i="1"/>
  <c r="C25" i="1"/>
  <c r="C22" i="1"/>
  <c r="C17" i="1"/>
  <c r="C20" i="1" s="1"/>
  <c r="C21" i="1" s="1"/>
  <c r="C16" i="1"/>
  <c r="C27" i="1" l="1"/>
</calcChain>
</file>

<file path=xl/sharedStrings.xml><?xml version="1.0" encoding="utf-8"?>
<sst xmlns="http://schemas.openxmlformats.org/spreadsheetml/2006/main" count="68" uniqueCount="62">
  <si>
    <t>Quanto Futures Option  （固定匯率 Quanto）</t>
  </si>
  <si>
    <t>Payoff（payoff currency）= (1/X̄)·max(F_T − K, 0)  Drift adjustment: F_adj = F·exp(−ρ·σ·σ_X·T)</t>
  </si>
  <si>
    <t>▌ INPUT PARAMETERS  （黃色格可修改）</t>
  </si>
  <si>
    <t>Futures Price (underlier currency)</t>
  </si>
  <si>
    <t>F</t>
  </si>
  <si>
    <t>USD</t>
  </si>
  <si>
    <t>Strike (underlier currency)</t>
  </si>
  <si>
    <t>K</t>
  </si>
  <si>
    <t>Payoff Currency Risk-Free Rate</t>
  </si>
  <si>
    <t>r_d</t>
  </si>
  <si>
    <t>decimal</t>
  </si>
  <si>
    <t>歐元等 payoff 幣別利率</t>
  </si>
  <si>
    <t>Time to Expiry</t>
  </si>
  <si>
    <t>T</t>
  </si>
  <si>
    <t>Years</t>
  </si>
  <si>
    <t>Underlying Volatility</t>
  </si>
  <si>
    <t>σ</t>
  </si>
  <si>
    <t>FX Rate Volatility</t>
  </si>
  <si>
    <t>σ_X</t>
  </si>
  <si>
    <t>F/X FX vol</t>
  </si>
  <si>
    <t>Correlation  (ρ: F return vs FX)</t>
  </si>
  <si>
    <t>ρ</t>
  </si>
  <si>
    <t>−1 ≤ ρ ≤ 1</t>
  </si>
  <si>
    <t>Fixed Exchange Rate</t>
  </si>
  <si>
    <t>X̄</t>
  </si>
  <si>
    <t>USD/EUR</t>
  </si>
  <si>
    <t>Quanto 固定匯率，X̄=1 表示 1:1</t>
  </si>
  <si>
    <t>▌ DRIFT ADJUSTMENT  — Quanto Correction</t>
  </si>
  <si>
    <t xml:space="preserve">  在 payoff 幣別測度下，F 的漂移項須加上相關性調整：−ρ·σ·σ_X·T</t>
  </si>
  <si>
    <t>Correlation Adjustment  −ρ·σ·σ_X·T</t>
  </si>
  <si>
    <t>adj</t>
  </si>
  <si>
    <t>Drift-Adjusted Forward  F_adj = F·exp(adj)</t>
  </si>
  <si>
    <t>F_adj</t>
  </si>
  <si>
    <t>▌ BLACK-76 ON ADJUSTED FORWARD</t>
  </si>
  <si>
    <t>d₁  (using F_adj)</t>
  </si>
  <si>
    <t>d₁</t>
  </si>
  <si>
    <t>d₂</t>
  </si>
  <si>
    <t>Discount Factor</t>
  </si>
  <si>
    <t>e^(−r_d·T)</t>
  </si>
  <si>
    <t>▌ QUANTO OPTION PRICES  （in payoff currency）</t>
  </si>
  <si>
    <t>Quanto Call  = (1/X̄)·e^(−r_d·T)·[F_adj·N(d₁) − K·N(d₂)]</t>
  </si>
  <si>
    <t>C_Q</t>
  </si>
  <si>
    <t>EUR</t>
  </si>
  <si>
    <t>Quanto Put   = (1/X̄)·e^(−r_d·T)·[K·N(−d₂) − F_adj·N(−d₁)]</t>
  </si>
  <si>
    <t>P_Q</t>
  </si>
  <si>
    <t>Put-Call Parity Check</t>
  </si>
  <si>
    <t>✓</t>
  </si>
  <si>
    <t>≈ 0</t>
  </si>
  <si>
    <t xml:space="preserve">  ☑ PCP：C_Q − P_Q = (1/X̄)·e^(−r_d·T)·(F_adj − K)，應接近 0</t>
  </si>
  <si>
    <t>▌ QUANTO GREEKS  (per unit)</t>
  </si>
  <si>
    <t>Quanto Delta — Call  Δ_c = (1/X̄)·e^(−r_d·T)·N(d₁)</t>
  </si>
  <si>
    <t>Δ_c</t>
  </si>
  <si>
    <t>Quanto Vega  ν (per 1% σ)</t>
  </si>
  <si>
    <t>ν</t>
  </si>
  <si>
    <t>EUR/1%σ</t>
  </si>
  <si>
    <t>▌ SENSITIVITY TABLE — Quanto Price vs Futures Price &amp; Correlation</t>
  </si>
  <si>
    <t>F \ ρ</t>
  </si>
  <si>
    <t>ρ=-0.5</t>
  </si>
  <si>
    <t>ρ=-0.3</t>
  </si>
  <si>
    <t>ρ=+0.0</t>
  </si>
  <si>
    <t>ρ=+0.3</t>
  </si>
  <si>
    <t>ρ=+0.5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</si>
</sst>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5" x14ac:knownFonts="1">
    <font>
      <sz val="11"/>
      <color theme="1"/>
      <name val="新細明體"/>
      <family val="2"/>
      <scheme val="minor"/>
    </font>
    <font>
      <b/>
      <sz val="14"/>
      <color rgb="FFFFFFFF"/>
      <name val="微軟正黑體"/>
      <family val="2"/>
      <charset val="136"/>
    </font>
    <font>
      <i/>
      <sz val="9"/>
      <color rgb="FF444444"/>
      <name val="微軟正黑體"/>
      <family val="2"/>
      <charset val="136"/>
    </font>
    <font>
      <b/>
      <sz val="10"/>
      <color rgb="FF1F497D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i/>
      <sz val="10"/>
      <color rgb="FF1F497D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sz val="9"/>
      <color rgb="FF666666"/>
      <name val="微軟正黑體"/>
      <family val="2"/>
      <charset val="136"/>
    </font>
    <font>
      <i/>
      <sz val="9"/>
      <color rgb="FF888888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9"/>
      <color rgb="FFFFFFFF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8F0FB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/>
    <xf numFmtId="0" fontId="8" fillId="0" borderId="0" xfId="0" applyFont="1"/>
    <xf numFmtId="0" fontId="4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/>
    <xf numFmtId="0" fontId="10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6" borderId="1" xfId="0" applyFont="1" applyFill="1" applyBorder="1"/>
    <xf numFmtId="176" fontId="13" fillId="8" borderId="1" xfId="0" applyNumberFormat="1" applyFont="1" applyFill="1" applyBorder="1"/>
    <xf numFmtId="176" fontId="13" fillId="6" borderId="1" xfId="0" applyNumberFormat="1" applyFont="1" applyFill="1" applyBorder="1"/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33" workbookViewId="0">
      <selection activeCell="C65" sqref="C65"/>
    </sheetView>
  </sheetViews>
  <sheetFormatPr defaultRowHeight="15.75" x14ac:dyDescent="0.25"/>
  <cols>
    <col min="1" max="1" width="38" customWidth="1"/>
    <col min="2" max="2" width="10" customWidth="1"/>
    <col min="3" max="3" width="16" customWidth="1"/>
    <col min="4" max="4" width="14" customWidth="1"/>
    <col min="5" max="5" width="44" customWidth="1"/>
  </cols>
  <sheetData>
    <row r="1" spans="1:6" ht="30" customHeight="1" x14ac:dyDescent="0.25">
      <c r="A1" s="22" t="s">
        <v>0</v>
      </c>
      <c r="B1" s="19"/>
      <c r="C1" s="19"/>
      <c r="D1" s="19"/>
      <c r="E1" s="19"/>
      <c r="F1" s="19"/>
    </row>
    <row r="2" spans="1:6" x14ac:dyDescent="0.25">
      <c r="A2" s="20" t="s">
        <v>1</v>
      </c>
      <c r="B2" s="19"/>
      <c r="C2" s="19"/>
      <c r="D2" s="19"/>
      <c r="E2" s="19"/>
      <c r="F2" s="19"/>
    </row>
    <row r="4" spans="1:6" ht="18" customHeight="1" x14ac:dyDescent="0.25">
      <c r="A4" s="18" t="s">
        <v>2</v>
      </c>
      <c r="B4" s="19"/>
      <c r="C4" s="19"/>
      <c r="D4" s="19"/>
      <c r="E4" s="19"/>
      <c r="F4" s="19"/>
    </row>
    <row r="5" spans="1:6" x14ac:dyDescent="0.25">
      <c r="A5" s="1" t="s">
        <v>3</v>
      </c>
      <c r="B5" s="2" t="s">
        <v>4</v>
      </c>
      <c r="C5" s="3">
        <v>100</v>
      </c>
      <c r="D5" s="4" t="s">
        <v>5</v>
      </c>
    </row>
    <row r="6" spans="1:6" x14ac:dyDescent="0.25">
      <c r="A6" s="1" t="s">
        <v>6</v>
      </c>
      <c r="B6" s="2" t="s">
        <v>7</v>
      </c>
      <c r="C6" s="3">
        <v>100</v>
      </c>
      <c r="D6" s="4" t="s">
        <v>5</v>
      </c>
    </row>
    <row r="7" spans="1:6" x14ac:dyDescent="0.25">
      <c r="A7" s="1" t="s">
        <v>8</v>
      </c>
      <c r="B7" s="2" t="s">
        <v>9</v>
      </c>
      <c r="C7" s="3">
        <v>0.04</v>
      </c>
      <c r="D7" s="4" t="s">
        <v>10</v>
      </c>
      <c r="E7" s="5" t="s">
        <v>11</v>
      </c>
    </row>
    <row r="8" spans="1:6" x14ac:dyDescent="0.25">
      <c r="A8" s="1" t="s">
        <v>12</v>
      </c>
      <c r="B8" s="2" t="s">
        <v>13</v>
      </c>
      <c r="C8" s="3">
        <v>0.5</v>
      </c>
      <c r="D8" s="4" t="s">
        <v>14</v>
      </c>
    </row>
    <row r="9" spans="1:6" x14ac:dyDescent="0.25">
      <c r="A9" s="1" t="s">
        <v>15</v>
      </c>
      <c r="B9" s="2" t="s">
        <v>16</v>
      </c>
      <c r="C9" s="3">
        <v>0.2</v>
      </c>
      <c r="D9" s="4" t="s">
        <v>10</v>
      </c>
    </row>
    <row r="10" spans="1:6" x14ac:dyDescent="0.25">
      <c r="A10" s="1" t="s">
        <v>17</v>
      </c>
      <c r="B10" s="2" t="s">
        <v>18</v>
      </c>
      <c r="C10" s="3">
        <v>0.1</v>
      </c>
      <c r="D10" s="4" t="s">
        <v>10</v>
      </c>
      <c r="E10" s="5" t="s">
        <v>19</v>
      </c>
    </row>
    <row r="11" spans="1:6" x14ac:dyDescent="0.25">
      <c r="A11" s="1" t="s">
        <v>20</v>
      </c>
      <c r="B11" s="2" t="s">
        <v>21</v>
      </c>
      <c r="C11" s="3">
        <v>0.3</v>
      </c>
      <c r="D11" s="4"/>
      <c r="E11" s="5" t="s">
        <v>22</v>
      </c>
    </row>
    <row r="12" spans="1:6" x14ac:dyDescent="0.25">
      <c r="A12" s="1" t="s">
        <v>23</v>
      </c>
      <c r="B12" s="2" t="s">
        <v>24</v>
      </c>
      <c r="C12" s="3">
        <v>1.2</v>
      </c>
      <c r="D12" s="4" t="s">
        <v>25</v>
      </c>
      <c r="E12" s="5" t="s">
        <v>26</v>
      </c>
    </row>
    <row r="14" spans="1:6" ht="18" customHeight="1" x14ac:dyDescent="0.25">
      <c r="A14" s="18" t="s">
        <v>27</v>
      </c>
      <c r="B14" s="19"/>
      <c r="C14" s="19"/>
      <c r="D14" s="19"/>
      <c r="E14" s="19"/>
      <c r="F14" s="19"/>
    </row>
    <row r="15" spans="1:6" x14ac:dyDescent="0.25">
      <c r="A15" s="21" t="s">
        <v>28</v>
      </c>
      <c r="B15" s="19"/>
      <c r="C15" s="19"/>
      <c r="D15" s="19"/>
      <c r="E15" s="19"/>
    </row>
    <row r="16" spans="1:6" x14ac:dyDescent="0.25">
      <c r="A16" s="6" t="s">
        <v>29</v>
      </c>
      <c r="B16" s="7" t="s">
        <v>30</v>
      </c>
      <c r="C16" s="8">
        <f>-C11*C9*C10*C8</f>
        <v>-3.0000000000000001E-3</v>
      </c>
      <c r="D16" s="9"/>
    </row>
    <row r="17" spans="1:6" x14ac:dyDescent="0.25">
      <c r="A17" s="6" t="s">
        <v>31</v>
      </c>
      <c r="B17" s="7" t="s">
        <v>32</v>
      </c>
      <c r="C17" s="8">
        <f>C5*EXP(C16)</f>
        <v>99.700449550337297</v>
      </c>
      <c r="D17" s="9" t="s">
        <v>5</v>
      </c>
    </row>
    <row r="19" spans="1:6" ht="18" customHeight="1" x14ac:dyDescent="0.25">
      <c r="A19" s="18" t="s">
        <v>33</v>
      </c>
      <c r="B19" s="19"/>
      <c r="C19" s="19"/>
      <c r="D19" s="19"/>
      <c r="E19" s="19"/>
      <c r="F19" s="19"/>
    </row>
    <row r="20" spans="1:6" x14ac:dyDescent="0.25">
      <c r="A20" s="6" t="s">
        <v>34</v>
      </c>
      <c r="B20" s="7" t="s">
        <v>35</v>
      </c>
      <c r="C20" s="8">
        <f>(LN(C17/C6)+0.5*C9^2*C8)/(C9*SQRT(C8))</f>
        <v>4.9497474683058505E-2</v>
      </c>
      <c r="D20" s="9"/>
    </row>
    <row r="21" spans="1:6" x14ac:dyDescent="0.25">
      <c r="A21" s="6" t="s">
        <v>36</v>
      </c>
      <c r="B21" s="7" t="s">
        <v>36</v>
      </c>
      <c r="C21" s="8">
        <f>C20-C9*SQRT(C8)</f>
        <v>-9.1923881554251019E-2</v>
      </c>
      <c r="D21" s="9"/>
    </row>
    <row r="22" spans="1:6" x14ac:dyDescent="0.25">
      <c r="A22" s="6" t="s">
        <v>37</v>
      </c>
      <c r="B22" s="7" t="s">
        <v>38</v>
      </c>
      <c r="C22" s="8">
        <f>EXP(-C7*C8)</f>
        <v>0.98019867330675525</v>
      </c>
      <c r="D22" s="9"/>
    </row>
    <row r="24" spans="1:6" ht="18" customHeight="1" x14ac:dyDescent="0.25">
      <c r="A24" s="18" t="s">
        <v>39</v>
      </c>
      <c r="B24" s="19"/>
      <c r="C24" s="19"/>
      <c r="D24" s="19"/>
      <c r="E24" s="19"/>
      <c r="F24" s="19"/>
    </row>
    <row r="25" spans="1:6" x14ac:dyDescent="0.25">
      <c r="A25" s="10" t="s">
        <v>40</v>
      </c>
      <c r="B25" s="11" t="s">
        <v>41</v>
      </c>
      <c r="C25" s="12">
        <f>(1/C12)*C22*(C17*_xlfn.SINGLE(_xlfn.NORM.S.DIST(C20,TRUE))-C6*_xlfn.SINGLE(_xlfn.NORM.S.DIST(C21,TRUE)))</f>
        <v>4.4764397036423818</v>
      </c>
      <c r="D25" s="13" t="s">
        <v>42</v>
      </c>
    </row>
    <row r="26" spans="1:6" x14ac:dyDescent="0.25">
      <c r="A26" s="10" t="s">
        <v>43</v>
      </c>
      <c r="B26" s="11" t="s">
        <v>44</v>
      </c>
      <c r="C26" s="12">
        <f>(1/C12)*C22*(C6*_xlfn.SINGLE(_xlfn.NORM.S.DIST(-C21,TRUE))-C17*_xlfn.SINGLE(_xlfn.NORM.S.DIST(-C20,TRUE)))</f>
        <v>4.7211221647655792</v>
      </c>
      <c r="D26" s="13" t="s">
        <v>42</v>
      </c>
    </row>
    <row r="27" spans="1:6" x14ac:dyDescent="0.25">
      <c r="A27" s="6" t="s">
        <v>45</v>
      </c>
      <c r="B27" s="7" t="s">
        <v>46</v>
      </c>
      <c r="C27" s="8">
        <f>C25-C26-C22*(C17-C6)/C12</f>
        <v>-1.0824674490095276E-14</v>
      </c>
      <c r="D27" s="9" t="s">
        <v>47</v>
      </c>
    </row>
    <row r="28" spans="1:6" x14ac:dyDescent="0.25">
      <c r="A28" s="21" t="s">
        <v>48</v>
      </c>
      <c r="B28" s="19"/>
      <c r="C28" s="19"/>
      <c r="D28" s="19"/>
      <c r="E28" s="19"/>
    </row>
    <row r="30" spans="1:6" ht="18" customHeight="1" x14ac:dyDescent="0.25">
      <c r="A30" s="18" t="s">
        <v>49</v>
      </c>
      <c r="B30" s="19"/>
      <c r="C30" s="19"/>
      <c r="D30" s="19"/>
      <c r="E30" s="19"/>
      <c r="F30" s="19"/>
    </row>
    <row r="31" spans="1:6" x14ac:dyDescent="0.25">
      <c r="A31" s="6" t="s">
        <v>50</v>
      </c>
      <c r="B31" s="7" t="s">
        <v>51</v>
      </c>
      <c r="C31" s="8">
        <f>(1/C12)*C22*_xlfn.SINGLE(_xlfn.NORM.S.DIST(C20,TRUE))</f>
        <v>0.42453921821242435</v>
      </c>
      <c r="D31" s="9"/>
    </row>
    <row r="32" spans="1:6" x14ac:dyDescent="0.25">
      <c r="A32" s="6" t="s">
        <v>52</v>
      </c>
      <c r="B32" s="7" t="s">
        <v>53</v>
      </c>
      <c r="C32" s="8">
        <f>(1/C12)*C17*C22*_xlfn.SINGLE(_xlfn.NORM.S.DIST(C20,FALSE))*SQRT(C8)*0.01</f>
        <v>0.22945262902165675</v>
      </c>
      <c r="D32" s="9" t="s">
        <v>54</v>
      </c>
    </row>
    <row r="34" spans="1:6" ht="18" customHeight="1" x14ac:dyDescent="0.25">
      <c r="A34" s="18" t="s">
        <v>55</v>
      </c>
      <c r="B34" s="19"/>
      <c r="C34" s="19"/>
      <c r="D34" s="19"/>
      <c r="E34" s="19"/>
      <c r="F34" s="19"/>
    </row>
    <row r="35" spans="1:6" x14ac:dyDescent="0.25">
      <c r="A35" s="14" t="s">
        <v>56</v>
      </c>
      <c r="B35" s="14" t="s">
        <v>57</v>
      </c>
      <c r="C35" s="14" t="s">
        <v>58</v>
      </c>
      <c r="D35" s="14" t="s">
        <v>59</v>
      </c>
      <c r="E35" s="14" t="s">
        <v>60</v>
      </c>
      <c r="F35" s="14" t="s">
        <v>61</v>
      </c>
    </row>
    <row r="36" spans="1:6" x14ac:dyDescent="0.25">
      <c r="A36" s="15">
        <v>70</v>
      </c>
      <c r="B36" s="16">
        <v>2.0199999999999999E-2</v>
      </c>
      <c r="C36" s="16">
        <v>1.9300000000000001E-2</v>
      </c>
      <c r="D36" s="16">
        <v>1.7999999999999999E-2</v>
      </c>
      <c r="E36" s="16">
        <v>1.6899999999999998E-2</v>
      </c>
      <c r="F36" s="16">
        <v>1.61E-2</v>
      </c>
    </row>
    <row r="37" spans="1:6" x14ac:dyDescent="0.25">
      <c r="A37" s="15">
        <v>75</v>
      </c>
      <c r="B37" s="17">
        <v>8.5199999999999998E-2</v>
      </c>
      <c r="C37" s="17">
        <v>8.2000000000000003E-2</v>
      </c>
      <c r="D37" s="17">
        <v>7.7299999999999994E-2</v>
      </c>
      <c r="E37" s="17">
        <v>7.2900000000000006E-2</v>
      </c>
      <c r="F37" s="17">
        <v>7.0000000000000007E-2</v>
      </c>
    </row>
    <row r="38" spans="1:6" x14ac:dyDescent="0.25">
      <c r="A38" s="15">
        <v>80</v>
      </c>
      <c r="B38" s="16">
        <v>0.27479999999999999</v>
      </c>
      <c r="C38" s="16">
        <v>0.26569999999999999</v>
      </c>
      <c r="D38" s="16">
        <v>0.2525</v>
      </c>
      <c r="E38" s="16">
        <v>0.2399</v>
      </c>
      <c r="F38" s="16">
        <v>0.23169999999999999</v>
      </c>
    </row>
    <row r="39" spans="1:6" x14ac:dyDescent="0.25">
      <c r="A39" s="15">
        <v>85</v>
      </c>
      <c r="B39" s="17">
        <v>0.7117</v>
      </c>
      <c r="C39" s="17">
        <v>0.69120000000000004</v>
      </c>
      <c r="D39" s="17">
        <v>0.66139999999999999</v>
      </c>
      <c r="E39" s="17">
        <v>0.63270000000000004</v>
      </c>
      <c r="F39" s="17">
        <v>0.61409999999999998</v>
      </c>
    </row>
    <row r="40" spans="1:6" x14ac:dyDescent="0.25">
      <c r="A40" s="15">
        <v>90</v>
      </c>
      <c r="B40" s="16">
        <v>1.542</v>
      </c>
      <c r="C40" s="16">
        <v>1.5038</v>
      </c>
      <c r="D40" s="16">
        <v>1.4478</v>
      </c>
      <c r="E40" s="16">
        <v>1.3935</v>
      </c>
      <c r="F40" s="16">
        <v>1.3582000000000001</v>
      </c>
    </row>
    <row r="41" spans="1:6" x14ac:dyDescent="0.25">
      <c r="A41" s="15">
        <v>95</v>
      </c>
      <c r="B41" s="17">
        <v>2.8914</v>
      </c>
      <c r="C41" s="17">
        <v>2.8296999999999999</v>
      </c>
      <c r="D41" s="17">
        <v>2.7389999999999999</v>
      </c>
      <c r="E41" s="17">
        <v>2.6503999999999999</v>
      </c>
      <c r="F41" s="17">
        <v>2.5924999999999998</v>
      </c>
    </row>
    <row r="42" spans="1:6" x14ac:dyDescent="0.25">
      <c r="A42" s="15">
        <v>100</v>
      </c>
      <c r="B42" s="16">
        <v>4.8238000000000003</v>
      </c>
      <c r="C42" s="16">
        <v>4.7352999999999996</v>
      </c>
      <c r="D42" s="16">
        <v>4.6045999999999996</v>
      </c>
      <c r="E42" s="16">
        <v>4.4763999999999999</v>
      </c>
      <c r="F42" s="16">
        <v>4.3922999999999996</v>
      </c>
    </row>
    <row r="43" spans="1:6" x14ac:dyDescent="0.25">
      <c r="A43" s="15">
        <v>105</v>
      </c>
      <c r="B43" s="17">
        <v>7.3265000000000002</v>
      </c>
      <c r="C43" s="17">
        <v>7.2107999999999999</v>
      </c>
      <c r="D43" s="17">
        <v>7.0393999999999997</v>
      </c>
      <c r="E43" s="17">
        <v>6.8705999999999996</v>
      </c>
      <c r="F43" s="17">
        <v>6.7594000000000003</v>
      </c>
    </row>
    <row r="44" spans="1:6" x14ac:dyDescent="0.25">
      <c r="A44" s="15">
        <v>110</v>
      </c>
      <c r="B44" s="16">
        <v>10.3245</v>
      </c>
      <c r="C44" s="16">
        <v>10.1837</v>
      </c>
      <c r="D44" s="16">
        <v>9.9745000000000008</v>
      </c>
      <c r="E44" s="16">
        <v>9.7676999999999996</v>
      </c>
      <c r="F44" s="16">
        <v>9.6311</v>
      </c>
    </row>
    <row r="45" spans="1:6" x14ac:dyDescent="0.25">
      <c r="A45" s="15">
        <v>115</v>
      </c>
      <c r="B45" s="17">
        <v>13.710699999999999</v>
      </c>
      <c r="C45" s="17">
        <v>13.5482</v>
      </c>
      <c r="D45" s="17">
        <v>13.3062</v>
      </c>
      <c r="E45" s="17">
        <v>13.0662</v>
      </c>
      <c r="F45" s="17">
        <v>12.907400000000001</v>
      </c>
    </row>
    <row r="46" spans="1:6" x14ac:dyDescent="0.25">
      <c r="A46" s="15">
        <v>120</v>
      </c>
      <c r="B46" s="16">
        <v>17.3751</v>
      </c>
      <c r="C46" s="16">
        <v>17.194500000000001</v>
      </c>
      <c r="D46" s="16">
        <v>16.9251</v>
      </c>
      <c r="E46" s="16">
        <v>16.657499999999999</v>
      </c>
      <c r="F46" s="16">
        <v>16.4801</v>
      </c>
    </row>
    <row r="47" spans="1:6" x14ac:dyDescent="0.25">
      <c r="A47" s="15">
        <v>125</v>
      </c>
      <c r="B47" s="17">
        <v>21.223700000000001</v>
      </c>
      <c r="C47" s="17">
        <v>21.028300000000002</v>
      </c>
      <c r="D47" s="17">
        <v>20.7364</v>
      </c>
      <c r="E47" s="17">
        <v>20.446100000000001</v>
      </c>
      <c r="F47" s="17">
        <v>20.253399999999999</v>
      </c>
    </row>
    <row r="48" spans="1:6" x14ac:dyDescent="0.25">
      <c r="A48" s="15">
        <v>130</v>
      </c>
      <c r="B48" s="16">
        <v>25.186499999999999</v>
      </c>
      <c r="C48" s="16">
        <v>24.9787</v>
      </c>
      <c r="D48" s="16">
        <v>24.668099999999999</v>
      </c>
      <c r="E48" s="16">
        <v>24.358799999999999</v>
      </c>
      <c r="F48" s="16">
        <v>24.153400000000001</v>
      </c>
    </row>
  </sheetData>
  <mergeCells count="10">
    <mergeCell ref="A1:F1"/>
    <mergeCell ref="A28:E28"/>
    <mergeCell ref="A34:F34"/>
    <mergeCell ref="A4:F4"/>
    <mergeCell ref="A30:F30"/>
    <mergeCell ref="A24:F24"/>
    <mergeCell ref="A2:F2"/>
    <mergeCell ref="A19:F19"/>
    <mergeCell ref="A14:F14"/>
    <mergeCell ref="A15:E15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Quanto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Chihsuan Wang</cp:lastModifiedBy>
  <dcterms:created xsi:type="dcterms:W3CDTF">2026-04-10T06:18:21Z</dcterms:created>
  <dcterms:modified xsi:type="dcterms:W3CDTF">2026-04-10T06:20:33Z</dcterms:modified>
</cp:coreProperties>
</file>