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hs\Claude_DoctoCode\文件\"/>
    </mc:Choice>
  </mc:AlternateContent>
  <xr:revisionPtr revIDLastSave="0" documentId="13_ncr:1_{2CCDAE54-7222-44BB-9C90-9F6B9FA77C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W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28" i="1"/>
  <c r="C22" i="1"/>
  <c r="C21" i="1"/>
  <c r="C19" i="1"/>
  <c r="C20" i="1" s="1"/>
  <c r="C14" i="1"/>
  <c r="C13" i="1"/>
  <c r="C15" i="1" s="1"/>
  <c r="C36" i="1" l="1"/>
  <c r="C40" i="1" s="1"/>
  <c r="C16" i="1"/>
  <c r="C38" i="1" s="1"/>
  <c r="C41" i="1" s="1"/>
</calcChain>
</file>

<file path=xl/sharedStrings.xml><?xml version="1.0" encoding="utf-8"?>
<sst xmlns="http://schemas.openxmlformats.org/spreadsheetml/2006/main" count="92" uniqueCount="82">
  <si>
    <t>American Futures Option — Barone-Adesi Whaley (BAW) Approximation</t>
  </si>
  <si>
    <t>Ref: Barone-Adesi &amp; Whaley (1987), J. Finance. C = c + Ac·(F/F*c)^γc if F &lt; F*c, else F−K</t>
  </si>
  <si>
    <t>▌ INPUT PARAMETERS  （黃色格可修改）</t>
  </si>
  <si>
    <t>Futures Price</t>
  </si>
  <si>
    <t>F</t>
  </si>
  <si>
    <t>USD</t>
  </si>
  <si>
    <t>Strike Price</t>
  </si>
  <si>
    <t>K</t>
  </si>
  <si>
    <t>Risk-Free Rate</t>
  </si>
  <si>
    <t>r</t>
  </si>
  <si>
    <t>decimal</t>
  </si>
  <si>
    <t>Time to Expiry</t>
  </si>
  <si>
    <t>T</t>
  </si>
  <si>
    <t>Years</t>
  </si>
  <si>
    <t>Volatility</t>
  </si>
  <si>
    <t>σ</t>
  </si>
  <si>
    <t>▌ BAW PARAMETERS  (for futures: y = r, n = 0)</t>
  </si>
  <si>
    <t xml:space="preserve">  公式：m = 2rT/σ²，l = 1−e^(−rT)，γ_c = [1+√(1+4m/l)]/2，γ_p = [1−√(1+4m/l)]/2</t>
  </si>
  <si>
    <t>m = 2rT/σ²</t>
  </si>
  <si>
    <t>m</t>
  </si>
  <si>
    <t>l = 1 − e^(−rT)</t>
  </si>
  <si>
    <t>l</t>
  </si>
  <si>
    <t>γ_c (call parameter)</t>
  </si>
  <si>
    <t>γ_c</t>
  </si>
  <si>
    <t>γ_p (put parameter)</t>
  </si>
  <si>
    <t>γ_p</t>
  </si>
  <si>
    <t>▌ EUROPEAN COMPONENT  (Black-76, embedded in BAW)</t>
  </si>
  <si>
    <t>d₁  (European)</t>
  </si>
  <si>
    <t>d₁</t>
  </si>
  <si>
    <t>d₂  (European)</t>
  </si>
  <si>
    <t>d₂</t>
  </si>
  <si>
    <t>European Call c</t>
  </si>
  <si>
    <t>c</t>
  </si>
  <si>
    <t>European Put p</t>
  </si>
  <si>
    <t>p</t>
  </si>
  <si>
    <t>▌ CRITICAL PRICE F*  (由 Newton-Raphson 迭代求解)</t>
  </si>
  <si>
    <t xml:space="preserve">  條件：F*_c − K = c(F*_c) + Ac(F*_c)；以下數值由 Python 求解，可用 Goal Seek 驗證</t>
  </si>
  <si>
    <t>Critical Call Price  F*_c</t>
  </si>
  <si>
    <t>F*_c</t>
  </si>
  <si>
    <t>Critical Put Price   F*_p</t>
  </si>
  <si>
    <t>F*_p</t>
  </si>
  <si>
    <t>Call boundary check  [F*_c − K − c(F*_c) − Ac(F*_c)]</t>
  </si>
  <si>
    <t>err_c</t>
  </si>
  <si>
    <t>≈ 0</t>
  </si>
  <si>
    <t xml:space="preserve">  ☑ Goal Seek：將 C28 設為 0，調整 C26（F*_c），可重新求解臨界價格</t>
  </si>
  <si>
    <t>▌ EARLY EXERCISE COEFFICIENTS</t>
  </si>
  <si>
    <t>Ac = (F*_c / γ_c)·(1 − e^(−rT)·N(d₁(F*_c)))</t>
  </si>
  <si>
    <t>Ac</t>
  </si>
  <si>
    <t>Ap = (F*_p / γ_p)·(e^(−rT)·N(−d₁(F*_p)) − 1)</t>
  </si>
  <si>
    <t>Ap</t>
  </si>
  <si>
    <t>▌ AMERICAN OPTION PRICES</t>
  </si>
  <si>
    <t>American Call  C(F,T)  [if F &lt; F*_c: c + Ac·(F/F*_c)^γ_c]</t>
  </si>
  <si>
    <t>C_Am</t>
  </si>
  <si>
    <t xml:space="preserve">  ※ 若 F ≥ F*_c，則立即行使（Immediate Exercise Value = F − K）</t>
  </si>
  <si>
    <t>American Put   P(F,T)  [if F &gt; F*_p: p + Ap·(F/F*_p)^γ_p]</t>
  </si>
  <si>
    <t>P_Am</t>
  </si>
  <si>
    <t xml:space="preserve">  ※ 若 F ≤ F*_p，則立即行使（Immediate Exercise Value = K − F）</t>
  </si>
  <si>
    <t>Early Exercise Premium — Call  (C_Am − c)</t>
  </si>
  <si>
    <t>EEP_c</t>
  </si>
  <si>
    <t>Early Exercise Premium — Put   (P_Am − p)</t>
  </si>
  <si>
    <t>EEP_p</t>
  </si>
  <si>
    <t>▌ SENSITIVITY TABLE — American vs European (K=100, r=5%, T=0.5yr, σ=20%)</t>
  </si>
  <si>
    <t>Futures Price F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</si>
  <si>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</si>
  <si>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</si>
  <si>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</si>
  <si>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</si>
  <si>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</si>
  <si>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</si>
  <si>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</si>
  <si>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</si>
  <si>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</si>
  <si>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</si>
  <si>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</si>
  <si>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</si>
  <si>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</si>
  <si>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Eur. Call</t>
  </si>
  <si>
    <t>Am. Call</t>
  </si>
  <si>
    <t>EEP (Call)</t>
  </si>
  <si>
    <t>Eur. Put</t>
  </si>
  <si>
    <t>Am. Put</t>
  </si>
  <si>
    <t>EEP (Put)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</si>
</sst>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77" formatCode="#,##0.000000"/>
  </numFmts>
  <fonts count="14" x14ac:knownFonts="1">
    <font>
      <sz val="11"/>
      <color theme="1"/>
      <name val="新細明體"/>
      <family val="2"/>
      <scheme val="minor"/>
    </font>
    <font>
      <b/>
      <sz val="14"/>
      <color rgb="FFFFFFFF"/>
      <name val="微軟正黑體"/>
      <family val="2"/>
      <charset val="136"/>
    </font>
    <font>
      <i/>
      <sz val="9"/>
      <color rgb="FF444444"/>
      <name val="微軟正黑體"/>
      <family val="2"/>
      <charset val="136"/>
    </font>
    <font>
      <b/>
      <sz val="10"/>
      <color rgb="FF1F497D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i/>
      <sz val="10"/>
      <color rgb="FF1F497D"/>
      <name val="微軟正黑體"/>
      <family val="2"/>
      <charset val="136"/>
    </font>
    <font>
      <b/>
      <sz val="10"/>
      <color rgb="FFC00000"/>
      <name val="微軟正黑體"/>
      <family val="2"/>
      <charset val="136"/>
    </font>
    <font>
      <sz val="9"/>
      <color rgb="FF666666"/>
      <name val="微軟正黑體"/>
      <family val="2"/>
      <charset val="136"/>
    </font>
    <font>
      <i/>
      <sz val="9"/>
      <color rgb="FF888888"/>
      <name val="微軟正黑體"/>
      <family val="2"/>
      <charset val="136"/>
    </font>
    <font>
      <sz val="10"/>
      <color rgb="FF333333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9"/>
      <color rgb="FFFFFFFF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8F0FB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FFF9E0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7" fillId="5" borderId="1" xfId="0" applyFont="1" applyFill="1" applyBorder="1"/>
    <xf numFmtId="0" fontId="4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/>
    <xf numFmtId="177" fontId="6" fillId="7" borderId="1" xfId="0" applyNumberFormat="1" applyFont="1" applyFill="1" applyBorder="1" applyAlignment="1">
      <alignment horizontal="right" vertical="center"/>
    </xf>
    <xf numFmtId="0" fontId="10" fillId="8" borderId="1" xfId="0" applyFont="1" applyFill="1" applyBorder="1"/>
    <xf numFmtId="0" fontId="5" fillId="8" borderId="1" xfId="0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2" fillId="6" borderId="1" xfId="0" applyFont="1" applyFill="1" applyBorder="1"/>
    <xf numFmtId="176" fontId="12" fillId="6" borderId="1" xfId="0" applyNumberFormat="1" applyFont="1" applyFill="1" applyBorder="1"/>
    <xf numFmtId="176" fontId="12" fillId="9" borderId="1" xfId="0" applyNumberFormat="1" applyFont="1" applyFill="1" applyBorder="1"/>
    <xf numFmtId="0" fontId="3" fillId="4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30" workbookViewId="0">
      <selection activeCell="C62" sqref="C62"/>
    </sheetView>
  </sheetViews>
  <sheetFormatPr defaultRowHeight="15.75" x14ac:dyDescent="0.25"/>
  <cols>
    <col min="1" max="1" width="38" customWidth="1"/>
    <col min="2" max="2" width="10" customWidth="1"/>
    <col min="3" max="3" width="16" customWidth="1"/>
    <col min="4" max="4" width="12" customWidth="1"/>
    <col min="5" max="5" width="42" customWidth="1"/>
  </cols>
  <sheetData>
    <row r="1" spans="1:6" ht="30" customHeight="1" x14ac:dyDescent="0.25">
      <c r="A1" s="22" t="s">
        <v>0</v>
      </c>
      <c r="B1" s="19"/>
      <c r="C1" s="19"/>
      <c r="D1" s="19"/>
      <c r="E1" s="19"/>
      <c r="F1" s="19"/>
    </row>
    <row r="2" spans="1:6" x14ac:dyDescent="0.25">
      <c r="A2" s="20" t="s">
        <v>1</v>
      </c>
      <c r="B2" s="19"/>
      <c r="C2" s="19"/>
      <c r="D2" s="19"/>
      <c r="E2" s="19"/>
      <c r="F2" s="19"/>
    </row>
    <row r="4" spans="1:6" ht="18" customHeight="1" x14ac:dyDescent="0.25">
      <c r="A4" s="18" t="s">
        <v>2</v>
      </c>
      <c r="B4" s="19"/>
      <c r="C4" s="19"/>
      <c r="D4" s="19"/>
      <c r="E4" s="19"/>
      <c r="F4" s="19"/>
    </row>
    <row r="5" spans="1:6" x14ac:dyDescent="0.25">
      <c r="A5" s="1" t="s">
        <v>3</v>
      </c>
      <c r="B5" s="2" t="s">
        <v>4</v>
      </c>
      <c r="C5" s="3">
        <v>100</v>
      </c>
      <c r="D5" s="4" t="s">
        <v>5</v>
      </c>
    </row>
    <row r="6" spans="1:6" x14ac:dyDescent="0.25">
      <c r="A6" s="1" t="s">
        <v>6</v>
      </c>
      <c r="B6" s="2" t="s">
        <v>7</v>
      </c>
      <c r="C6" s="3">
        <v>100</v>
      </c>
      <c r="D6" s="4" t="s">
        <v>5</v>
      </c>
    </row>
    <row r="7" spans="1:6" x14ac:dyDescent="0.25">
      <c r="A7" s="1" t="s">
        <v>8</v>
      </c>
      <c r="B7" s="2" t="s">
        <v>9</v>
      </c>
      <c r="C7" s="3">
        <v>0.05</v>
      </c>
      <c r="D7" s="4" t="s">
        <v>10</v>
      </c>
    </row>
    <row r="8" spans="1:6" x14ac:dyDescent="0.25">
      <c r="A8" s="1" t="s">
        <v>11</v>
      </c>
      <c r="B8" s="2" t="s">
        <v>12</v>
      </c>
      <c r="C8" s="3">
        <v>0.5</v>
      </c>
      <c r="D8" s="4" t="s">
        <v>13</v>
      </c>
    </row>
    <row r="9" spans="1:6" x14ac:dyDescent="0.25">
      <c r="A9" s="1" t="s">
        <v>14</v>
      </c>
      <c r="B9" s="2" t="s">
        <v>15</v>
      </c>
      <c r="C9" s="3">
        <v>0.2</v>
      </c>
      <c r="D9" s="4" t="s">
        <v>10</v>
      </c>
    </row>
    <row r="11" spans="1:6" ht="18" customHeight="1" x14ac:dyDescent="0.25">
      <c r="A11" s="18" t="s">
        <v>16</v>
      </c>
      <c r="B11" s="19"/>
      <c r="C11" s="19"/>
      <c r="D11" s="19"/>
      <c r="E11" s="19"/>
      <c r="F11" s="19"/>
    </row>
    <row r="12" spans="1:6" x14ac:dyDescent="0.25">
      <c r="A12" s="21" t="s">
        <v>17</v>
      </c>
      <c r="B12" s="19"/>
      <c r="C12" s="19"/>
      <c r="D12" s="19"/>
      <c r="E12" s="19"/>
    </row>
    <row r="13" spans="1:6" x14ac:dyDescent="0.25">
      <c r="A13" s="5" t="s">
        <v>18</v>
      </c>
      <c r="B13" s="6" t="s">
        <v>19</v>
      </c>
      <c r="C13" s="7">
        <f>2*C7*C8/C9^2</f>
        <v>1.2499999999999998</v>
      </c>
      <c r="D13" s="8"/>
    </row>
    <row r="14" spans="1:6" x14ac:dyDescent="0.25">
      <c r="A14" s="5" t="s">
        <v>20</v>
      </c>
      <c r="B14" s="6" t="s">
        <v>21</v>
      </c>
      <c r="C14" s="7">
        <f>1-EXP(-C7*C8)</f>
        <v>2.4690087971667385E-2</v>
      </c>
      <c r="D14" s="8"/>
    </row>
    <row r="15" spans="1:6" x14ac:dyDescent="0.25">
      <c r="A15" s="5" t="s">
        <v>22</v>
      </c>
      <c r="B15" s="6" t="s">
        <v>23</v>
      </c>
      <c r="C15" s="7">
        <f>(1+SQRT(1+4*C13/C14))/2</f>
        <v>7.6328538565948634</v>
      </c>
      <c r="D15" s="8"/>
    </row>
    <row r="16" spans="1:6" x14ac:dyDescent="0.25">
      <c r="A16" s="5" t="s">
        <v>24</v>
      </c>
      <c r="B16" s="6" t="s">
        <v>25</v>
      </c>
      <c r="C16" s="7">
        <f>(1-SQRT(1+4*C13/C14))/2</f>
        <v>-6.6328538565948634</v>
      </c>
      <c r="D16" s="8"/>
    </row>
    <row r="18" spans="1:6" ht="18" customHeight="1" x14ac:dyDescent="0.25">
      <c r="A18" s="18" t="s">
        <v>26</v>
      </c>
      <c r="B18" s="19"/>
      <c r="C18" s="19"/>
      <c r="D18" s="19"/>
      <c r="E18" s="19"/>
      <c r="F18" s="19"/>
    </row>
    <row r="19" spans="1:6" x14ac:dyDescent="0.25">
      <c r="A19" s="5" t="s">
        <v>27</v>
      </c>
      <c r="B19" s="6" t="s">
        <v>28</v>
      </c>
      <c r="C19" s="7">
        <f>(LN(C5/C6)+0.5*C9^2*C8)/(C9*SQRT(C8))</f>
        <v>7.0710678118654752E-2</v>
      </c>
      <c r="D19" s="8"/>
    </row>
    <row r="20" spans="1:6" x14ac:dyDescent="0.25">
      <c r="A20" s="5" t="s">
        <v>29</v>
      </c>
      <c r="B20" s="6" t="s">
        <v>30</v>
      </c>
      <c r="C20" s="7">
        <f>C19-C9*SQRT(C8)</f>
        <v>-7.0710678118654779E-2</v>
      </c>
      <c r="D20" s="8"/>
    </row>
    <row r="21" spans="1:6" x14ac:dyDescent="0.25">
      <c r="A21" s="5" t="s">
        <v>31</v>
      </c>
      <c r="B21" s="6" t="s">
        <v>32</v>
      </c>
      <c r="C21" s="7">
        <f>EXP(-C7*C8)*(C5*_xlfn.SINGLE(_xlfn.NORM.S.DIST(C19,TRUE))-C6*_xlfn.SINGLE(_xlfn.NORM.S.DIST(C20,TRUE)))</f>
        <v>5.4980148706071432</v>
      </c>
      <c r="D21" s="8" t="s">
        <v>5</v>
      </c>
    </row>
    <row r="22" spans="1:6" x14ac:dyDescent="0.25">
      <c r="A22" s="5" t="s">
        <v>33</v>
      </c>
      <c r="B22" s="6" t="s">
        <v>34</v>
      </c>
      <c r="C22" s="7">
        <f>EXP(-C7*C8)*(C6*_xlfn.SINGLE(_xlfn.NORM.S.DIST(-C20,TRUE))-C5*_xlfn.SINGLE(_xlfn.NORM.S.DIST(-C19,TRUE)))</f>
        <v>5.4980148706071432</v>
      </c>
      <c r="D22" s="8" t="s">
        <v>5</v>
      </c>
    </row>
    <row r="24" spans="1:6" ht="18" customHeight="1" x14ac:dyDescent="0.25">
      <c r="A24" s="18" t="s">
        <v>35</v>
      </c>
      <c r="B24" s="19"/>
      <c r="C24" s="19"/>
      <c r="D24" s="19"/>
      <c r="E24" s="19"/>
      <c r="F24" s="19"/>
    </row>
    <row r="25" spans="1:6" x14ac:dyDescent="0.25">
      <c r="A25" s="21" t="s">
        <v>36</v>
      </c>
      <c r="B25" s="19"/>
      <c r="C25" s="19"/>
      <c r="D25" s="19"/>
      <c r="E25" s="19"/>
    </row>
    <row r="26" spans="1:6" x14ac:dyDescent="0.25">
      <c r="A26" s="1" t="s">
        <v>37</v>
      </c>
      <c r="B26" s="2" t="s">
        <v>38</v>
      </c>
      <c r="C26" s="9">
        <v>133.76417499999999</v>
      </c>
      <c r="D26" s="4" t="s">
        <v>5</v>
      </c>
    </row>
    <row r="27" spans="1:6" x14ac:dyDescent="0.25">
      <c r="A27" s="1" t="s">
        <v>39</v>
      </c>
      <c r="B27" s="2" t="s">
        <v>40</v>
      </c>
      <c r="C27" s="9">
        <v>74.758431999999999</v>
      </c>
      <c r="D27" s="4" t="s">
        <v>5</v>
      </c>
    </row>
    <row r="28" spans="1:6" x14ac:dyDescent="0.25">
      <c r="A28" s="5" t="s">
        <v>41</v>
      </c>
      <c r="B28" s="6" t="s">
        <v>42</v>
      </c>
      <c r="C28" s="7">
        <f>C26-C6-EXP(-C7*C8)*(C26*_xlfn.SINGLE(_xlfn.NORM.S.DIST((LN(C26/C6)+0.5*C9^2*C8)/(C9*SQRT(C8)),TRUE))-C6*_xlfn.SINGLE(_xlfn.NORM.S.DIST((LN(C26/C6)+0.5*C9^2*C8)/(C9*SQRT(C8))-C9*SQRT(C8),TRUE)))-(C26/C15)*(1-EXP(-C7*C8)*_xlfn.SINGLE(_xlfn.NORM.S.DIST((LN(C26/C6)+0.5*C9^2*C8)/(C9*SQRT(C8)),TRUE)))</f>
        <v>3.4828085193616687E-8</v>
      </c>
      <c r="D28" s="8" t="s">
        <v>43</v>
      </c>
    </row>
    <row r="29" spans="1:6" x14ac:dyDescent="0.25">
      <c r="A29" s="21" t="s">
        <v>44</v>
      </c>
      <c r="B29" s="19"/>
      <c r="C29" s="19"/>
      <c r="D29" s="19"/>
      <c r="E29" s="19"/>
    </row>
    <row r="31" spans="1:6" ht="18" customHeight="1" x14ac:dyDescent="0.25">
      <c r="A31" s="18" t="s">
        <v>45</v>
      </c>
      <c r="B31" s="19"/>
      <c r="C31" s="19"/>
      <c r="D31" s="19"/>
      <c r="E31" s="19"/>
      <c r="F31" s="19"/>
    </row>
    <row r="32" spans="1:6" x14ac:dyDescent="0.25">
      <c r="A32" s="5" t="s">
        <v>46</v>
      </c>
      <c r="B32" s="6" t="s">
        <v>47</v>
      </c>
      <c r="C32" s="7">
        <f>(C26/C15)*(1-EXP(-C7*C8)*_xlfn.SINGLE(_xlfn.NORM.S.DIST((LN(C26/C6)+0.5*C9^2*C8)/(C9*SQRT(C8)),TRUE)))</f>
        <v>0.71777186764695788</v>
      </c>
      <c r="D32" s="8"/>
    </row>
    <row r="33" spans="1:14" x14ac:dyDescent="0.25">
      <c r="A33" s="5" t="s">
        <v>48</v>
      </c>
      <c r="B33" s="6" t="s">
        <v>49</v>
      </c>
      <c r="C33" s="7">
        <f>(C27/C16)*(EXP(-C7*C8)*_xlfn.SINGLE(_xlfn.NORM.S.DIST(-((LN(C27/C6)+0.5*C9^2*C8)/(C9*SQRT(C8))),TRUE))-1)</f>
        <v>0.53659498137275963</v>
      </c>
      <c r="D33" s="8"/>
    </row>
    <row r="35" spans="1:14" ht="18" customHeight="1" x14ac:dyDescent="0.25">
      <c r="A35" s="18" t="s">
        <v>50</v>
      </c>
      <c r="B35" s="19"/>
      <c r="C35" s="19"/>
      <c r="D35" s="19"/>
      <c r="E35" s="19"/>
      <c r="F35" s="19"/>
    </row>
    <row r="36" spans="1:14" x14ac:dyDescent="0.25">
      <c r="A36" s="10" t="s">
        <v>51</v>
      </c>
      <c r="B36" s="11" t="s">
        <v>52</v>
      </c>
      <c r="C36" s="12">
        <f>IF(C5&gt;=C26,C5-C6,C21+C32*(C5/C26)^C15)</f>
        <v>5.5759356137345186</v>
      </c>
      <c r="D36" s="13" t="s">
        <v>5</v>
      </c>
    </row>
    <row r="37" spans="1:14" x14ac:dyDescent="0.25">
      <c r="A37" s="21" t="s">
        <v>53</v>
      </c>
      <c r="B37" s="19"/>
      <c r="C37" s="19"/>
      <c r="D37" s="19"/>
      <c r="E37" s="19"/>
    </row>
    <row r="38" spans="1:14" x14ac:dyDescent="0.25">
      <c r="A38" s="10" t="s">
        <v>54</v>
      </c>
      <c r="B38" s="11" t="s">
        <v>55</v>
      </c>
      <c r="C38" s="12">
        <f>IF(C5&lt;=C27,C6-C5,C22+C33*(C5/C27)^C16)</f>
        <v>5.5759356108169102</v>
      </c>
      <c r="D38" s="13" t="s">
        <v>5</v>
      </c>
    </row>
    <row r="39" spans="1:14" x14ac:dyDescent="0.25">
      <c r="A39" s="21" t="s">
        <v>56</v>
      </c>
      <c r="B39" s="19"/>
      <c r="C39" s="19"/>
      <c r="D39" s="19"/>
      <c r="E39" s="19"/>
    </row>
    <row r="40" spans="1:14" x14ac:dyDescent="0.25">
      <c r="A40" s="5" t="s">
        <v>57</v>
      </c>
      <c r="B40" s="6" t="s">
        <v>58</v>
      </c>
      <c r="C40" s="7">
        <f>C36-C21</f>
        <v>7.7920743127375403E-2</v>
      </c>
      <c r="D40" s="8" t="s">
        <v>5</v>
      </c>
    </row>
    <row r="41" spans="1:14" x14ac:dyDescent="0.25">
      <c r="A41" s="5" t="s">
        <v>59</v>
      </c>
      <c r="B41" s="6" t="s">
        <v>60</v>
      </c>
      <c r="C41" s="7">
        <f>C38-C22</f>
        <v>7.7920740209767025E-2</v>
      </c>
      <c r="D41" s="8" t="s">
        <v>5</v>
      </c>
    </row>
    <row r="43" spans="1:14" ht="18" customHeight="1" x14ac:dyDescent="0.25">
      <c r="A43" s="18" t="s">
        <v>61</v>
      </c>
      <c r="B43" s="19"/>
      <c r="C43" s="19"/>
      <c r="D43" s="19"/>
      <c r="E43" s="19"/>
      <c r="F43" s="19"/>
    </row>
    <row r="44" spans="1:14" x14ac:dyDescent="0.25">
      <c r="A44" s="14" t="s">
        <v>62</v>
      </c>
      <c r="B44" s="14" t="s">
        <v>63</v>
      </c>
      <c r="C44" s="14" t="s">
        <v>64</v>
      </c>
      <c r="D44" s="14" t="s">
        <v>65</v>
      </c>
      <c r="E44" s="14" t="s">
        <v>66</v>
      </c>
      <c r="F44" s="14" t="s">
        <v>67</v>
      </c>
      <c r="G44" s="14" t="s">
        <v>68</v>
      </c>
      <c r="H44" s="14" t="s">
        <v>69</v>
      </c>
      <c r="I44" s="14" t="s">
        <v>70</v>
      </c>
      <c r="J44" s="14" t="s">
        <v>71</v>
      </c>
      <c r="K44" s="14" t="s">
        <v>72</v>
      </c>
      <c r="L44" s="14" t="s">
        <v>73</v>
      </c>
      <c r="M44" s="14" t="s">
        <v>74</v>
      </c>
      <c r="N44" s="14" t="s">
        <v>75</v>
      </c>
    </row>
    <row r="45" spans="1:14" x14ac:dyDescent="0.25">
      <c r="A45" s="15" t="s">
        <v>76</v>
      </c>
      <c r="B45" s="16">
        <v>2.1499999999999998E-2</v>
      </c>
      <c r="C45" s="16">
        <v>9.2299999999999993E-2</v>
      </c>
      <c r="D45" s="16">
        <v>0.30149999999999999</v>
      </c>
      <c r="E45" s="16">
        <v>0.78969999999999996</v>
      </c>
      <c r="F45" s="16">
        <v>1.7286999999999999</v>
      </c>
      <c r="G45" s="16">
        <v>3.2704</v>
      </c>
      <c r="H45" s="16">
        <v>5.4980000000000002</v>
      </c>
      <c r="I45" s="16">
        <v>8.4052000000000007</v>
      </c>
      <c r="J45" s="16">
        <v>11.909700000000001</v>
      </c>
      <c r="K45" s="16">
        <v>15.8878</v>
      </c>
      <c r="L45" s="16">
        <v>20.2088</v>
      </c>
      <c r="M45" s="16">
        <v>24.759599999999999</v>
      </c>
      <c r="N45" s="16">
        <v>29.4541</v>
      </c>
    </row>
    <row r="46" spans="1:14" x14ac:dyDescent="0.25">
      <c r="A46" s="15" t="s">
        <v>77</v>
      </c>
      <c r="B46" s="17">
        <v>2.6700000000000002E-2</v>
      </c>
      <c r="C46" s="17">
        <v>0.10100000000000001</v>
      </c>
      <c r="D46" s="17">
        <v>0.31569999999999998</v>
      </c>
      <c r="E46" s="17">
        <v>0.81230000000000002</v>
      </c>
      <c r="F46" s="17">
        <v>1.7636000000000001</v>
      </c>
      <c r="G46" s="17">
        <v>3.3231000000000002</v>
      </c>
      <c r="H46" s="17">
        <v>5.5758999999999999</v>
      </c>
      <c r="I46" s="17">
        <v>8.5183</v>
      </c>
      <c r="J46" s="17">
        <v>12.071</v>
      </c>
      <c r="K46" s="17">
        <v>16.1142</v>
      </c>
      <c r="L46" s="17">
        <v>20.522200000000002</v>
      </c>
      <c r="M46" s="17">
        <v>25.1875</v>
      </c>
      <c r="N46" s="17">
        <v>30.031300000000002</v>
      </c>
    </row>
    <row r="47" spans="1:14" x14ac:dyDescent="0.25">
      <c r="A47" s="15" t="s">
        <v>78</v>
      </c>
      <c r="B47" s="16">
        <v>5.1000000000000004E-3</v>
      </c>
      <c r="C47" s="16">
        <v>8.6999999999999994E-3</v>
      </c>
      <c r="D47" s="16">
        <v>1.4200000000000001E-2</v>
      </c>
      <c r="E47" s="16">
        <v>2.2499999999999999E-2</v>
      </c>
      <c r="F47" s="16">
        <v>3.49E-2</v>
      </c>
      <c r="G47" s="16">
        <v>5.2699999999999997E-2</v>
      </c>
      <c r="H47" s="16">
        <v>7.7899999999999997E-2</v>
      </c>
      <c r="I47" s="16">
        <v>0.11310000000000001</v>
      </c>
      <c r="J47" s="16">
        <v>0.1613</v>
      </c>
      <c r="K47" s="16">
        <v>0.22639999999999999</v>
      </c>
      <c r="L47" s="16">
        <v>0.31340000000000001</v>
      </c>
      <c r="M47" s="16">
        <v>0.4279</v>
      </c>
      <c r="N47" s="16">
        <v>0.57730000000000004</v>
      </c>
    </row>
    <row r="48" spans="1:14" x14ac:dyDescent="0.25">
      <c r="A48" s="15" t="s">
        <v>79</v>
      </c>
      <c r="B48" s="17">
        <v>29.280799999999999</v>
      </c>
      <c r="C48" s="17">
        <v>24.475100000000001</v>
      </c>
      <c r="D48" s="17">
        <v>19.807700000000001</v>
      </c>
      <c r="E48" s="17">
        <v>15.4194</v>
      </c>
      <c r="F48" s="17">
        <v>11.4818</v>
      </c>
      <c r="G48" s="17">
        <v>8.1469000000000005</v>
      </c>
      <c r="H48" s="17">
        <v>5.4980000000000002</v>
      </c>
      <c r="I48" s="17">
        <v>3.5286</v>
      </c>
      <c r="J48" s="17">
        <v>2.1566999999999998</v>
      </c>
      <c r="K48" s="17">
        <v>1.2581</v>
      </c>
      <c r="L48" s="17">
        <v>0.7026</v>
      </c>
      <c r="M48" s="17">
        <v>0.37690000000000001</v>
      </c>
      <c r="N48" s="17">
        <v>0.1948</v>
      </c>
    </row>
    <row r="49" spans="1:14" x14ac:dyDescent="0.25">
      <c r="A49" s="15" t="s">
        <v>80</v>
      </c>
      <c r="B49" s="16">
        <v>30</v>
      </c>
      <c r="C49" s="16">
        <v>25.000299999999999</v>
      </c>
      <c r="D49" s="16">
        <v>20.149999999999999</v>
      </c>
      <c r="E49" s="16">
        <v>15.648400000000001</v>
      </c>
      <c r="F49" s="16">
        <v>11.638500000000001</v>
      </c>
      <c r="G49" s="16">
        <v>8.2563999999999993</v>
      </c>
      <c r="H49" s="16">
        <v>5.5758999999999999</v>
      </c>
      <c r="I49" s="16">
        <v>3.585</v>
      </c>
      <c r="J49" s="16">
        <v>2.1981000000000002</v>
      </c>
      <c r="K49" s="16">
        <v>1.2889999999999999</v>
      </c>
      <c r="L49" s="16">
        <v>0.72589999999999999</v>
      </c>
      <c r="M49" s="16">
        <v>0.39460000000000001</v>
      </c>
      <c r="N49" s="16">
        <v>0.2084</v>
      </c>
    </row>
    <row r="50" spans="1:14" x14ac:dyDescent="0.25">
      <c r="A50" s="15" t="s">
        <v>81</v>
      </c>
      <c r="B50" s="17">
        <v>0.71919999999999995</v>
      </c>
      <c r="C50" s="17">
        <v>0.5252</v>
      </c>
      <c r="D50" s="17">
        <v>0.34229999999999999</v>
      </c>
      <c r="E50" s="17">
        <v>0.22900000000000001</v>
      </c>
      <c r="F50" s="17">
        <v>0.15670000000000001</v>
      </c>
      <c r="G50" s="17">
        <v>0.1095</v>
      </c>
      <c r="H50" s="17">
        <v>7.7899999999999997E-2</v>
      </c>
      <c r="I50" s="17">
        <v>5.6399999999999999E-2</v>
      </c>
      <c r="J50" s="17">
        <v>4.1399999999999999E-2</v>
      </c>
      <c r="K50" s="17">
        <v>3.0800000000000001E-2</v>
      </c>
      <c r="L50" s="17">
        <v>2.3300000000000001E-2</v>
      </c>
      <c r="M50" s="17">
        <v>1.77E-2</v>
      </c>
      <c r="N50" s="17">
        <v>1.37E-2</v>
      </c>
    </row>
  </sheetData>
  <mergeCells count="14">
    <mergeCell ref="A43:F43"/>
    <mergeCell ref="A39:E39"/>
    <mergeCell ref="A1:F1"/>
    <mergeCell ref="A25:E25"/>
    <mergeCell ref="A31:F31"/>
    <mergeCell ref="A37:E37"/>
    <mergeCell ref="A18:F18"/>
    <mergeCell ref="A4:F4"/>
    <mergeCell ref="A35:F35"/>
    <mergeCell ref="A24:F24"/>
    <mergeCell ref="A2:F2"/>
    <mergeCell ref="A11:F11"/>
    <mergeCell ref="A12:E12"/>
    <mergeCell ref="A29:E29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BAW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Chihsuan Wang</cp:lastModifiedBy>
  <dcterms:created xsi:type="dcterms:W3CDTF">2026-04-10T06:18:21Z</dcterms:created>
  <dcterms:modified xsi:type="dcterms:W3CDTF">2026-04-10T06:20:20Z</dcterms:modified>
</cp:coreProperties>
</file>