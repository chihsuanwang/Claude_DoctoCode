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基本設定" sheetId="1" state="visible" r:id="rId1"/>
    <sheet xmlns:r="http://schemas.openxmlformats.org/officeDocument/2006/relationships" name="②原始價格與FX" sheetId="2" state="visible" r:id="rId2"/>
    <sheet xmlns:r="http://schemas.openxmlformats.org/officeDocument/2006/relationships" name="③回報計算FX調整" sheetId="3" state="visible" r:id="rId3"/>
    <sheet xmlns:r="http://schemas.openxmlformats.org/officeDocument/2006/relationships" name="④HS歷史模擬法" sheetId="4" state="visible" r:id="rId4"/>
    <sheet xmlns:r="http://schemas.openxmlformats.org/officeDocument/2006/relationships" name="⑤參數法Parametric" sheetId="5" state="visible" r:id="rId5"/>
    <sheet xmlns:r="http://schemas.openxmlformats.org/officeDocument/2006/relationships" name="⑥Monte Carlo模擬" sheetId="6" state="visible" r:id="rId6"/>
    <sheet xmlns:r="http://schemas.openxmlformats.org/officeDocument/2006/relationships" name="⑦三法彙總比較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000"/>
    <numFmt numFmtId="165" formatCode="0.00000"/>
    <numFmt numFmtId="166" formatCode="#,##0.0000"/>
    <numFmt numFmtId="167" formatCode="0.000000"/>
    <numFmt numFmtId="168" formatCode="0.0000"/>
    <numFmt numFmtId="169" formatCode="0.0000000000"/>
    <numFmt numFmtId="170" formatCode="#,##0.000000"/>
    <numFmt numFmtId="171" formatCode="0.00000000"/>
    <numFmt numFmtId="172" formatCode="0.000000000"/>
  </numFmts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97D"/>
      <sz val="10"/>
    </font>
    <font>
      <b val="1"/>
      <color rgb="00FFFFFF"/>
      <sz val="10"/>
    </font>
    <font>
      <sz val="9"/>
    </font>
    <font>
      <b val="1"/>
      <sz val="9"/>
    </font>
    <font>
      <i val="1"/>
      <color rgb="00595959"/>
      <sz val="8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DCE6F1"/>
      </patternFill>
    </fill>
    <fill>
      <patternFill patternType="solid">
        <fgColor rgb="002E75B6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FD5"/>
      </patternFill>
    </fill>
    <fill>
      <patternFill patternType="solid">
        <fgColor rgb="0037562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pivotButton="0" quotePrefix="0" xfId="0"/>
    <xf numFmtId="3" fontId="5" fillId="5" borderId="1" applyAlignment="1" pivotButton="0" quotePrefix="0" xfId="0">
      <alignment horizontal="center" vertical="center"/>
    </xf>
    <xf numFmtId="0" fontId="6" fillId="6" borderId="0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166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167" fontId="0" fillId="0" borderId="1" pivotButton="0" quotePrefix="0" xfId="0"/>
    <xf numFmtId="167" fontId="0" fillId="3" borderId="1" pivotButton="0" quotePrefix="0" xfId="0"/>
    <xf numFmtId="4" fontId="0" fillId="0" borderId="1" pivotButton="0" quotePrefix="0" xfId="0"/>
    <xf numFmtId="4" fontId="0" fillId="8" borderId="1" pivotButton="0" quotePrefix="0" xfId="0"/>
    <xf numFmtId="0" fontId="5" fillId="6" borderId="0" applyAlignment="1" pivotButton="0" quotePrefix="0" xfId="0">
      <alignment horizontal="center" vertical="center"/>
    </xf>
    <xf numFmtId="167" fontId="5" fillId="6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7" fillId="4" borderId="0" pivotButton="0" quotePrefix="0" xfId="0"/>
    <xf numFmtId="0" fontId="7" fillId="9" borderId="0" pivotButton="0" quotePrefix="0" xfId="0"/>
    <xf numFmtId="0" fontId="3" fillId="9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4" fontId="5" fillId="5" borderId="1" pivotButton="0" quotePrefix="0" xfId="0"/>
    <xf numFmtId="0" fontId="5" fillId="6" borderId="0" applyAlignment="1" pivotButton="0" quotePrefix="0" xfId="0">
      <alignment horizontal="left" vertical="center"/>
    </xf>
    <xf numFmtId="4" fontId="5" fillId="5" borderId="0" pivotButton="0" quotePrefix="0" xfId="0"/>
    <xf numFmtId="168" fontId="5" fillId="5" borderId="0" pivotButton="0" quotePrefix="0" xfId="0"/>
    <xf numFmtId="3" fontId="5" fillId="5" borderId="0" pivotButton="0" quotePrefix="0" xfId="0"/>
    <xf numFmtId="10" fontId="5" fillId="5" borderId="0" pivotButton="0" quotePrefix="0" xfId="0"/>
    <xf numFmtId="0" fontId="3" fillId="4" borderId="0" applyAlignment="1" pivotButton="0" quotePrefix="0" xfId="0">
      <alignment horizontal="center" vertical="center" wrapText="1"/>
    </xf>
    <xf numFmtId="4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169" fontId="4" fillId="3" borderId="0" applyAlignment="1" pivotButton="0" quotePrefix="0" xfId="0">
      <alignment horizontal="center" vertical="center"/>
    </xf>
    <xf numFmtId="169" fontId="4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horizontal="center" vertical="center"/>
    </xf>
    <xf numFmtId="168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70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66" fontId="5" fillId="5" borderId="0" applyAlignment="1" pivotButton="0" quotePrefix="0" xfId="0">
      <alignment horizontal="center" vertical="center"/>
    </xf>
    <xf numFmtId="4" fontId="5" fillId="5" borderId="0" applyAlignment="1" pivotButton="0" quotePrefix="0" xfId="0">
      <alignment horizontal="center" vertical="center"/>
    </xf>
    <xf numFmtId="167" fontId="5" fillId="5" borderId="0" applyAlignment="1" pivotButton="0" quotePrefix="0" xfId="0">
      <alignment horizontal="center" vertical="center"/>
    </xf>
    <xf numFmtId="171" fontId="4" fillId="0" borderId="0" applyAlignment="1" pivotButton="0" quotePrefix="0" xfId="0">
      <alignment horizontal="center" vertical="center"/>
    </xf>
    <xf numFmtId="4" fontId="5" fillId="0" borderId="0" applyAlignment="1" pivotButton="0" quotePrefix="0" xfId="0">
      <alignment horizontal="center" vertical="center"/>
    </xf>
    <xf numFmtId="4" fontId="5" fillId="7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172" fontId="4" fillId="3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 wrapText="1"/>
    </xf>
    <xf numFmtId="169" fontId="4" fillId="7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horizontal="center" vertical="center"/>
    </xf>
    <xf numFmtId="4" fontId="4" fillId="7" borderId="0" applyAlignment="1" pivotButton="0" quotePrefix="0" xfId="0">
      <alignment horizontal="center" vertical="center"/>
    </xf>
    <xf numFmtId="3" fontId="5" fillId="5" borderId="0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9.199999999999999" customWidth="1" min="3" max="3"/>
    <col width="8" customWidth="1" min="4" max="4"/>
    <col width="9.199999999999999" customWidth="1" min="5" max="5"/>
    <col width="11.5" customWidth="1" min="6" max="6"/>
    <col width="11.5" customWidth="1" min="7" max="7"/>
    <col width="23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inlineStr">
        <is>
          <t>VaR 逐步計算驗證 — 基本設定（v2）</t>
        </is>
      </c>
    </row>
    <row r="2"/>
    <row r="3">
      <c r="A3" s="2" t="inlineStr">
        <is>
          <t>▌ 資產與部位定義</t>
        </is>
      </c>
    </row>
    <row r="4">
      <c r="A4" s="3" t="inlineStr">
        <is>
          <t>資產名稱</t>
        </is>
      </c>
      <c r="B4" s="3" t="inlineStr">
        <is>
          <t>市場</t>
        </is>
      </c>
      <c r="C4" s="3" t="inlineStr">
        <is>
          <t>幣別</t>
        </is>
      </c>
      <c r="D4" s="3" t="inlineStr">
        <is>
          <t>持有數量</t>
        </is>
      </c>
      <c r="E4" s="3" t="inlineStr">
        <is>
          <t>最新本地價格</t>
        </is>
      </c>
      <c r="F4" s="3" t="inlineStr">
        <is>
          <t>即期匯率(→TWD)</t>
        </is>
      </c>
      <c r="G4" s="3" t="inlineStr">
        <is>
          <t>TWD 市值（G列）</t>
        </is>
      </c>
      <c r="H4" s="3" t="inlineStr">
        <is>
          <t>占組合比重</t>
        </is>
      </c>
    </row>
    <row r="5">
      <c r="A5" s="4" t="inlineStr">
        <is>
          <t>台積電(2330.TW)</t>
        </is>
      </c>
      <c r="B5" s="4" t="inlineStr">
        <is>
          <t>台灣 🇹🇼</t>
        </is>
      </c>
      <c r="C5" s="5" t="inlineStr">
        <is>
          <t>TWD</t>
        </is>
      </c>
      <c r="D5" s="6" t="n">
        <v>1000</v>
      </c>
      <c r="E5" s="7" t="n">
        <v>858.34</v>
      </c>
      <c r="F5" s="8" t="n">
        <v>1</v>
      </c>
      <c r="G5" s="9" t="n">
        <v>858340</v>
      </c>
      <c r="H5" s="10" t="n">
        <v>0.449402668638252</v>
      </c>
    </row>
    <row r="6">
      <c r="A6" s="4" t="inlineStr">
        <is>
          <t>AAPL</t>
        </is>
      </c>
      <c r="B6" s="4" t="inlineStr">
        <is>
          <t>美國 🇺🇸</t>
        </is>
      </c>
      <c r="C6" s="5" t="inlineStr">
        <is>
          <t>USD</t>
        </is>
      </c>
      <c r="D6" s="6" t="n">
        <v>100</v>
      </c>
      <c r="E6" s="7" t="n">
        <v>322.48</v>
      </c>
      <c r="F6" s="8" t="n">
        <v>32.269</v>
      </c>
      <c r="G6" s="9" t="n">
        <v>1040599</v>
      </c>
      <c r="H6" s="10" t="n">
        <v>0.54482871217797</v>
      </c>
    </row>
    <row r="7">
      <c r="A7" s="4" t="inlineStr">
        <is>
          <t>三星(005930.KS)</t>
        </is>
      </c>
      <c r="B7" s="4" t="inlineStr">
        <is>
          <t>韓國 🇰🇷</t>
        </is>
      </c>
      <c r="C7" s="5" t="inlineStr">
        <is>
          <t>KRW</t>
        </is>
      </c>
      <c r="D7" s="6" t="n">
        <v>10</v>
      </c>
      <c r="E7" s="7" t="n">
        <v>44775.73</v>
      </c>
      <c r="F7" s="8" t="n">
        <v>0.0246</v>
      </c>
      <c r="G7" s="9" t="n">
        <v>11018</v>
      </c>
      <c r="H7" s="10" t="n">
        <v>0.005768619183777927</v>
      </c>
    </row>
    <row r="8">
      <c r="A8" s="11" t="n"/>
      <c r="B8" s="11" t="n"/>
      <c r="C8" s="11" t="n"/>
      <c r="D8" s="11" t="n"/>
      <c r="E8" s="11" t="n"/>
      <c r="F8" s="12" t="inlineStr">
        <is>
          <t>組合總市值(TWD)</t>
        </is>
      </c>
      <c r="G8" s="13" t="n">
        <v>1909957</v>
      </c>
      <c r="H8" s="11" t="n"/>
    </row>
    <row r="9">
      <c r="A9" s="14" t="inlineStr">
        <is>
          <t>★ G5:G7（TWD 市值）會被 Sheet 3 P&amp;L 公式直接引用，請勿移動此欄位置。</t>
        </is>
      </c>
    </row>
    <row r="10"/>
    <row r="11">
      <c r="A11" s="2" t="inlineStr">
        <is>
          <t>▌ VaR 計算參數</t>
        </is>
      </c>
    </row>
    <row r="12">
      <c r="A12" s="15" t="inlineStr">
        <is>
          <t>信賴水準 α</t>
        </is>
      </c>
      <c r="B12" s="4" t="inlineStr">
        <is>
          <t>99%</t>
        </is>
      </c>
      <c r="C12" s="11" t="n"/>
      <c r="D12" s="11" t="n"/>
      <c r="E12" s="11" t="n"/>
      <c r="F12" s="11" t="n"/>
    </row>
    <row r="13">
      <c r="A13" s="15" t="inlineStr">
        <is>
          <t>持有天數 h</t>
        </is>
      </c>
      <c r="B13" s="4" t="inlineStr">
        <is>
          <t>1 日</t>
        </is>
      </c>
      <c r="C13" s="11" t="n"/>
      <c r="D13" s="11" t="n"/>
      <c r="E13" s="11" t="n"/>
      <c r="F13" s="11" t="n"/>
    </row>
    <row r="14">
      <c r="A14" s="15" t="inlineStr">
        <is>
          <t>歷史回溯天數 T</t>
        </is>
      </c>
      <c r="B14" s="4" t="inlineStr">
        <is>
          <t>250 個交易日</t>
        </is>
      </c>
      <c r="C14" s="11" t="n"/>
      <c r="D14" s="11" t="n"/>
      <c r="E14" s="11" t="n"/>
      <c r="F14" s="11" t="n"/>
    </row>
    <row r="15">
      <c r="A15" s="15" t="inlineStr">
        <is>
          <t>回報方式</t>
        </is>
      </c>
      <c r="B15" s="4" t="inlineStr">
        <is>
          <t>對數回報 ln(P_t / P_{t-1})</t>
        </is>
      </c>
      <c r="C15" s="11" t="n"/>
      <c r="D15" s="11" t="n"/>
      <c r="E15" s="11" t="n"/>
      <c r="F15" s="11" t="n"/>
    </row>
    <row r="16">
      <c r="A16" s="15" t="inlineStr">
        <is>
          <t>FX 調整</t>
        </is>
      </c>
      <c r="B16" s="4" t="inlineStr">
        <is>
          <t>外幣資產：r_adj = r_local + r_FX（對數精確分解）</t>
        </is>
      </c>
      <c r="C16" s="11" t="n"/>
      <c r="D16" s="11" t="n"/>
      <c r="E16" s="11" t="n"/>
      <c r="F16" s="11" t="n"/>
    </row>
    <row r="17">
      <c r="A17" s="15" t="inlineStr">
        <is>
          <t>z_α</t>
        </is>
      </c>
      <c r="B17" s="4">
        <f>NORM.S.INV(0.99) = 2.326348</f>
        <v/>
      </c>
      <c r="C17" s="11" t="n"/>
      <c r="D17" s="11" t="n"/>
      <c r="E17" s="11" t="n"/>
      <c r="F17" s="11" t="n"/>
    </row>
    <row r="18">
      <c r="A18" s="15" t="inlineStr">
        <is>
          <t>VaR 分位索引（HS）</t>
        </is>
      </c>
      <c r="B18" s="4" t="inlineStr">
        <is>
          <t>idx = floor((1-α)×T) = floor(0.01×250) = 2</t>
        </is>
      </c>
      <c r="C18" s="11" t="n"/>
      <c r="D18" s="11" t="n"/>
      <c r="E18" s="11" t="n"/>
      <c r="F18" s="11" t="n"/>
    </row>
    <row r="19">
      <c r="A19" s="15" t="inlineStr">
        <is>
          <t>HS VaR 公式</t>
        </is>
      </c>
      <c r="B19" s="4" t="inlineStr">
        <is>
          <t>-P&amp;L_sorted[2]  （第 3 小損益）</t>
        </is>
      </c>
      <c r="C19" s="11" t="n"/>
      <c r="D19" s="11" t="n"/>
      <c r="E19" s="11" t="n"/>
      <c r="F19" s="11" t="n"/>
    </row>
    <row r="20">
      <c r="A20" s="15" t="inlineStr">
        <is>
          <t>HS CVaR 公式</t>
        </is>
      </c>
      <c r="B20" s="4" t="inlineStr">
        <is>
          <t>-mean(P&amp;L_sorted[0:2])  （最差 2 筆均值）</t>
        </is>
      </c>
      <c r="C20" s="11" t="n"/>
      <c r="D20" s="11" t="n"/>
      <c r="E20" s="11" t="n"/>
      <c r="F20" s="11" t="n"/>
    </row>
    <row r="21">
      <c r="A21" s="15" t="inlineStr">
        <is>
          <t>MC 模擬路徑數</t>
        </is>
      </c>
      <c r="B21" s="4" t="inlineStr">
        <is>
          <t>5,000</t>
        </is>
      </c>
      <c r="C21" s="11" t="n"/>
      <c r="D21" s="11" t="n"/>
      <c r="E21" s="11" t="n"/>
      <c r="F21" s="11" t="n"/>
    </row>
    <row r="22"/>
    <row r="23">
      <c r="A23" s="2" t="inlineStr">
        <is>
          <t>▌ 即期匯率（計算時使用）</t>
        </is>
      </c>
    </row>
    <row r="24">
      <c r="A24" s="3" t="inlineStr">
        <is>
          <t>幣別</t>
        </is>
      </c>
      <c r="B24" s="3" t="inlineStr">
        <is>
          <t>匯率（1 外幣 = ? TWD）</t>
        </is>
      </c>
      <c r="C24" s="3" t="inlineStr">
        <is>
          <t>說明</t>
        </is>
      </c>
    </row>
    <row r="25">
      <c r="A25" s="5" t="inlineStr">
        <is>
          <t>TWD</t>
        </is>
      </c>
      <c r="B25" s="16" t="n">
        <v>1</v>
      </c>
      <c r="C25" s="4" t="inlineStr">
        <is>
          <t>基礎幣別（不動）</t>
        </is>
      </c>
    </row>
    <row r="26">
      <c r="A26" s="5" t="inlineStr">
        <is>
          <t>USD</t>
        </is>
      </c>
      <c r="B26" s="16" t="n">
        <v>32.26896</v>
      </c>
      <c r="C26" s="4" t="inlineStr">
        <is>
          <t>美元/台幣</t>
        </is>
      </c>
    </row>
    <row r="27">
      <c r="A27" s="5" t="inlineStr">
        <is>
          <t>KRW</t>
        </is>
      </c>
      <c r="B27" s="16" t="n">
        <v>0.02461</v>
      </c>
      <c r="C27" s="4" t="inlineStr">
        <is>
          <t>韓元/台幣</t>
        </is>
      </c>
    </row>
  </sheetData>
  <mergeCells count="15">
    <mergeCell ref="B21:F21"/>
    <mergeCell ref="B12:F12"/>
    <mergeCell ref="B16:F16"/>
    <mergeCell ref="B20:F20"/>
    <mergeCell ref="A11:L11"/>
    <mergeCell ref="B15:F15"/>
    <mergeCell ref="B17:F17"/>
    <mergeCell ref="A23:L23"/>
    <mergeCell ref="B19:F19"/>
    <mergeCell ref="B14:F14"/>
    <mergeCell ref="A1:H1"/>
    <mergeCell ref="A3:L3"/>
    <mergeCell ref="B13:F13"/>
    <mergeCell ref="B18:F18"/>
    <mergeCell ref="A9:K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selection activeCell="A1" sqref="A1"/>
    </sheetView>
  </sheetViews>
  <sheetFormatPr baseColWidth="8" defaultRowHeight="15"/>
  <cols>
    <col width="30" customWidth="1" min="1" max="1"/>
    <col width="9.199999999999999" customWidth="1" min="2" max="2"/>
    <col width="10.35" customWidth="1" min="3" max="3"/>
    <col width="8.049999999999999" customWidth="1" min="4" max="4"/>
    <col width="8" customWidth="1" min="5" max="5"/>
    <col width="11.5" customWidth="1" min="6" max="6"/>
    <col width="8.049999999999999" customWidth="1" min="7" max="7"/>
    <col width="9.199999999999999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原始收盤價 &amp; FX 匯率歷史（本地幣別，純數值）</t>
        </is>
      </c>
    </row>
    <row r="2">
      <c r="A2" s="3" t="inlineStr">
        <is>
          <t>日期</t>
        </is>
      </c>
      <c r="B2" s="3" t="inlineStr">
        <is>
          <t>台積電(TWD)</t>
        </is>
      </c>
      <c r="C2" s="3" t="inlineStr">
        <is>
          <t>AAPL(USD)</t>
        </is>
      </c>
      <c r="D2" s="3" t="inlineStr">
        <is>
          <t>三星(KRW)</t>
        </is>
      </c>
      <c r="F2" s="3" t="inlineStr">
        <is>
          <t>日期</t>
        </is>
      </c>
      <c r="G2" s="3" t="inlineStr">
        <is>
          <t>USD/TWD</t>
        </is>
      </c>
      <c r="H2" s="3" t="inlineStr">
        <is>
          <t>KRW/TWD</t>
        </is>
      </c>
    </row>
    <row r="3">
      <c r="A3" s="17" t="inlineStr">
        <is>
          <t>2024-01-16</t>
        </is>
      </c>
      <c r="B3" s="18" t="n">
        <v>600</v>
      </c>
      <c r="C3" s="18" t="n">
        <v>185</v>
      </c>
      <c r="D3" s="19" t="n">
        <v>70000</v>
      </c>
      <c r="E3" s="20" t="n"/>
      <c r="F3" s="17" t="inlineStr">
        <is>
          <t>2024-01-16</t>
        </is>
      </c>
      <c r="G3" s="21" t="n">
        <v>32.5</v>
      </c>
      <c r="H3" s="22" t="n">
        <v>0.0235</v>
      </c>
    </row>
    <row r="4">
      <c r="A4" s="5" t="inlineStr">
        <is>
          <t>2024-01-17</t>
        </is>
      </c>
      <c r="B4" s="7" t="n">
        <v>612.96</v>
      </c>
      <c r="C4" s="7" t="n">
        <v>191.48</v>
      </c>
      <c r="D4" s="6" t="n">
        <v>72532</v>
      </c>
      <c r="F4" s="5" t="inlineStr">
        <is>
          <t>2024-01-17</t>
        </is>
      </c>
      <c r="G4" s="23" t="n">
        <v>32.4404</v>
      </c>
      <c r="H4" s="24" t="n">
        <v>0.0236</v>
      </c>
    </row>
    <row r="5">
      <c r="A5" s="5" t="inlineStr">
        <is>
          <t>2024-01-18</t>
        </is>
      </c>
      <c r="B5" s="7" t="n">
        <v>601.63</v>
      </c>
      <c r="C5" s="7" t="n">
        <v>186.11</v>
      </c>
      <c r="D5" s="6" t="n">
        <v>71998</v>
      </c>
      <c r="F5" s="5" t="inlineStr">
        <is>
          <t>2024-01-18</t>
        </is>
      </c>
      <c r="G5" s="23" t="n">
        <v>32.3249</v>
      </c>
      <c r="H5" s="24" t="n">
        <v>0.023592</v>
      </c>
    </row>
    <row r="6">
      <c r="A6" s="5" t="inlineStr">
        <is>
          <t>2024-01-19</t>
        </is>
      </c>
      <c r="B6" s="7" t="n">
        <v>612.5700000000001</v>
      </c>
      <c r="C6" s="7" t="n">
        <v>188.75</v>
      </c>
      <c r="D6" s="6" t="n">
        <v>75291</v>
      </c>
      <c r="F6" s="5" t="inlineStr">
        <is>
          <t>2024-01-19</t>
        </is>
      </c>
      <c r="G6" s="23" t="n">
        <v>32.3576</v>
      </c>
      <c r="H6" s="24" t="n">
        <v>0.023439</v>
      </c>
    </row>
    <row r="7">
      <c r="A7" s="5" t="inlineStr">
        <is>
          <t>2024-01-22</t>
        </is>
      </c>
      <c r="B7" s="7" t="n">
        <v>622.34</v>
      </c>
      <c r="C7" s="7" t="n">
        <v>191.75</v>
      </c>
      <c r="D7" s="6" t="n">
        <v>74596</v>
      </c>
      <c r="F7" s="5" t="inlineStr">
        <is>
          <t>2024-01-22</t>
        </is>
      </c>
      <c r="G7" s="23" t="n">
        <v>32.3261</v>
      </c>
      <c r="H7" s="24" t="n">
        <v>0.023492</v>
      </c>
    </row>
    <row r="8">
      <c r="A8" s="5" t="inlineStr">
        <is>
          <t>2024-01-23</t>
        </is>
      </c>
      <c r="B8" s="7" t="n">
        <v>609.1900000000001</v>
      </c>
      <c r="C8" s="7" t="n">
        <v>195.66</v>
      </c>
      <c r="D8" s="6" t="n">
        <v>74763</v>
      </c>
      <c r="F8" s="5" t="inlineStr">
        <is>
          <t>2024-01-23</t>
        </is>
      </c>
      <c r="G8" s="23" t="n">
        <v>32.2454</v>
      </c>
      <c r="H8" s="24" t="n">
        <v>0.023428</v>
      </c>
    </row>
    <row r="9">
      <c r="A9" s="5" t="inlineStr">
        <is>
          <t>2024-01-24</t>
        </is>
      </c>
      <c r="B9" s="7" t="n">
        <v>619.66</v>
      </c>
      <c r="C9" s="7" t="n">
        <v>192.06</v>
      </c>
      <c r="D9" s="6" t="n">
        <v>74007</v>
      </c>
      <c r="F9" s="5" t="inlineStr">
        <is>
          <t>2024-01-24</t>
        </is>
      </c>
      <c r="G9" s="23" t="n">
        <v>32.3271</v>
      </c>
      <c r="H9" s="24" t="n">
        <v>0.023693</v>
      </c>
    </row>
    <row r="10">
      <c r="A10" s="5" t="inlineStr">
        <is>
          <t>2024-01-25</t>
        </is>
      </c>
      <c r="B10" s="7" t="n">
        <v>604.34</v>
      </c>
      <c r="C10" s="7" t="n">
        <v>188.34</v>
      </c>
      <c r="D10" s="6" t="n">
        <v>74843</v>
      </c>
      <c r="F10" s="5" t="inlineStr">
        <is>
          <t>2024-01-25</t>
        </is>
      </c>
      <c r="G10" s="23" t="n">
        <v>32.265</v>
      </c>
      <c r="H10" s="24" t="n">
        <v>0.023738</v>
      </c>
    </row>
    <row r="11">
      <c r="A11" s="5" t="inlineStr">
        <is>
          <t>2024-01-26</t>
        </is>
      </c>
      <c r="B11" s="7" t="n">
        <v>587.1799999999999</v>
      </c>
      <c r="C11" s="7" t="n">
        <v>185.26</v>
      </c>
      <c r="D11" s="6" t="n">
        <v>74514</v>
      </c>
      <c r="F11" s="5" t="inlineStr">
        <is>
          <t>2024-01-26</t>
        </is>
      </c>
      <c r="G11" s="23" t="n">
        <v>32.2032</v>
      </c>
      <c r="H11" s="24" t="n">
        <v>0.023885</v>
      </c>
    </row>
    <row r="12">
      <c r="A12" s="5" t="inlineStr">
        <is>
          <t>2024-01-29</t>
        </is>
      </c>
      <c r="B12" s="7" t="n">
        <v>579.84</v>
      </c>
      <c r="C12" s="7" t="n">
        <v>183.92</v>
      </c>
      <c r="D12" s="6" t="n">
        <v>73921</v>
      </c>
      <c r="F12" s="5" t="inlineStr">
        <is>
          <t>2024-01-29</t>
        </is>
      </c>
      <c r="G12" s="23" t="n">
        <v>32.1483</v>
      </c>
      <c r="H12" s="24" t="n">
        <v>0.023907</v>
      </c>
    </row>
    <row r="13">
      <c r="A13" s="5" t="inlineStr">
        <is>
          <t>2024-01-30</t>
        </is>
      </c>
      <c r="B13" s="7" t="n">
        <v>585.1799999999999</v>
      </c>
      <c r="C13" s="7" t="n">
        <v>183.11</v>
      </c>
      <c r="D13" s="6" t="n">
        <v>74413</v>
      </c>
      <c r="F13" s="5" t="inlineStr">
        <is>
          <t>2024-01-30</t>
        </is>
      </c>
      <c r="G13" s="23" t="n">
        <v>32.2658</v>
      </c>
      <c r="H13" s="24" t="n">
        <v>0.023806</v>
      </c>
    </row>
    <row r="14">
      <c r="A14" s="5" t="inlineStr">
        <is>
          <t>2024-01-31</t>
        </is>
      </c>
      <c r="B14" s="7" t="n">
        <v>586.3200000000001</v>
      </c>
      <c r="C14" s="7" t="n">
        <v>184.63</v>
      </c>
      <c r="D14" s="6" t="n">
        <v>74950</v>
      </c>
      <c r="F14" s="5" t="inlineStr">
        <is>
          <t>2024-01-31</t>
        </is>
      </c>
      <c r="G14" s="23" t="n">
        <v>32.3219</v>
      </c>
      <c r="H14" s="24" t="n">
        <v>0.023781</v>
      </c>
    </row>
    <row r="15">
      <c r="A15" s="5" t="inlineStr">
        <is>
          <t>2024-02-01</t>
        </is>
      </c>
      <c r="B15" s="7" t="n">
        <v>606.5700000000001</v>
      </c>
      <c r="C15" s="7" t="n">
        <v>184.31</v>
      </c>
      <c r="D15" s="6" t="n">
        <v>77303</v>
      </c>
      <c r="F15" s="5" t="inlineStr">
        <is>
          <t>2024-02-01</t>
        </is>
      </c>
      <c r="G15" s="23" t="n">
        <v>32.1561</v>
      </c>
      <c r="H15" s="24" t="n">
        <v>0.023724</v>
      </c>
    </row>
    <row r="16">
      <c r="A16" s="5" t="inlineStr">
        <is>
          <t>2024-02-02</t>
        </is>
      </c>
      <c r="B16" s="7" t="n">
        <v>602.1799999999999</v>
      </c>
      <c r="C16" s="7" t="n">
        <v>181.04</v>
      </c>
      <c r="D16" s="6" t="n">
        <v>78945</v>
      </c>
      <c r="F16" s="5" t="inlineStr">
        <is>
          <t>2024-02-02</t>
        </is>
      </c>
      <c r="G16" s="23" t="n">
        <v>32.1563</v>
      </c>
      <c r="H16" s="24" t="n">
        <v>0.023672</v>
      </c>
    </row>
    <row r="17">
      <c r="A17" s="5" t="inlineStr">
        <is>
          <t>2024-02-05</t>
        </is>
      </c>
      <c r="B17" s="7" t="n">
        <v>597.39</v>
      </c>
      <c r="C17" s="7" t="n">
        <v>179.54</v>
      </c>
      <c r="D17" s="6" t="n">
        <v>76439</v>
      </c>
      <c r="F17" s="5" t="inlineStr">
        <is>
          <t>2024-02-05</t>
        </is>
      </c>
      <c r="G17" s="23" t="n">
        <v>32.2409</v>
      </c>
      <c r="H17" s="24" t="n">
        <v>0.023638</v>
      </c>
    </row>
    <row r="18">
      <c r="A18" s="5" t="inlineStr">
        <is>
          <t>2024-02-06</t>
        </is>
      </c>
      <c r="B18" s="7" t="n">
        <v>573.3</v>
      </c>
      <c r="C18" s="7" t="n">
        <v>179.58</v>
      </c>
      <c r="D18" s="6" t="n">
        <v>74103</v>
      </c>
      <c r="F18" s="5" t="inlineStr">
        <is>
          <t>2024-02-06</t>
        </is>
      </c>
      <c r="G18" s="23" t="n">
        <v>32.2606</v>
      </c>
      <c r="H18" s="24" t="n">
        <v>0.023683</v>
      </c>
    </row>
    <row r="19">
      <c r="A19" s="5" t="inlineStr">
        <is>
          <t>2024-02-07</t>
        </is>
      </c>
      <c r="B19" s="7" t="n">
        <v>582.76</v>
      </c>
      <c r="C19" s="7" t="n">
        <v>186.28</v>
      </c>
      <c r="D19" s="6" t="n">
        <v>74729</v>
      </c>
      <c r="F19" s="5" t="inlineStr">
        <is>
          <t>2024-02-07</t>
        </is>
      </c>
      <c r="G19" s="23" t="n">
        <v>32.4659</v>
      </c>
      <c r="H19" s="24" t="n">
        <v>0.023747</v>
      </c>
    </row>
    <row r="20">
      <c r="A20" s="5" t="inlineStr">
        <is>
          <t>2024-02-08</t>
        </is>
      </c>
      <c r="B20" s="7" t="n">
        <v>570.23</v>
      </c>
      <c r="C20" s="7" t="n">
        <v>186.54</v>
      </c>
      <c r="D20" s="6" t="n">
        <v>75727</v>
      </c>
      <c r="F20" s="5" t="inlineStr">
        <is>
          <t>2024-02-08</t>
        </is>
      </c>
      <c r="G20" s="23" t="n">
        <v>32.3926</v>
      </c>
      <c r="H20" s="24" t="n">
        <v>0.023897</v>
      </c>
    </row>
    <row r="21">
      <c r="A21" s="5" t="inlineStr">
        <is>
          <t>2024-02-09</t>
        </is>
      </c>
      <c r="B21" s="7" t="n">
        <v>567.71</v>
      </c>
      <c r="C21" s="7" t="n">
        <v>186.47</v>
      </c>
      <c r="D21" s="6" t="n">
        <v>77867</v>
      </c>
      <c r="F21" s="5" t="inlineStr">
        <is>
          <t>2024-02-09</t>
        </is>
      </c>
      <c r="G21" s="23" t="n">
        <v>32.4077</v>
      </c>
      <c r="H21" s="24" t="n">
        <v>0.023923</v>
      </c>
    </row>
    <row r="22">
      <c r="A22" s="5" t="inlineStr">
        <is>
          <t>2024-02-12</t>
        </is>
      </c>
      <c r="B22" s="7" t="n">
        <v>582.72</v>
      </c>
      <c r="C22" s="7" t="n">
        <v>190.18</v>
      </c>
      <c r="D22" s="6" t="n">
        <v>77123</v>
      </c>
      <c r="F22" s="5" t="inlineStr">
        <is>
          <t>2024-02-12</t>
        </is>
      </c>
      <c r="G22" s="23" t="n">
        <v>32.2908</v>
      </c>
      <c r="H22" s="24" t="n">
        <v>0.023894</v>
      </c>
    </row>
    <row r="23">
      <c r="A23" s="5" t="inlineStr">
        <is>
          <t>2024-02-13</t>
        </is>
      </c>
      <c r="B23" s="7" t="n">
        <v>582.5599999999999</v>
      </c>
      <c r="C23" s="7" t="n">
        <v>192.24</v>
      </c>
      <c r="D23" s="6" t="n">
        <v>76975</v>
      </c>
      <c r="F23" s="5" t="inlineStr">
        <is>
          <t>2024-02-13</t>
        </is>
      </c>
      <c r="G23" s="23" t="n">
        <v>32.3147</v>
      </c>
      <c r="H23" s="24" t="n">
        <v>0.023746</v>
      </c>
    </row>
    <row r="24">
      <c r="A24" s="5" t="inlineStr">
        <is>
          <t>2024-02-14</t>
        </is>
      </c>
      <c r="B24" s="7" t="n">
        <v>575.96</v>
      </c>
      <c r="C24" s="7" t="n">
        <v>189.24</v>
      </c>
      <c r="D24" s="6" t="n">
        <v>75577</v>
      </c>
      <c r="F24" s="5" t="inlineStr">
        <is>
          <t>2024-02-14</t>
        </is>
      </c>
      <c r="G24" s="23" t="n">
        <v>32.2804</v>
      </c>
      <c r="H24" s="24" t="n">
        <v>0.023748</v>
      </c>
    </row>
    <row r="25">
      <c r="A25" s="5" t="inlineStr">
        <is>
          <t>2024-02-15</t>
        </is>
      </c>
      <c r="B25" s="7" t="n">
        <v>568.73</v>
      </c>
      <c r="C25" s="7" t="n">
        <v>187.23</v>
      </c>
      <c r="D25" s="6" t="n">
        <v>77128</v>
      </c>
      <c r="F25" s="5" t="inlineStr">
        <is>
          <t>2024-02-15</t>
        </is>
      </c>
      <c r="G25" s="23" t="n">
        <v>32.2084</v>
      </c>
      <c r="H25" s="24" t="n">
        <v>0.023882</v>
      </c>
    </row>
    <row r="26">
      <c r="A26" s="5" t="inlineStr">
        <is>
          <t>2024-02-16</t>
        </is>
      </c>
      <c r="B26" s="7" t="n">
        <v>560.14</v>
      </c>
      <c r="C26" s="7" t="n">
        <v>189.41</v>
      </c>
      <c r="D26" s="6" t="n">
        <v>77842</v>
      </c>
      <c r="F26" s="5" t="inlineStr">
        <is>
          <t>2024-02-16</t>
        </is>
      </c>
      <c r="G26" s="23" t="n">
        <v>32.3692</v>
      </c>
      <c r="H26" s="24" t="n">
        <v>0.023752</v>
      </c>
    </row>
    <row r="27">
      <c r="A27" s="5" t="inlineStr">
        <is>
          <t>2024-02-19</t>
        </is>
      </c>
      <c r="B27" s="7" t="n">
        <v>562.16</v>
      </c>
      <c r="C27" s="7" t="n">
        <v>187.01</v>
      </c>
      <c r="D27" s="6" t="n">
        <v>76949</v>
      </c>
      <c r="F27" s="5" t="inlineStr">
        <is>
          <t>2024-02-19</t>
        </is>
      </c>
      <c r="G27" s="23" t="n">
        <v>32.1814</v>
      </c>
      <c r="H27" s="24" t="n">
        <v>0.023619</v>
      </c>
    </row>
    <row r="28">
      <c r="A28" s="5" t="inlineStr">
        <is>
          <t>2024-02-20</t>
        </is>
      </c>
      <c r="B28" s="7" t="n">
        <v>585.26</v>
      </c>
      <c r="C28" s="7" t="n">
        <v>189.47</v>
      </c>
      <c r="D28" s="6" t="n">
        <v>78589</v>
      </c>
      <c r="F28" s="5" t="inlineStr">
        <is>
          <t>2024-02-20</t>
        </is>
      </c>
      <c r="G28" s="23" t="n">
        <v>32.312</v>
      </c>
      <c r="H28" s="24" t="n">
        <v>0.023505</v>
      </c>
    </row>
    <row r="29">
      <c r="A29" s="5" t="inlineStr">
        <is>
          <t>2024-02-21</t>
        </is>
      </c>
      <c r="B29" s="7" t="n">
        <v>593.55</v>
      </c>
      <c r="C29" s="7" t="n">
        <v>193.76</v>
      </c>
      <c r="D29" s="6" t="n">
        <v>78775</v>
      </c>
      <c r="F29" s="5" t="inlineStr">
        <is>
          <t>2024-02-21</t>
        </is>
      </c>
      <c r="G29" s="23" t="n">
        <v>32.2895</v>
      </c>
      <c r="H29" s="24" t="n">
        <v>0.023636</v>
      </c>
    </row>
    <row r="30">
      <c r="A30" s="5" t="inlineStr">
        <is>
          <t>2024-02-22</t>
        </is>
      </c>
      <c r="B30" s="7" t="n">
        <v>586.8200000000001</v>
      </c>
      <c r="C30" s="7" t="n">
        <v>193.06</v>
      </c>
      <c r="D30" s="6" t="n">
        <v>78159</v>
      </c>
      <c r="F30" s="5" t="inlineStr">
        <is>
          <t>2024-02-22</t>
        </is>
      </c>
      <c r="G30" s="23" t="n">
        <v>32.357</v>
      </c>
      <c r="H30" s="24" t="n">
        <v>0.023728</v>
      </c>
    </row>
    <row r="31">
      <c r="A31" s="5" t="inlineStr">
        <is>
          <t>2024-02-23</t>
        </is>
      </c>
      <c r="B31" s="7" t="n">
        <v>596.65</v>
      </c>
      <c r="C31" s="7" t="n">
        <v>194.66</v>
      </c>
      <c r="D31" s="6" t="n">
        <v>78934</v>
      </c>
      <c r="F31" s="5" t="inlineStr">
        <is>
          <t>2024-02-23</t>
        </is>
      </c>
      <c r="G31" s="23" t="n">
        <v>32.3661</v>
      </c>
      <c r="H31" s="24" t="n">
        <v>0.023943</v>
      </c>
    </row>
    <row r="32">
      <c r="A32" s="5" t="inlineStr">
        <is>
          <t>2024-02-26</t>
        </is>
      </c>
      <c r="B32" s="7" t="n">
        <v>598.86</v>
      </c>
      <c r="C32" s="7" t="n">
        <v>199.1</v>
      </c>
      <c r="D32" s="6" t="n">
        <v>78481</v>
      </c>
      <c r="F32" s="5" t="inlineStr">
        <is>
          <t>2024-02-26</t>
        </is>
      </c>
      <c r="G32" s="23" t="n">
        <v>32.3238</v>
      </c>
      <c r="H32" s="24" t="n">
        <v>0.023828</v>
      </c>
    </row>
    <row r="33">
      <c r="A33" s="5" t="inlineStr">
        <is>
          <t>2024-02-27</t>
        </is>
      </c>
      <c r="B33" s="7" t="n">
        <v>593.63</v>
      </c>
      <c r="C33" s="7" t="n">
        <v>201.77</v>
      </c>
      <c r="D33" s="6" t="n">
        <v>78442</v>
      </c>
      <c r="F33" s="5" t="inlineStr">
        <is>
          <t>2024-02-27</t>
        </is>
      </c>
      <c r="G33" s="23" t="n">
        <v>32.3356</v>
      </c>
      <c r="H33" s="24" t="n">
        <v>0.024102</v>
      </c>
    </row>
    <row r="34">
      <c r="A34" s="5" t="inlineStr">
        <is>
          <t>2024-02-28</t>
        </is>
      </c>
      <c r="B34" s="7" t="n">
        <v>598.41</v>
      </c>
      <c r="C34" s="7" t="n">
        <v>199.79</v>
      </c>
      <c r="D34" s="6" t="n">
        <v>78441</v>
      </c>
      <c r="F34" s="5" t="inlineStr">
        <is>
          <t>2024-02-28</t>
        </is>
      </c>
      <c r="G34" s="23" t="n">
        <v>32.4917</v>
      </c>
      <c r="H34" s="24" t="n">
        <v>0.024077</v>
      </c>
    </row>
    <row r="35">
      <c r="A35" s="5" t="inlineStr">
        <is>
          <t>2024-02-29</t>
        </is>
      </c>
      <c r="B35" s="7" t="n">
        <v>604.09</v>
      </c>
      <c r="C35" s="7" t="n">
        <v>195.88</v>
      </c>
      <c r="D35" s="6" t="n">
        <v>77107</v>
      </c>
      <c r="F35" s="5" t="inlineStr">
        <is>
          <t>2024-02-29</t>
        </is>
      </c>
      <c r="G35" s="23" t="n">
        <v>32.3346</v>
      </c>
      <c r="H35" s="24" t="n">
        <v>0.024083</v>
      </c>
    </row>
    <row r="36">
      <c r="A36" s="5" t="inlineStr">
        <is>
          <t>2024-03-01</t>
        </is>
      </c>
      <c r="B36" s="7" t="n">
        <v>609.71</v>
      </c>
      <c r="C36" s="7" t="n">
        <v>204.2</v>
      </c>
      <c r="D36" s="6" t="n">
        <v>78710</v>
      </c>
      <c r="F36" s="5" t="inlineStr">
        <is>
          <t>2024-03-01</t>
        </is>
      </c>
      <c r="G36" s="23" t="n">
        <v>32.3856</v>
      </c>
      <c r="H36" s="24" t="n">
        <v>0.024144</v>
      </c>
    </row>
    <row r="37">
      <c r="A37" s="5" t="inlineStr">
        <is>
          <t>2024-03-04</t>
        </is>
      </c>
      <c r="B37" s="7" t="n">
        <v>609.48</v>
      </c>
      <c r="C37" s="7" t="n">
        <v>201.34</v>
      </c>
      <c r="D37" s="6" t="n">
        <v>79147</v>
      </c>
      <c r="F37" s="5" t="inlineStr">
        <is>
          <t>2024-03-04</t>
        </is>
      </c>
      <c r="G37" s="23" t="n">
        <v>32.3758</v>
      </c>
      <c r="H37" s="24" t="n">
        <v>0.024045</v>
      </c>
    </row>
    <row r="38">
      <c r="A38" s="5" t="inlineStr">
        <is>
          <t>2024-03-05</t>
        </is>
      </c>
      <c r="B38" s="7" t="n">
        <v>580.2</v>
      </c>
      <c r="C38" s="7" t="n">
        <v>198.61</v>
      </c>
      <c r="D38" s="6" t="n">
        <v>77767</v>
      </c>
      <c r="F38" s="5" t="inlineStr">
        <is>
          <t>2024-03-05</t>
        </is>
      </c>
      <c r="G38" s="23" t="n">
        <v>32.3242</v>
      </c>
      <c r="H38" s="24" t="n">
        <v>0.024085</v>
      </c>
    </row>
    <row r="39">
      <c r="A39" s="5" t="inlineStr">
        <is>
          <t>2024-03-06</t>
        </is>
      </c>
      <c r="B39" s="7" t="n">
        <v>574.66</v>
      </c>
      <c r="C39" s="7" t="n">
        <v>206.24</v>
      </c>
      <c r="D39" s="6" t="n">
        <v>74296</v>
      </c>
      <c r="F39" s="5" t="inlineStr">
        <is>
          <t>2024-03-06</t>
        </is>
      </c>
      <c r="G39" s="23" t="n">
        <v>32.4615</v>
      </c>
      <c r="H39" s="24" t="n">
        <v>0.024187</v>
      </c>
    </row>
    <row r="40">
      <c r="A40" s="5" t="inlineStr">
        <is>
          <t>2024-03-07</t>
        </is>
      </c>
      <c r="B40" s="7" t="n">
        <v>574.87</v>
      </c>
      <c r="C40" s="7" t="n">
        <v>206.61</v>
      </c>
      <c r="D40" s="6" t="n">
        <v>75094</v>
      </c>
      <c r="F40" s="5" t="inlineStr">
        <is>
          <t>2024-03-07</t>
        </is>
      </c>
      <c r="G40" s="23" t="n">
        <v>32.4381</v>
      </c>
      <c r="H40" s="24" t="n">
        <v>0.024166</v>
      </c>
    </row>
    <row r="41">
      <c r="A41" s="5" t="inlineStr">
        <is>
          <t>2024-03-08</t>
        </is>
      </c>
      <c r="B41" s="7" t="n">
        <v>557.1900000000001</v>
      </c>
      <c r="C41" s="7" t="n">
        <v>203.34</v>
      </c>
      <c r="D41" s="6" t="n">
        <v>72154</v>
      </c>
      <c r="F41" s="5" t="inlineStr">
        <is>
          <t>2024-03-08</t>
        </is>
      </c>
      <c r="G41" s="23" t="n">
        <v>32.555</v>
      </c>
      <c r="H41" s="24" t="n">
        <v>0.024272</v>
      </c>
    </row>
    <row r="42">
      <c r="A42" s="5" t="inlineStr">
        <is>
          <t>2024-03-11</t>
        </is>
      </c>
      <c r="B42" s="7" t="n">
        <v>556.21</v>
      </c>
      <c r="C42" s="7" t="n">
        <v>204.02</v>
      </c>
      <c r="D42" s="6" t="n">
        <v>72462</v>
      </c>
      <c r="F42" s="5" t="inlineStr">
        <is>
          <t>2024-03-11</t>
        </is>
      </c>
      <c r="G42" s="23" t="n">
        <v>32.6046</v>
      </c>
      <c r="H42" s="24" t="n">
        <v>0.024053</v>
      </c>
    </row>
    <row r="43">
      <c r="A43" s="5" t="inlineStr">
        <is>
          <t>2024-03-12</t>
        </is>
      </c>
      <c r="B43" s="7" t="n">
        <v>554.46</v>
      </c>
      <c r="C43" s="7" t="n">
        <v>204.6</v>
      </c>
      <c r="D43" s="6" t="n">
        <v>72766</v>
      </c>
      <c r="F43" s="5" t="inlineStr">
        <is>
          <t>2024-03-12</t>
        </is>
      </c>
      <c r="G43" s="23" t="n">
        <v>32.4681</v>
      </c>
      <c r="H43" s="24" t="n">
        <v>0.024125</v>
      </c>
    </row>
    <row r="44">
      <c r="A44" s="5" t="inlineStr">
        <is>
          <t>2024-03-13</t>
        </is>
      </c>
      <c r="B44" s="7" t="n">
        <v>559.42</v>
      </c>
      <c r="C44" s="7" t="n">
        <v>205.28</v>
      </c>
      <c r="D44" s="6" t="n">
        <v>70236</v>
      </c>
      <c r="F44" s="5" t="inlineStr">
        <is>
          <t>2024-03-13</t>
        </is>
      </c>
      <c r="G44" s="23" t="n">
        <v>32.5806</v>
      </c>
      <c r="H44" s="24" t="n">
        <v>0.024171</v>
      </c>
    </row>
    <row r="45">
      <c r="A45" s="5" t="inlineStr">
        <is>
          <t>2024-03-14</t>
        </is>
      </c>
      <c r="B45" s="7" t="n">
        <v>550.8200000000001</v>
      </c>
      <c r="C45" s="7" t="n">
        <v>205.74</v>
      </c>
      <c r="D45" s="6" t="n">
        <v>68773</v>
      </c>
      <c r="F45" s="5" t="inlineStr">
        <is>
          <t>2024-03-14</t>
        </is>
      </c>
      <c r="G45" s="23" t="n">
        <v>32.592</v>
      </c>
      <c r="H45" s="24" t="n">
        <v>0.02417</v>
      </c>
    </row>
    <row r="46">
      <c r="A46" s="5" t="inlineStr">
        <is>
          <t>2024-03-15</t>
        </is>
      </c>
      <c r="B46" s="7" t="n">
        <v>542.52</v>
      </c>
      <c r="C46" s="7" t="n">
        <v>205.4</v>
      </c>
      <c r="D46" s="6" t="n">
        <v>68536</v>
      </c>
      <c r="F46" s="5" t="inlineStr">
        <is>
          <t>2024-03-15</t>
        </is>
      </c>
      <c r="G46" s="23" t="n">
        <v>32.629</v>
      </c>
      <c r="H46" s="24" t="n">
        <v>0.024031</v>
      </c>
    </row>
    <row r="47">
      <c r="A47" s="5" t="inlineStr">
        <is>
          <t>2024-03-18</t>
        </is>
      </c>
      <c r="B47" s="7" t="n">
        <v>552.75</v>
      </c>
      <c r="C47" s="7" t="n">
        <v>208.36</v>
      </c>
      <c r="D47" s="6" t="n">
        <v>68343</v>
      </c>
      <c r="F47" s="5" t="inlineStr">
        <is>
          <t>2024-03-18</t>
        </is>
      </c>
      <c r="G47" s="23" t="n">
        <v>32.5607</v>
      </c>
      <c r="H47" s="24" t="n">
        <v>0.024087</v>
      </c>
    </row>
    <row r="48">
      <c r="A48" s="5" t="inlineStr">
        <is>
          <t>2024-03-19</t>
        </is>
      </c>
      <c r="B48" s="7" t="n">
        <v>554.46</v>
      </c>
      <c r="C48" s="7" t="n">
        <v>198.64</v>
      </c>
      <c r="D48" s="6" t="n">
        <v>66563</v>
      </c>
      <c r="F48" s="5" t="inlineStr">
        <is>
          <t>2024-03-19</t>
        </is>
      </c>
      <c r="G48" s="23" t="n">
        <v>32.5321</v>
      </c>
      <c r="H48" s="24" t="n">
        <v>0.024071</v>
      </c>
    </row>
    <row r="49">
      <c r="A49" s="5" t="inlineStr">
        <is>
          <t>2024-03-20</t>
        </is>
      </c>
      <c r="B49" s="7" t="n">
        <v>553.27</v>
      </c>
      <c r="C49" s="7" t="n">
        <v>190.64</v>
      </c>
      <c r="D49" s="6" t="n">
        <v>65526</v>
      </c>
      <c r="F49" s="5" t="inlineStr">
        <is>
          <t>2024-03-20</t>
        </is>
      </c>
      <c r="G49" s="23" t="n">
        <v>32.5289</v>
      </c>
      <c r="H49" s="24" t="n">
        <v>0.024106</v>
      </c>
    </row>
    <row r="50">
      <c r="A50" s="5" t="inlineStr">
        <is>
          <t>2024-03-21</t>
        </is>
      </c>
      <c r="B50" s="7" t="n">
        <v>556.51</v>
      </c>
      <c r="C50" s="7" t="n">
        <v>194.46</v>
      </c>
      <c r="D50" s="6" t="n">
        <v>66455</v>
      </c>
      <c r="F50" s="5" t="inlineStr">
        <is>
          <t>2024-03-21</t>
        </is>
      </c>
      <c r="G50" s="23" t="n">
        <v>32.4756</v>
      </c>
      <c r="H50" s="24" t="n">
        <v>0.024002</v>
      </c>
    </row>
    <row r="51">
      <c r="A51" s="5" t="inlineStr">
        <is>
          <t>2024-03-22</t>
        </is>
      </c>
      <c r="B51" s="7" t="n">
        <v>578.34</v>
      </c>
      <c r="C51" s="7" t="n">
        <v>201.81</v>
      </c>
      <c r="D51" s="6" t="n">
        <v>65128</v>
      </c>
      <c r="F51" s="5" t="inlineStr">
        <is>
          <t>2024-03-22</t>
        </is>
      </c>
      <c r="G51" s="23" t="n">
        <v>32.5057</v>
      </c>
      <c r="H51" s="24" t="n">
        <v>0.023837</v>
      </c>
    </row>
    <row r="52">
      <c r="A52" s="5" t="inlineStr">
        <is>
          <t>2024-03-25</t>
        </is>
      </c>
      <c r="B52" s="7" t="n">
        <v>576.1900000000001</v>
      </c>
      <c r="C52" s="7" t="n">
        <v>201.17</v>
      </c>
      <c r="D52" s="6" t="n">
        <v>65191</v>
      </c>
      <c r="F52" s="5" t="inlineStr">
        <is>
          <t>2024-03-25</t>
        </is>
      </c>
      <c r="G52" s="23" t="n">
        <v>32.4891</v>
      </c>
      <c r="H52" s="24" t="n">
        <v>0.023702</v>
      </c>
    </row>
    <row r="53">
      <c r="A53" s="5" t="inlineStr">
        <is>
          <t>2024-03-26</t>
        </is>
      </c>
      <c r="B53" s="7" t="n">
        <v>570.09</v>
      </c>
      <c r="C53" s="7" t="n">
        <v>202.8</v>
      </c>
      <c r="D53" s="6" t="n">
        <v>66253</v>
      </c>
      <c r="F53" s="5" t="inlineStr">
        <is>
          <t>2024-03-26</t>
        </is>
      </c>
      <c r="G53" s="23" t="n">
        <v>32.5942</v>
      </c>
      <c r="H53" s="24" t="n">
        <v>0.023929</v>
      </c>
    </row>
    <row r="54">
      <c r="A54" s="5" t="inlineStr">
        <is>
          <t>2024-03-27</t>
        </is>
      </c>
      <c r="B54" s="7" t="n">
        <v>553.41</v>
      </c>
      <c r="C54" s="7" t="n">
        <v>204.57</v>
      </c>
      <c r="D54" s="6" t="n">
        <v>65177</v>
      </c>
      <c r="F54" s="5" t="inlineStr">
        <is>
          <t>2024-03-27</t>
        </is>
      </c>
      <c r="G54" s="23" t="n">
        <v>32.4802</v>
      </c>
      <c r="H54" s="24" t="n">
        <v>0.024017</v>
      </c>
    </row>
    <row r="55">
      <c r="A55" s="5" t="inlineStr">
        <is>
          <t>2024-03-28</t>
        </is>
      </c>
      <c r="B55" s="7" t="n">
        <v>565.6799999999999</v>
      </c>
      <c r="C55" s="7" t="n">
        <v>207.9</v>
      </c>
      <c r="D55" s="6" t="n">
        <v>65475</v>
      </c>
      <c r="F55" s="5" t="inlineStr">
        <is>
          <t>2024-03-28</t>
        </is>
      </c>
      <c r="G55" s="23" t="n">
        <v>32.4322</v>
      </c>
      <c r="H55" s="24" t="n">
        <v>0.023958</v>
      </c>
    </row>
    <row r="56">
      <c r="A56" s="5" t="inlineStr">
        <is>
          <t>2024-03-29</t>
        </is>
      </c>
      <c r="B56" s="7" t="n">
        <v>589.1</v>
      </c>
      <c r="C56" s="7" t="n">
        <v>213.53</v>
      </c>
      <c r="D56" s="6" t="n">
        <v>66353</v>
      </c>
      <c r="F56" s="5" t="inlineStr">
        <is>
          <t>2024-03-29</t>
        </is>
      </c>
      <c r="G56" s="23" t="n">
        <v>32.3874</v>
      </c>
      <c r="H56" s="24" t="n">
        <v>0.023993</v>
      </c>
    </row>
    <row r="57">
      <c r="A57" s="5" t="inlineStr">
        <is>
          <t>2024-04-01</t>
        </is>
      </c>
      <c r="B57" s="7" t="n">
        <v>592.51</v>
      </c>
      <c r="C57" s="7" t="n">
        <v>223.02</v>
      </c>
      <c r="D57" s="6" t="n">
        <v>69110</v>
      </c>
      <c r="F57" s="5" t="inlineStr">
        <is>
          <t>2024-04-01</t>
        </is>
      </c>
      <c r="G57" s="23" t="n">
        <v>32.4485</v>
      </c>
      <c r="H57" s="24" t="n">
        <v>0.023926</v>
      </c>
    </row>
    <row r="58">
      <c r="A58" s="5" t="inlineStr">
        <is>
          <t>2024-04-02</t>
        </is>
      </c>
      <c r="B58" s="7" t="n">
        <v>604.36</v>
      </c>
      <c r="C58" s="7" t="n">
        <v>225.16</v>
      </c>
      <c r="D58" s="6" t="n">
        <v>70331</v>
      </c>
      <c r="F58" s="5" t="inlineStr">
        <is>
          <t>2024-04-02</t>
        </is>
      </c>
      <c r="G58" s="23" t="n">
        <v>32.3871</v>
      </c>
      <c r="H58" s="24" t="n">
        <v>0.024032</v>
      </c>
    </row>
    <row r="59">
      <c r="A59" s="5" t="inlineStr">
        <is>
          <t>2024-04-03</t>
        </is>
      </c>
      <c r="B59" s="7" t="n">
        <v>606.64</v>
      </c>
      <c r="C59" s="7" t="n">
        <v>219.66</v>
      </c>
      <c r="D59" s="6" t="n">
        <v>71354</v>
      </c>
      <c r="F59" s="5" t="inlineStr">
        <is>
          <t>2024-04-03</t>
        </is>
      </c>
      <c r="G59" s="23" t="n">
        <v>32.5225</v>
      </c>
      <c r="H59" s="24" t="n">
        <v>0.023931</v>
      </c>
    </row>
    <row r="60">
      <c r="A60" s="5" t="inlineStr">
        <is>
          <t>2024-04-04</t>
        </is>
      </c>
      <c r="B60" s="7" t="n">
        <v>612.1799999999999</v>
      </c>
      <c r="C60" s="7" t="n">
        <v>215.26</v>
      </c>
      <c r="D60" s="6" t="n">
        <v>70207</v>
      </c>
      <c r="F60" s="5" t="inlineStr">
        <is>
          <t>2024-04-04</t>
        </is>
      </c>
      <c r="G60" s="23" t="n">
        <v>32.4907</v>
      </c>
      <c r="H60" s="24" t="n">
        <v>0.024029</v>
      </c>
    </row>
    <row r="61">
      <c r="A61" s="5" t="inlineStr">
        <is>
          <t>2024-04-05</t>
        </is>
      </c>
      <c r="B61" s="7" t="n">
        <v>609.64</v>
      </c>
      <c r="C61" s="7" t="n">
        <v>216.33</v>
      </c>
      <c r="D61" s="6" t="n">
        <v>72885</v>
      </c>
      <c r="F61" s="5" t="inlineStr">
        <is>
          <t>2024-04-05</t>
        </is>
      </c>
      <c r="G61" s="23" t="n">
        <v>32.6963</v>
      </c>
      <c r="H61" s="24" t="n">
        <v>0.024052</v>
      </c>
    </row>
    <row r="62">
      <c r="A62" s="5" t="inlineStr">
        <is>
          <t>2024-04-08</t>
        </is>
      </c>
      <c r="B62" s="7" t="n">
        <v>610.35</v>
      </c>
      <c r="C62" s="7" t="n">
        <v>209.4</v>
      </c>
      <c r="D62" s="6" t="n">
        <v>73420</v>
      </c>
      <c r="F62" s="5" t="inlineStr">
        <is>
          <t>2024-04-08</t>
        </is>
      </c>
      <c r="G62" s="23" t="n">
        <v>32.7452</v>
      </c>
      <c r="H62" s="24" t="n">
        <v>0.023967</v>
      </c>
    </row>
    <row r="63">
      <c r="A63" s="5" t="inlineStr">
        <is>
          <t>2024-04-09</t>
        </is>
      </c>
      <c r="B63" s="7" t="n">
        <v>608.79</v>
      </c>
      <c r="C63" s="7" t="n">
        <v>203.19</v>
      </c>
      <c r="D63" s="6" t="n">
        <v>69489</v>
      </c>
      <c r="F63" s="5" t="inlineStr">
        <is>
          <t>2024-04-09</t>
        </is>
      </c>
      <c r="G63" s="23" t="n">
        <v>32.8475</v>
      </c>
      <c r="H63" s="24" t="n">
        <v>0.024016</v>
      </c>
    </row>
    <row r="64">
      <c r="A64" s="5" t="inlineStr">
        <is>
          <t>2024-04-10</t>
        </is>
      </c>
      <c r="B64" s="7" t="n">
        <v>596.4400000000001</v>
      </c>
      <c r="C64" s="7" t="n">
        <v>203.48</v>
      </c>
      <c r="D64" s="6" t="n">
        <v>68195</v>
      </c>
      <c r="F64" s="5" t="inlineStr">
        <is>
          <t>2024-04-10</t>
        </is>
      </c>
      <c r="G64" s="23" t="n">
        <v>32.8131</v>
      </c>
      <c r="H64" s="24" t="n">
        <v>0.024017</v>
      </c>
    </row>
    <row r="65">
      <c r="A65" s="5" t="inlineStr">
        <is>
          <t>2024-04-11</t>
        </is>
      </c>
      <c r="B65" s="7" t="n">
        <v>604.12</v>
      </c>
      <c r="C65" s="7" t="n">
        <v>203.3</v>
      </c>
      <c r="D65" s="6" t="n">
        <v>68612</v>
      </c>
      <c r="F65" s="5" t="inlineStr">
        <is>
          <t>2024-04-11</t>
        </is>
      </c>
      <c r="G65" s="23" t="n">
        <v>33.0355</v>
      </c>
      <c r="H65" s="24" t="n">
        <v>0.024166</v>
      </c>
    </row>
    <row r="66">
      <c r="A66" s="5" t="inlineStr">
        <is>
          <t>2024-04-12</t>
        </is>
      </c>
      <c r="B66" s="7" t="n">
        <v>613.16</v>
      </c>
      <c r="C66" s="7" t="n">
        <v>206.26</v>
      </c>
      <c r="D66" s="6" t="n">
        <v>67488</v>
      </c>
      <c r="F66" s="5" t="inlineStr">
        <is>
          <t>2024-04-12</t>
        </is>
      </c>
      <c r="G66" s="23" t="n">
        <v>33.1895</v>
      </c>
      <c r="H66" s="24" t="n">
        <v>0.024081</v>
      </c>
    </row>
    <row r="67">
      <c r="A67" s="5" t="inlineStr">
        <is>
          <t>2024-04-15</t>
        </is>
      </c>
      <c r="B67" s="7" t="n">
        <v>637.78</v>
      </c>
      <c r="C67" s="7" t="n">
        <v>201.6</v>
      </c>
      <c r="D67" s="6" t="n">
        <v>67339</v>
      </c>
      <c r="F67" s="5" t="inlineStr">
        <is>
          <t>2024-04-15</t>
        </is>
      </c>
      <c r="G67" s="23" t="n">
        <v>33.069</v>
      </c>
      <c r="H67" s="24" t="n">
        <v>0.02393</v>
      </c>
    </row>
    <row r="68">
      <c r="A68" s="5" t="inlineStr">
        <is>
          <t>2024-04-16</t>
        </is>
      </c>
      <c r="B68" s="7" t="n">
        <v>625.38</v>
      </c>
      <c r="C68" s="7" t="n">
        <v>204.77</v>
      </c>
      <c r="D68" s="6" t="n">
        <v>65524</v>
      </c>
      <c r="F68" s="5" t="inlineStr">
        <is>
          <t>2024-04-16</t>
        </is>
      </c>
      <c r="G68" s="23" t="n">
        <v>33.1341</v>
      </c>
      <c r="H68" s="24" t="n">
        <v>0.023819</v>
      </c>
    </row>
    <row r="69">
      <c r="A69" s="5" t="inlineStr">
        <is>
          <t>2024-04-17</t>
        </is>
      </c>
      <c r="B69" s="7" t="n">
        <v>613.0700000000001</v>
      </c>
      <c r="C69" s="7" t="n">
        <v>199.83</v>
      </c>
      <c r="D69" s="6" t="n">
        <v>63117</v>
      </c>
      <c r="F69" s="5" t="inlineStr">
        <is>
          <t>2024-04-17</t>
        </is>
      </c>
      <c r="G69" s="23" t="n">
        <v>33.0312</v>
      </c>
      <c r="H69" s="24" t="n">
        <v>0.023933</v>
      </c>
    </row>
    <row r="70">
      <c r="A70" s="5" t="inlineStr">
        <is>
          <t>2024-04-18</t>
        </is>
      </c>
      <c r="B70" s="7" t="n">
        <v>606.5700000000001</v>
      </c>
      <c r="C70" s="7" t="n">
        <v>199.97</v>
      </c>
      <c r="D70" s="6" t="n">
        <v>61753</v>
      </c>
      <c r="F70" s="5" t="inlineStr">
        <is>
          <t>2024-04-18</t>
        </is>
      </c>
      <c r="G70" s="23" t="n">
        <v>32.8497</v>
      </c>
      <c r="H70" s="24" t="n">
        <v>0.023985</v>
      </c>
    </row>
    <row r="71">
      <c r="A71" s="5" t="inlineStr">
        <is>
          <t>2024-04-19</t>
        </is>
      </c>
      <c r="B71" s="7" t="n">
        <v>586.83</v>
      </c>
      <c r="C71" s="7" t="n">
        <v>197.33</v>
      </c>
      <c r="D71" s="6" t="n">
        <v>61208</v>
      </c>
      <c r="F71" s="5" t="inlineStr">
        <is>
          <t>2024-04-19</t>
        </is>
      </c>
      <c r="G71" s="23" t="n">
        <v>32.7312</v>
      </c>
      <c r="H71" s="24" t="n">
        <v>0.023998</v>
      </c>
    </row>
    <row r="72">
      <c r="A72" s="5" t="inlineStr">
        <is>
          <t>2024-04-22</t>
        </is>
      </c>
      <c r="B72" s="7" t="n">
        <v>595.54</v>
      </c>
      <c r="C72" s="7" t="n">
        <v>195.43</v>
      </c>
      <c r="D72" s="6" t="n">
        <v>60983</v>
      </c>
      <c r="F72" s="5" t="inlineStr">
        <is>
          <t>2024-04-22</t>
        </is>
      </c>
      <c r="G72" s="23" t="n">
        <v>32.9667</v>
      </c>
      <c r="H72" s="24" t="n">
        <v>0.024033</v>
      </c>
    </row>
    <row r="73">
      <c r="A73" s="5" t="inlineStr">
        <is>
          <t>2024-04-23</t>
        </is>
      </c>
      <c r="B73" s="7" t="n">
        <v>606.75</v>
      </c>
      <c r="C73" s="7" t="n">
        <v>193.14</v>
      </c>
      <c r="D73" s="6" t="n">
        <v>60889</v>
      </c>
      <c r="F73" s="5" t="inlineStr">
        <is>
          <t>2024-04-23</t>
        </is>
      </c>
      <c r="G73" s="23" t="n">
        <v>32.9427</v>
      </c>
      <c r="H73" s="24" t="n">
        <v>0.024014</v>
      </c>
    </row>
    <row r="74">
      <c r="A74" s="5" t="inlineStr">
        <is>
          <t>2024-04-24</t>
        </is>
      </c>
      <c r="B74" s="7" t="n">
        <v>602.71</v>
      </c>
      <c r="C74" s="7" t="n">
        <v>188.12</v>
      </c>
      <c r="D74" s="6" t="n">
        <v>60333</v>
      </c>
      <c r="F74" s="5" t="inlineStr">
        <is>
          <t>2024-04-24</t>
        </is>
      </c>
      <c r="G74" s="23" t="n">
        <v>32.9221</v>
      </c>
      <c r="H74" s="24" t="n">
        <v>0.023964</v>
      </c>
    </row>
    <row r="75">
      <c r="A75" s="5" t="inlineStr">
        <is>
          <t>2024-04-25</t>
        </is>
      </c>
      <c r="B75" s="7" t="n">
        <v>616.72</v>
      </c>
      <c r="C75" s="7" t="n">
        <v>196.78</v>
      </c>
      <c r="D75" s="6" t="n">
        <v>59302</v>
      </c>
      <c r="F75" s="5" t="inlineStr">
        <is>
          <t>2024-04-25</t>
        </is>
      </c>
      <c r="G75" s="23" t="n">
        <v>32.758</v>
      </c>
      <c r="H75" s="24" t="n">
        <v>0.023882</v>
      </c>
    </row>
    <row r="76">
      <c r="A76" s="5" t="inlineStr">
        <is>
          <t>2024-04-26</t>
        </is>
      </c>
      <c r="B76" s="7" t="n">
        <v>628.67</v>
      </c>
      <c r="C76" s="7" t="n">
        <v>201.68</v>
      </c>
      <c r="D76" s="6" t="n">
        <v>61373</v>
      </c>
      <c r="F76" s="5" t="inlineStr">
        <is>
          <t>2024-04-26</t>
        </is>
      </c>
      <c r="G76" s="23" t="n">
        <v>32.8951</v>
      </c>
      <c r="H76" s="24" t="n">
        <v>0.024004</v>
      </c>
    </row>
    <row r="77">
      <c r="A77" s="5" t="inlineStr">
        <is>
          <t>2024-04-29</t>
        </is>
      </c>
      <c r="B77" s="7" t="n">
        <v>623.6</v>
      </c>
      <c r="C77" s="7" t="n">
        <v>202.4</v>
      </c>
      <c r="D77" s="6" t="n">
        <v>60557</v>
      </c>
      <c r="F77" s="5" t="inlineStr">
        <is>
          <t>2024-04-29</t>
        </is>
      </c>
      <c r="G77" s="23" t="n">
        <v>32.9599</v>
      </c>
      <c r="H77" s="24" t="n">
        <v>0.024002</v>
      </c>
    </row>
    <row r="78">
      <c r="A78" s="5" t="inlineStr">
        <is>
          <t>2024-04-30</t>
        </is>
      </c>
      <c r="B78" s="7" t="n">
        <v>631.03</v>
      </c>
      <c r="C78" s="7" t="n">
        <v>207.34</v>
      </c>
      <c r="D78" s="6" t="n">
        <v>60677</v>
      </c>
      <c r="F78" s="5" t="inlineStr">
        <is>
          <t>2024-04-30</t>
        </is>
      </c>
      <c r="G78" s="23" t="n">
        <v>33.0247</v>
      </c>
      <c r="H78" s="24" t="n">
        <v>0.024029</v>
      </c>
    </row>
    <row r="79">
      <c r="A79" s="5" t="inlineStr">
        <is>
          <t>2024-05-01</t>
        </is>
      </c>
      <c r="B79" s="7" t="n">
        <v>634.23</v>
      </c>
      <c r="C79" s="7" t="n">
        <v>210.78</v>
      </c>
      <c r="D79" s="6" t="n">
        <v>61887</v>
      </c>
      <c r="F79" s="5" t="inlineStr">
        <is>
          <t>2024-05-01</t>
        </is>
      </c>
      <c r="G79" s="23" t="n">
        <v>33.0877</v>
      </c>
      <c r="H79" s="24" t="n">
        <v>0.024181</v>
      </c>
    </row>
    <row r="80">
      <c r="A80" s="5" t="inlineStr">
        <is>
          <t>2024-05-02</t>
        </is>
      </c>
      <c r="B80" s="7" t="n">
        <v>626.29</v>
      </c>
      <c r="C80" s="7" t="n">
        <v>215.14</v>
      </c>
      <c r="D80" s="6" t="n">
        <v>62685</v>
      </c>
      <c r="F80" s="5" t="inlineStr">
        <is>
          <t>2024-05-02</t>
        </is>
      </c>
      <c r="G80" s="23" t="n">
        <v>33.2151</v>
      </c>
      <c r="H80" s="24" t="n">
        <v>0.024151</v>
      </c>
    </row>
    <row r="81">
      <c r="A81" s="5" t="inlineStr">
        <is>
          <t>2024-05-03</t>
        </is>
      </c>
      <c r="B81" s="7" t="n">
        <v>628.63</v>
      </c>
      <c r="C81" s="7" t="n">
        <v>215.59</v>
      </c>
      <c r="D81" s="6" t="n">
        <v>63699</v>
      </c>
      <c r="F81" s="5" t="inlineStr">
        <is>
          <t>2024-05-03</t>
        </is>
      </c>
      <c r="G81" s="23" t="n">
        <v>33.1309</v>
      </c>
      <c r="H81" s="24" t="n">
        <v>0.023954</v>
      </c>
    </row>
    <row r="82">
      <c r="A82" s="5" t="inlineStr">
        <is>
          <t>2024-05-06</t>
        </is>
      </c>
      <c r="B82" s="7" t="n">
        <v>642.14</v>
      </c>
      <c r="C82" s="7" t="n">
        <v>212.24</v>
      </c>
      <c r="D82" s="6" t="n">
        <v>62553</v>
      </c>
      <c r="F82" s="5" t="inlineStr">
        <is>
          <t>2024-05-06</t>
        </is>
      </c>
      <c r="G82" s="23" t="n">
        <v>33.0605</v>
      </c>
      <c r="H82" s="24" t="n">
        <v>0.023948</v>
      </c>
    </row>
    <row r="83">
      <c r="A83" s="5" t="inlineStr">
        <is>
          <t>2024-05-07</t>
        </is>
      </c>
      <c r="B83" s="7" t="n">
        <v>620.8</v>
      </c>
      <c r="C83" s="7" t="n">
        <v>212.01</v>
      </c>
      <c r="D83" s="6" t="n">
        <v>62725</v>
      </c>
      <c r="F83" s="5" t="inlineStr">
        <is>
          <t>2024-05-07</t>
        </is>
      </c>
      <c r="G83" s="23" t="n">
        <v>33.05</v>
      </c>
      <c r="H83" s="24" t="n">
        <v>0.023947</v>
      </c>
    </row>
    <row r="84">
      <c r="A84" s="5" t="inlineStr">
        <is>
          <t>2024-05-08</t>
        </is>
      </c>
      <c r="B84" s="7" t="n">
        <v>616.9400000000001</v>
      </c>
      <c r="C84" s="7" t="n">
        <v>207.8</v>
      </c>
      <c r="D84" s="6" t="n">
        <v>64169</v>
      </c>
      <c r="F84" s="5" t="inlineStr">
        <is>
          <t>2024-05-08</t>
        </is>
      </c>
      <c r="G84" s="23" t="n">
        <v>33.0946</v>
      </c>
      <c r="H84" s="24" t="n">
        <v>0.024047</v>
      </c>
    </row>
    <row r="85">
      <c r="A85" s="5" t="inlineStr">
        <is>
          <t>2024-05-09</t>
        </is>
      </c>
      <c r="B85" s="7" t="n">
        <v>637.49</v>
      </c>
      <c r="C85" s="7" t="n">
        <v>215.5</v>
      </c>
      <c r="D85" s="6" t="n">
        <v>65106</v>
      </c>
      <c r="F85" s="5" t="inlineStr">
        <is>
          <t>2024-05-09</t>
        </is>
      </c>
      <c r="G85" s="23" t="n">
        <v>32.9461</v>
      </c>
      <c r="H85" s="24" t="n">
        <v>0.023955</v>
      </c>
    </row>
    <row r="86">
      <c r="A86" s="5" t="inlineStr">
        <is>
          <t>2024-05-10</t>
        </is>
      </c>
      <c r="B86" s="7" t="n">
        <v>639.79</v>
      </c>
      <c r="C86" s="7" t="n">
        <v>216.32</v>
      </c>
      <c r="D86" s="6" t="n">
        <v>65030</v>
      </c>
      <c r="F86" s="5" t="inlineStr">
        <is>
          <t>2024-05-10</t>
        </is>
      </c>
      <c r="G86" s="23" t="n">
        <v>32.8519</v>
      </c>
      <c r="H86" s="24" t="n">
        <v>0.024023</v>
      </c>
    </row>
    <row r="87">
      <c r="A87" s="5" t="inlineStr">
        <is>
          <t>2024-05-13</t>
        </is>
      </c>
      <c r="B87" s="7" t="n">
        <v>624.76</v>
      </c>
      <c r="C87" s="7" t="n">
        <v>212.82</v>
      </c>
      <c r="D87" s="6" t="n">
        <v>65701</v>
      </c>
      <c r="F87" s="5" t="inlineStr">
        <is>
          <t>2024-05-13</t>
        </is>
      </c>
      <c r="G87" s="23" t="n">
        <v>33.0348</v>
      </c>
      <c r="H87" s="24" t="n">
        <v>0.024047</v>
      </c>
    </row>
    <row r="88">
      <c r="A88" s="5" t="inlineStr">
        <is>
          <t>2024-05-14</t>
        </is>
      </c>
      <c r="B88" s="7" t="n">
        <v>625.22</v>
      </c>
      <c r="C88" s="7" t="n">
        <v>211.23</v>
      </c>
      <c r="D88" s="6" t="n">
        <v>65274</v>
      </c>
      <c r="F88" s="5" t="inlineStr">
        <is>
          <t>2024-05-14</t>
        </is>
      </c>
      <c r="G88" s="23" t="n">
        <v>33.0826</v>
      </c>
      <c r="H88" s="24" t="n">
        <v>0.024002</v>
      </c>
    </row>
    <row r="89">
      <c r="A89" s="5" t="inlineStr">
        <is>
          <t>2024-05-15</t>
        </is>
      </c>
      <c r="B89" s="7" t="n">
        <v>648</v>
      </c>
      <c r="C89" s="7" t="n">
        <v>218.9</v>
      </c>
      <c r="D89" s="6" t="n">
        <v>67747</v>
      </c>
      <c r="F89" s="5" t="inlineStr">
        <is>
          <t>2024-05-15</t>
        </is>
      </c>
      <c r="G89" s="23" t="n">
        <v>32.9899</v>
      </c>
      <c r="H89" s="24" t="n">
        <v>0.023941</v>
      </c>
    </row>
    <row r="90">
      <c r="A90" s="5" t="inlineStr">
        <is>
          <t>2024-05-16</t>
        </is>
      </c>
      <c r="B90" s="7" t="n">
        <v>650.8099999999999</v>
      </c>
      <c r="C90" s="7" t="n">
        <v>214.75</v>
      </c>
      <c r="D90" s="6" t="n">
        <v>67817</v>
      </c>
      <c r="F90" s="5" t="inlineStr">
        <is>
          <t>2024-05-16</t>
        </is>
      </c>
      <c r="G90" s="23" t="n">
        <v>33.152</v>
      </c>
      <c r="H90" s="24" t="n">
        <v>0.023941</v>
      </c>
    </row>
    <row r="91">
      <c r="A91" s="5" t="inlineStr">
        <is>
          <t>2024-05-17</t>
        </is>
      </c>
      <c r="B91" s="7" t="n">
        <v>647.15</v>
      </c>
      <c r="C91" s="7" t="n">
        <v>216.82</v>
      </c>
      <c r="D91" s="6" t="n">
        <v>69409</v>
      </c>
      <c r="F91" s="5" t="inlineStr">
        <is>
          <t>2024-05-17</t>
        </is>
      </c>
      <c r="G91" s="23" t="n">
        <v>33.1351</v>
      </c>
      <c r="H91" s="24" t="n">
        <v>0.024005</v>
      </c>
    </row>
    <row r="92">
      <c r="A92" s="5" t="inlineStr">
        <is>
          <t>2024-05-20</t>
        </is>
      </c>
      <c r="B92" s="7" t="n">
        <v>638.88</v>
      </c>
      <c r="C92" s="7" t="n">
        <v>221.12</v>
      </c>
      <c r="D92" s="6" t="n">
        <v>69665</v>
      </c>
      <c r="F92" s="5" t="inlineStr">
        <is>
          <t>2024-05-20</t>
        </is>
      </c>
      <c r="G92" s="23" t="n">
        <v>33.1486</v>
      </c>
      <c r="H92" s="24" t="n">
        <v>0.024113</v>
      </c>
    </row>
    <row r="93">
      <c r="A93" s="5" t="inlineStr">
        <is>
          <t>2024-05-21</t>
        </is>
      </c>
      <c r="B93" s="7" t="n">
        <v>640.55</v>
      </c>
      <c r="C93" s="7" t="n">
        <v>219.27</v>
      </c>
      <c r="D93" s="6" t="n">
        <v>69317</v>
      </c>
      <c r="F93" s="5" t="inlineStr">
        <is>
          <t>2024-05-21</t>
        </is>
      </c>
      <c r="G93" s="23" t="n">
        <v>33.1528</v>
      </c>
      <c r="H93" s="24" t="n">
        <v>0.024145</v>
      </c>
    </row>
    <row r="94">
      <c r="A94" s="5" t="inlineStr">
        <is>
          <t>2024-05-22</t>
        </is>
      </c>
      <c r="B94" s="7" t="n">
        <v>642.26</v>
      </c>
      <c r="C94" s="7" t="n">
        <v>218.79</v>
      </c>
      <c r="D94" s="6" t="n">
        <v>68871</v>
      </c>
      <c r="F94" s="5" t="inlineStr">
        <is>
          <t>2024-05-22</t>
        </is>
      </c>
      <c r="G94" s="23" t="n">
        <v>33.2081</v>
      </c>
      <c r="H94" s="24" t="n">
        <v>0.024092</v>
      </c>
    </row>
    <row r="95">
      <c r="A95" s="5" t="inlineStr">
        <is>
          <t>2024-05-23</t>
        </is>
      </c>
      <c r="B95" s="7" t="n">
        <v>637.72</v>
      </c>
      <c r="C95" s="7" t="n">
        <v>226.25</v>
      </c>
      <c r="D95" s="6" t="n">
        <v>69010</v>
      </c>
      <c r="F95" s="5" t="inlineStr">
        <is>
          <t>2024-05-23</t>
        </is>
      </c>
      <c r="G95" s="23" t="n">
        <v>33.1725</v>
      </c>
      <c r="H95" s="24" t="n">
        <v>0.024157</v>
      </c>
    </row>
    <row r="96">
      <c r="A96" s="5" t="inlineStr">
        <is>
          <t>2024-05-24</t>
        </is>
      </c>
      <c r="B96" s="7" t="n">
        <v>647.96</v>
      </c>
      <c r="C96" s="7" t="n">
        <v>227.64</v>
      </c>
      <c r="D96" s="6" t="n">
        <v>65133</v>
      </c>
      <c r="F96" s="5" t="inlineStr">
        <is>
          <t>2024-05-24</t>
        </is>
      </c>
      <c r="G96" s="23" t="n">
        <v>33.1899</v>
      </c>
      <c r="H96" s="24" t="n">
        <v>0.024107</v>
      </c>
    </row>
    <row r="97">
      <c r="A97" s="5" t="inlineStr">
        <is>
          <t>2024-05-27</t>
        </is>
      </c>
      <c r="B97" s="7" t="n">
        <v>690.25</v>
      </c>
      <c r="C97" s="7" t="n">
        <v>231.68</v>
      </c>
      <c r="D97" s="6" t="n">
        <v>65304</v>
      </c>
      <c r="F97" s="5" t="inlineStr">
        <is>
          <t>2024-05-27</t>
        </is>
      </c>
      <c r="G97" s="23" t="n">
        <v>33.1934</v>
      </c>
      <c r="H97" s="24" t="n">
        <v>0.024356</v>
      </c>
    </row>
    <row r="98">
      <c r="A98" s="5" t="inlineStr">
        <is>
          <t>2024-05-28</t>
        </is>
      </c>
      <c r="B98" s="7" t="n">
        <v>709.21</v>
      </c>
      <c r="C98" s="7" t="n">
        <v>239.52</v>
      </c>
      <c r="D98" s="6" t="n">
        <v>65288</v>
      </c>
      <c r="F98" s="5" t="inlineStr">
        <is>
          <t>2024-05-28</t>
        </is>
      </c>
      <c r="G98" s="23" t="n">
        <v>33.1802</v>
      </c>
      <c r="H98" s="24" t="n">
        <v>0.024284</v>
      </c>
    </row>
    <row r="99">
      <c r="A99" s="5" t="inlineStr">
        <is>
          <t>2024-05-29</t>
        </is>
      </c>
      <c r="B99" s="7" t="n">
        <v>698.0700000000001</v>
      </c>
      <c r="C99" s="7" t="n">
        <v>235.01</v>
      </c>
      <c r="D99" s="6" t="n">
        <v>65360</v>
      </c>
      <c r="F99" s="5" t="inlineStr">
        <is>
          <t>2024-05-29</t>
        </is>
      </c>
      <c r="G99" s="23" t="n">
        <v>33.2258</v>
      </c>
      <c r="H99" s="24" t="n">
        <v>0.02445</v>
      </c>
    </row>
    <row r="100">
      <c r="A100" s="5" t="inlineStr">
        <is>
          <t>2024-05-30</t>
        </is>
      </c>
      <c r="B100" s="7" t="n">
        <v>700.91</v>
      </c>
      <c r="C100" s="7" t="n">
        <v>238.57</v>
      </c>
      <c r="D100" s="6" t="n">
        <v>65477</v>
      </c>
      <c r="F100" s="5" t="inlineStr">
        <is>
          <t>2024-05-30</t>
        </is>
      </c>
      <c r="G100" s="23" t="n">
        <v>33.2112</v>
      </c>
      <c r="H100" s="24" t="n">
        <v>0.024431</v>
      </c>
    </row>
    <row r="101">
      <c r="A101" s="5" t="inlineStr">
        <is>
          <t>2024-05-31</t>
        </is>
      </c>
      <c r="B101" s="7" t="n">
        <v>694.3200000000001</v>
      </c>
      <c r="C101" s="7" t="n">
        <v>238.57</v>
      </c>
      <c r="D101" s="6" t="n">
        <v>64609</v>
      </c>
      <c r="F101" s="5" t="inlineStr">
        <is>
          <t>2024-05-31</t>
        </is>
      </c>
      <c r="G101" s="23" t="n">
        <v>33.1723</v>
      </c>
      <c r="H101" s="24" t="n">
        <v>0.024308</v>
      </c>
    </row>
    <row r="102">
      <c r="A102" s="5" t="inlineStr">
        <is>
          <t>2024-06-03</t>
        </is>
      </c>
      <c r="B102" s="7" t="n">
        <v>704.11</v>
      </c>
      <c r="C102" s="7" t="n">
        <v>241.31</v>
      </c>
      <c r="D102" s="6" t="n">
        <v>65707</v>
      </c>
      <c r="F102" s="5" t="inlineStr">
        <is>
          <t>2024-06-03</t>
        </is>
      </c>
      <c r="G102" s="23" t="n">
        <v>33.1657</v>
      </c>
      <c r="H102" s="24" t="n">
        <v>0.024417</v>
      </c>
    </row>
    <row r="103">
      <c r="A103" s="5" t="inlineStr">
        <is>
          <t>2024-06-04</t>
        </is>
      </c>
      <c r="B103" s="7" t="n">
        <v>711.08</v>
      </c>
      <c r="C103" s="7" t="n">
        <v>240.33</v>
      </c>
      <c r="D103" s="6" t="n">
        <v>63412</v>
      </c>
      <c r="F103" s="5" t="inlineStr">
        <is>
          <t>2024-06-04</t>
        </is>
      </c>
      <c r="G103" s="23" t="n">
        <v>33.2106</v>
      </c>
      <c r="H103" s="24" t="n">
        <v>0.02443</v>
      </c>
    </row>
    <row r="104">
      <c r="A104" s="5" t="inlineStr">
        <is>
          <t>2024-06-05</t>
        </is>
      </c>
      <c r="B104" s="7" t="n">
        <v>729.91</v>
      </c>
      <c r="C104" s="7" t="n">
        <v>246.7</v>
      </c>
      <c r="D104" s="6" t="n">
        <v>63057</v>
      </c>
      <c r="F104" s="5" t="inlineStr">
        <is>
          <t>2024-06-05</t>
        </is>
      </c>
      <c r="G104" s="23" t="n">
        <v>33.0452</v>
      </c>
      <c r="H104" s="24" t="n">
        <v>0.024399</v>
      </c>
    </row>
    <row r="105">
      <c r="A105" s="5" t="inlineStr">
        <is>
          <t>2024-06-06</t>
        </is>
      </c>
      <c r="B105" s="7" t="n">
        <v>743.75</v>
      </c>
      <c r="C105" s="7" t="n">
        <v>248.74</v>
      </c>
      <c r="D105" s="6" t="n">
        <v>63283</v>
      </c>
      <c r="F105" s="5" t="inlineStr">
        <is>
          <t>2024-06-06</t>
        </is>
      </c>
      <c r="G105" s="23" t="n">
        <v>32.9372</v>
      </c>
      <c r="H105" s="24" t="n">
        <v>0.024141</v>
      </c>
    </row>
    <row r="106">
      <c r="A106" s="5" t="inlineStr">
        <is>
          <t>2024-06-07</t>
        </is>
      </c>
      <c r="B106" s="7" t="n">
        <v>744.25</v>
      </c>
      <c r="C106" s="7" t="n">
        <v>245.38</v>
      </c>
      <c r="D106" s="6" t="n">
        <v>62950</v>
      </c>
      <c r="F106" s="5" t="inlineStr">
        <is>
          <t>2024-06-07</t>
        </is>
      </c>
      <c r="G106" s="23" t="n">
        <v>32.8804</v>
      </c>
      <c r="H106" s="24" t="n">
        <v>0.024201</v>
      </c>
    </row>
    <row r="107">
      <c r="A107" s="5" t="inlineStr">
        <is>
          <t>2024-06-10</t>
        </is>
      </c>
      <c r="B107" s="7" t="n">
        <v>745.62</v>
      </c>
      <c r="C107" s="7" t="n">
        <v>246.48</v>
      </c>
      <c r="D107" s="6" t="n">
        <v>62216</v>
      </c>
      <c r="F107" s="5" t="inlineStr">
        <is>
          <t>2024-06-10</t>
        </is>
      </c>
      <c r="G107" s="23" t="n">
        <v>32.788</v>
      </c>
      <c r="H107" s="24" t="n">
        <v>0.02412</v>
      </c>
    </row>
    <row r="108">
      <c r="A108" s="5" t="inlineStr">
        <is>
          <t>2024-06-11</t>
        </is>
      </c>
      <c r="B108" s="7" t="n">
        <v>751.95</v>
      </c>
      <c r="C108" s="7" t="n">
        <v>244.7</v>
      </c>
      <c r="D108" s="6" t="n">
        <v>61561</v>
      </c>
      <c r="F108" s="5" t="inlineStr">
        <is>
          <t>2024-06-11</t>
        </is>
      </c>
      <c r="G108" s="23" t="n">
        <v>32.963</v>
      </c>
      <c r="H108" s="24" t="n">
        <v>0.024188</v>
      </c>
    </row>
    <row r="109">
      <c r="A109" s="5" t="inlineStr">
        <is>
          <t>2024-06-12</t>
        </is>
      </c>
      <c r="B109" s="7" t="n">
        <v>753.75</v>
      </c>
      <c r="C109" s="7" t="n">
        <v>243.04</v>
      </c>
      <c r="D109" s="6" t="n">
        <v>60178</v>
      </c>
      <c r="F109" s="5" t="inlineStr">
        <is>
          <t>2024-06-12</t>
        </is>
      </c>
      <c r="G109" s="23" t="n">
        <v>33.0908</v>
      </c>
      <c r="H109" s="24" t="n">
        <v>0.024318</v>
      </c>
    </row>
    <row r="110">
      <c r="A110" s="5" t="inlineStr">
        <is>
          <t>2024-06-13</t>
        </is>
      </c>
      <c r="B110" s="7" t="n">
        <v>746.4</v>
      </c>
      <c r="C110" s="7" t="n">
        <v>239.6</v>
      </c>
      <c r="D110" s="6" t="n">
        <v>60079</v>
      </c>
      <c r="F110" s="5" t="inlineStr">
        <is>
          <t>2024-06-13</t>
        </is>
      </c>
      <c r="G110" s="23" t="n">
        <v>33.1583</v>
      </c>
      <c r="H110" s="24" t="n">
        <v>0.024314</v>
      </c>
    </row>
    <row r="111">
      <c r="A111" s="5" t="inlineStr">
        <is>
          <t>2024-06-14</t>
        </is>
      </c>
      <c r="B111" s="7" t="n">
        <v>757.1</v>
      </c>
      <c r="C111" s="7" t="n">
        <v>243.05</v>
      </c>
      <c r="D111" s="6" t="n">
        <v>59561</v>
      </c>
      <c r="F111" s="5" t="inlineStr">
        <is>
          <t>2024-06-14</t>
        </is>
      </c>
      <c r="G111" s="23" t="n">
        <v>33.2064</v>
      </c>
      <c r="H111" s="24" t="n">
        <v>0.024458</v>
      </c>
    </row>
    <row r="112">
      <c r="A112" s="5" t="inlineStr">
        <is>
          <t>2024-06-17</t>
        </is>
      </c>
      <c r="B112" s="7" t="n">
        <v>752.21</v>
      </c>
      <c r="C112" s="7" t="n">
        <v>243.84</v>
      </c>
      <c r="D112" s="6" t="n">
        <v>57536</v>
      </c>
      <c r="F112" s="5" t="inlineStr">
        <is>
          <t>2024-06-17</t>
        </is>
      </c>
      <c r="G112" s="23" t="n">
        <v>33.2338</v>
      </c>
      <c r="H112" s="24" t="n">
        <v>0.024474</v>
      </c>
    </row>
    <row r="113">
      <c r="A113" s="5" t="inlineStr">
        <is>
          <t>2024-06-18</t>
        </is>
      </c>
      <c r="B113" s="7" t="n">
        <v>765.7</v>
      </c>
      <c r="C113" s="7" t="n">
        <v>250.28</v>
      </c>
      <c r="D113" s="6" t="n">
        <v>58892</v>
      </c>
      <c r="F113" s="5" t="inlineStr">
        <is>
          <t>2024-06-18</t>
        </is>
      </c>
      <c r="G113" s="23" t="n">
        <v>33.2559</v>
      </c>
      <c r="H113" s="24" t="n">
        <v>0.024566</v>
      </c>
    </row>
    <row r="114">
      <c r="A114" s="5" t="inlineStr">
        <is>
          <t>2024-06-19</t>
        </is>
      </c>
      <c r="B114" s="7" t="n">
        <v>733.45</v>
      </c>
      <c r="C114" s="7" t="n">
        <v>248.61</v>
      </c>
      <c r="D114" s="6" t="n">
        <v>56151</v>
      </c>
      <c r="F114" s="5" t="inlineStr">
        <is>
          <t>2024-06-19</t>
        </is>
      </c>
      <c r="G114" s="23" t="n">
        <v>33.2065</v>
      </c>
      <c r="H114" s="24" t="n">
        <v>0.024733</v>
      </c>
    </row>
    <row r="115">
      <c r="A115" s="5" t="inlineStr">
        <is>
          <t>2024-06-20</t>
        </is>
      </c>
      <c r="B115" s="7" t="n">
        <v>747.59</v>
      </c>
      <c r="C115" s="7" t="n">
        <v>240.8</v>
      </c>
      <c r="D115" s="6" t="n">
        <v>54283</v>
      </c>
      <c r="F115" s="5" t="inlineStr">
        <is>
          <t>2024-06-20</t>
        </is>
      </c>
      <c r="G115" s="23" t="n">
        <v>33.3036</v>
      </c>
      <c r="H115" s="24" t="n">
        <v>0.02467</v>
      </c>
    </row>
    <row r="116">
      <c r="A116" s="5" t="inlineStr">
        <is>
          <t>2024-06-21</t>
        </is>
      </c>
      <c r="B116" s="7" t="n">
        <v>753.38</v>
      </c>
      <c r="C116" s="7" t="n">
        <v>235.51</v>
      </c>
      <c r="D116" s="6" t="n">
        <v>51013</v>
      </c>
      <c r="F116" s="5" t="inlineStr">
        <is>
          <t>2024-06-21</t>
        </is>
      </c>
      <c r="G116" s="23" t="n">
        <v>33.4834</v>
      </c>
      <c r="H116" s="24" t="n">
        <v>0.024504</v>
      </c>
    </row>
    <row r="117">
      <c r="A117" s="5" t="inlineStr">
        <is>
          <t>2024-06-24</t>
        </is>
      </c>
      <c r="B117" s="7" t="n">
        <v>737.53</v>
      </c>
      <c r="C117" s="7" t="n">
        <v>235.99</v>
      </c>
      <c r="D117" s="6" t="n">
        <v>49595</v>
      </c>
      <c r="F117" s="5" t="inlineStr">
        <is>
          <t>2024-06-24</t>
        </is>
      </c>
      <c r="G117" s="23" t="n">
        <v>33.2515</v>
      </c>
      <c r="H117" s="24" t="n">
        <v>0.024564</v>
      </c>
    </row>
    <row r="118">
      <c r="A118" s="5" t="inlineStr">
        <is>
          <t>2024-06-25</t>
        </is>
      </c>
      <c r="B118" s="7" t="n">
        <v>721.83</v>
      </c>
      <c r="C118" s="7" t="n">
        <v>235.37</v>
      </c>
      <c r="D118" s="6" t="n">
        <v>49389</v>
      </c>
      <c r="F118" s="5" t="inlineStr">
        <is>
          <t>2024-06-25</t>
        </is>
      </c>
      <c r="G118" s="23" t="n">
        <v>33.1756</v>
      </c>
      <c r="H118" s="24" t="n">
        <v>0.024503</v>
      </c>
    </row>
    <row r="119">
      <c r="A119" s="5" t="inlineStr">
        <is>
          <t>2024-06-26</t>
        </is>
      </c>
      <c r="B119" s="7" t="n">
        <v>740.35</v>
      </c>
      <c r="C119" s="7" t="n">
        <v>240.54</v>
      </c>
      <c r="D119" s="6" t="n">
        <v>49465</v>
      </c>
      <c r="F119" s="5" t="inlineStr">
        <is>
          <t>2024-06-26</t>
        </is>
      </c>
      <c r="G119" s="23" t="n">
        <v>33.2287</v>
      </c>
      <c r="H119" s="24" t="n">
        <v>0.024611</v>
      </c>
    </row>
    <row r="120">
      <c r="A120" s="5" t="inlineStr">
        <is>
          <t>2024-06-27</t>
        </is>
      </c>
      <c r="B120" s="7" t="n">
        <v>730.2</v>
      </c>
      <c r="C120" s="7" t="n">
        <v>244.17</v>
      </c>
      <c r="D120" s="6" t="n">
        <v>48799</v>
      </c>
      <c r="F120" s="5" t="inlineStr">
        <is>
          <t>2024-06-27</t>
        </is>
      </c>
      <c r="G120" s="23" t="n">
        <v>33.4544</v>
      </c>
      <c r="H120" s="24" t="n">
        <v>0.02466</v>
      </c>
    </row>
    <row r="121">
      <c r="A121" s="5" t="inlineStr">
        <is>
          <t>2024-06-28</t>
        </is>
      </c>
      <c r="B121" s="7" t="n">
        <v>714.64</v>
      </c>
      <c r="C121" s="7" t="n">
        <v>244.75</v>
      </c>
      <c r="D121" s="6" t="n">
        <v>48028</v>
      </c>
      <c r="F121" s="5" t="inlineStr">
        <is>
          <t>2024-06-28</t>
        </is>
      </c>
      <c r="G121" s="23" t="n">
        <v>33.3831</v>
      </c>
      <c r="H121" s="24" t="n">
        <v>0.024718</v>
      </c>
    </row>
    <row r="122">
      <c r="A122" s="5" t="inlineStr">
        <is>
          <t>2024-07-01</t>
        </is>
      </c>
      <c r="B122" s="7" t="n">
        <v>693.0599999999999</v>
      </c>
      <c r="C122" s="7" t="n">
        <v>245.36</v>
      </c>
      <c r="D122" s="6" t="n">
        <v>48742</v>
      </c>
      <c r="F122" s="5" t="inlineStr">
        <is>
          <t>2024-07-01</t>
        </is>
      </c>
      <c r="G122" s="23" t="n">
        <v>33.3509</v>
      </c>
      <c r="H122" s="24" t="n">
        <v>0.024664</v>
      </c>
    </row>
    <row r="123">
      <c r="A123" s="5" t="inlineStr">
        <is>
          <t>2024-07-02</t>
        </is>
      </c>
      <c r="B123" s="7" t="n">
        <v>676.89</v>
      </c>
      <c r="C123" s="7" t="n">
        <v>242.32</v>
      </c>
      <c r="D123" s="6" t="n">
        <v>47938</v>
      </c>
      <c r="F123" s="5" t="inlineStr">
        <is>
          <t>2024-07-02</t>
        </is>
      </c>
      <c r="G123" s="23" t="n">
        <v>33.4606</v>
      </c>
      <c r="H123" s="24" t="n">
        <v>0.024792</v>
      </c>
    </row>
    <row r="124">
      <c r="A124" s="5" t="inlineStr">
        <is>
          <t>2024-07-03</t>
        </is>
      </c>
      <c r="B124" s="7" t="n">
        <v>675.03</v>
      </c>
      <c r="C124" s="7" t="n">
        <v>240.35</v>
      </c>
      <c r="D124" s="6" t="n">
        <v>46326</v>
      </c>
      <c r="F124" s="5" t="inlineStr">
        <is>
          <t>2024-07-03</t>
        </is>
      </c>
      <c r="G124" s="23" t="n">
        <v>33.2723</v>
      </c>
      <c r="H124" s="24" t="n">
        <v>0.024895</v>
      </c>
    </row>
    <row r="125">
      <c r="A125" s="5" t="inlineStr">
        <is>
          <t>2024-07-04</t>
        </is>
      </c>
      <c r="B125" s="7" t="n">
        <v>675.9</v>
      </c>
      <c r="C125" s="7" t="n">
        <v>239.14</v>
      </c>
      <c r="D125" s="6" t="n">
        <v>46424</v>
      </c>
      <c r="F125" s="5" t="inlineStr">
        <is>
          <t>2024-07-04</t>
        </is>
      </c>
      <c r="G125" s="23" t="n">
        <v>33.2873</v>
      </c>
      <c r="H125" s="24" t="n">
        <v>0.024946</v>
      </c>
    </row>
    <row r="126">
      <c r="A126" s="5" t="inlineStr">
        <is>
          <t>2024-07-05</t>
        </is>
      </c>
      <c r="B126" s="7" t="n">
        <v>685.39</v>
      </c>
      <c r="C126" s="7" t="n">
        <v>243.52</v>
      </c>
      <c r="D126" s="6" t="n">
        <v>47146</v>
      </c>
      <c r="F126" s="5" t="inlineStr">
        <is>
          <t>2024-07-05</t>
        </is>
      </c>
      <c r="G126" s="23" t="n">
        <v>33.1869</v>
      </c>
      <c r="H126" s="24" t="n">
        <v>0.024838</v>
      </c>
    </row>
    <row r="127">
      <c r="A127" s="5" t="inlineStr">
        <is>
          <t>2024-07-08</t>
        </is>
      </c>
      <c r="B127" s="7" t="n">
        <v>650.63</v>
      </c>
      <c r="C127" s="7" t="n">
        <v>235.97</v>
      </c>
      <c r="D127" s="6" t="n">
        <v>46533</v>
      </c>
      <c r="F127" s="5" t="inlineStr">
        <is>
          <t>2024-07-08</t>
        </is>
      </c>
      <c r="G127" s="23" t="n">
        <v>33.1364</v>
      </c>
      <c r="H127" s="24" t="n">
        <v>0.024889</v>
      </c>
    </row>
    <row r="128">
      <c r="A128" s="5" t="inlineStr">
        <is>
          <t>2024-07-09</t>
        </is>
      </c>
      <c r="B128" s="7" t="n">
        <v>661.92</v>
      </c>
      <c r="C128" s="7" t="n">
        <v>233</v>
      </c>
      <c r="D128" s="6" t="n">
        <v>45776</v>
      </c>
      <c r="F128" s="5" t="inlineStr">
        <is>
          <t>2024-07-09</t>
        </is>
      </c>
      <c r="G128" s="23" t="n">
        <v>33.1161</v>
      </c>
      <c r="H128" s="24" t="n">
        <v>0.024849</v>
      </c>
    </row>
    <row r="129">
      <c r="A129" s="5" t="inlineStr">
        <is>
          <t>2024-07-10</t>
        </is>
      </c>
      <c r="B129" s="7" t="n">
        <v>685.76</v>
      </c>
      <c r="C129" s="7" t="n">
        <v>225.21</v>
      </c>
      <c r="D129" s="6" t="n">
        <v>45389</v>
      </c>
      <c r="F129" s="5" t="inlineStr">
        <is>
          <t>2024-07-10</t>
        </is>
      </c>
      <c r="G129" s="23" t="n">
        <v>33.2038</v>
      </c>
      <c r="H129" s="24" t="n">
        <v>0.024765</v>
      </c>
    </row>
    <row r="130">
      <c r="A130" s="5" t="inlineStr">
        <is>
          <t>2024-07-11</t>
        </is>
      </c>
      <c r="B130" s="7" t="n">
        <v>676.98</v>
      </c>
      <c r="C130" s="7" t="n">
        <v>222.93</v>
      </c>
      <c r="D130" s="6" t="n">
        <v>44859</v>
      </c>
      <c r="F130" s="5" t="inlineStr">
        <is>
          <t>2024-07-11</t>
        </is>
      </c>
      <c r="G130" s="23" t="n">
        <v>33.008</v>
      </c>
      <c r="H130" s="24" t="n">
        <v>0.024806</v>
      </c>
    </row>
    <row r="131">
      <c r="A131" s="5" t="inlineStr">
        <is>
          <t>2024-07-12</t>
        </is>
      </c>
      <c r="B131" s="7" t="n">
        <v>686.25</v>
      </c>
      <c r="C131" s="7" t="n">
        <v>227.56</v>
      </c>
      <c r="D131" s="6" t="n">
        <v>48234</v>
      </c>
      <c r="F131" s="5" t="inlineStr">
        <is>
          <t>2024-07-12</t>
        </is>
      </c>
      <c r="G131" s="23" t="n">
        <v>32.8854</v>
      </c>
      <c r="H131" s="24" t="n">
        <v>0.024819</v>
      </c>
    </row>
    <row r="132">
      <c r="A132" s="5" t="inlineStr">
        <is>
          <t>2024-07-15</t>
        </is>
      </c>
      <c r="B132" s="7" t="n">
        <v>711.95</v>
      </c>
      <c r="C132" s="7" t="n">
        <v>229.71</v>
      </c>
      <c r="D132" s="6" t="n">
        <v>48903</v>
      </c>
      <c r="F132" s="5" t="inlineStr">
        <is>
          <t>2024-07-15</t>
        </is>
      </c>
      <c r="G132" s="23" t="n">
        <v>32.9885</v>
      </c>
      <c r="H132" s="24" t="n">
        <v>0.024728</v>
      </c>
    </row>
    <row r="133">
      <c r="A133" s="5" t="inlineStr">
        <is>
          <t>2024-07-16</t>
        </is>
      </c>
      <c r="B133" s="7" t="n">
        <v>727.8099999999999</v>
      </c>
      <c r="C133" s="7" t="n">
        <v>242.11</v>
      </c>
      <c r="D133" s="6" t="n">
        <v>49465</v>
      </c>
      <c r="F133" s="5" t="inlineStr">
        <is>
          <t>2024-07-16</t>
        </is>
      </c>
      <c r="G133" s="23" t="n">
        <v>32.9254</v>
      </c>
      <c r="H133" s="24" t="n">
        <v>0.024585</v>
      </c>
    </row>
    <row r="134">
      <c r="A134" s="5" t="inlineStr">
        <is>
          <t>2024-07-17</t>
        </is>
      </c>
      <c r="B134" s="7" t="n">
        <v>734.4299999999999</v>
      </c>
      <c r="C134" s="7" t="n">
        <v>242.11</v>
      </c>
      <c r="D134" s="6" t="n">
        <v>50839</v>
      </c>
      <c r="F134" s="5" t="inlineStr">
        <is>
          <t>2024-07-17</t>
        </is>
      </c>
      <c r="G134" s="23" t="n">
        <v>32.9112</v>
      </c>
      <c r="H134" s="24" t="n">
        <v>0.024502</v>
      </c>
    </row>
    <row r="135">
      <c r="A135" s="5" t="inlineStr">
        <is>
          <t>2024-07-18</t>
        </is>
      </c>
      <c r="B135" s="7" t="n">
        <v>715.36</v>
      </c>
      <c r="C135" s="7" t="n">
        <v>241.16</v>
      </c>
      <c r="D135" s="6" t="n">
        <v>49197</v>
      </c>
      <c r="F135" s="5" t="inlineStr">
        <is>
          <t>2024-07-18</t>
        </is>
      </c>
      <c r="G135" s="23" t="n">
        <v>32.7221</v>
      </c>
      <c r="H135" s="24" t="n">
        <v>0.024468</v>
      </c>
    </row>
    <row r="136">
      <c r="A136" s="5" t="inlineStr">
        <is>
          <t>2024-07-19</t>
        </is>
      </c>
      <c r="B136" s="7" t="n">
        <v>720.0599999999999</v>
      </c>
      <c r="C136" s="7" t="n">
        <v>245.12</v>
      </c>
      <c r="D136" s="6" t="n">
        <v>49030</v>
      </c>
      <c r="F136" s="5" t="inlineStr">
        <is>
          <t>2024-07-19</t>
        </is>
      </c>
      <c r="G136" s="23" t="n">
        <v>32.8103</v>
      </c>
      <c r="H136" s="24" t="n">
        <v>0.024335</v>
      </c>
    </row>
    <row r="137">
      <c r="A137" s="5" t="inlineStr">
        <is>
          <t>2024-07-22</t>
        </is>
      </c>
      <c r="B137" s="7" t="n">
        <v>717.46</v>
      </c>
      <c r="C137" s="7" t="n">
        <v>249.9</v>
      </c>
      <c r="D137" s="6" t="n">
        <v>49122</v>
      </c>
      <c r="F137" s="5" t="inlineStr">
        <is>
          <t>2024-07-22</t>
        </is>
      </c>
      <c r="G137" s="23" t="n">
        <v>32.8235</v>
      </c>
      <c r="H137" s="24" t="n">
        <v>0.024258</v>
      </c>
    </row>
    <row r="138">
      <c r="A138" s="5" t="inlineStr">
        <is>
          <t>2024-07-23</t>
        </is>
      </c>
      <c r="B138" s="7" t="n">
        <v>726.4</v>
      </c>
      <c r="C138" s="7" t="n">
        <v>249.88</v>
      </c>
      <c r="D138" s="6" t="n">
        <v>48280</v>
      </c>
      <c r="F138" s="5" t="inlineStr">
        <is>
          <t>2024-07-23</t>
        </is>
      </c>
      <c r="G138" s="23" t="n">
        <v>32.6314</v>
      </c>
      <c r="H138" s="24" t="n">
        <v>0.024384</v>
      </c>
    </row>
    <row r="139">
      <c r="A139" s="5" t="inlineStr">
        <is>
          <t>2024-07-24</t>
        </is>
      </c>
      <c r="B139" s="7" t="n">
        <v>721.11</v>
      </c>
      <c r="C139" s="7" t="n">
        <v>258.76</v>
      </c>
      <c r="D139" s="6" t="n">
        <v>48324</v>
      </c>
      <c r="F139" s="5" t="inlineStr">
        <is>
          <t>2024-07-24</t>
        </is>
      </c>
      <c r="G139" s="23" t="n">
        <v>32.6666</v>
      </c>
      <c r="H139" s="24" t="n">
        <v>0.024387</v>
      </c>
    </row>
    <row r="140">
      <c r="A140" s="5" t="inlineStr">
        <is>
          <t>2024-07-25</t>
        </is>
      </c>
      <c r="B140" s="7" t="n">
        <v>722.73</v>
      </c>
      <c r="C140" s="7" t="n">
        <v>264.53</v>
      </c>
      <c r="D140" s="6" t="n">
        <v>48992</v>
      </c>
      <c r="F140" s="5" t="inlineStr">
        <is>
          <t>2024-07-25</t>
        </is>
      </c>
      <c r="G140" s="23" t="n">
        <v>32.5818</v>
      </c>
      <c r="H140" s="24" t="n">
        <v>0.024197</v>
      </c>
    </row>
    <row r="141">
      <c r="A141" s="5" t="inlineStr">
        <is>
          <t>2024-07-26</t>
        </is>
      </c>
      <c r="B141" s="7" t="n">
        <v>731.45</v>
      </c>
      <c r="C141" s="7" t="n">
        <v>276.33</v>
      </c>
      <c r="D141" s="6" t="n">
        <v>50572</v>
      </c>
      <c r="F141" s="5" t="inlineStr">
        <is>
          <t>2024-07-26</t>
        </is>
      </c>
      <c r="G141" s="23" t="n">
        <v>32.6597</v>
      </c>
      <c r="H141" s="24" t="n">
        <v>0.024118</v>
      </c>
    </row>
    <row r="142">
      <c r="A142" s="5" t="inlineStr">
        <is>
          <t>2024-07-29</t>
        </is>
      </c>
      <c r="B142" s="7" t="n">
        <v>720.58</v>
      </c>
      <c r="C142" s="7" t="n">
        <v>278.71</v>
      </c>
      <c r="D142" s="6" t="n">
        <v>49945</v>
      </c>
      <c r="F142" s="5" t="inlineStr">
        <is>
          <t>2024-07-29</t>
        </is>
      </c>
      <c r="G142" s="23" t="n">
        <v>32.8292</v>
      </c>
      <c r="H142" s="24" t="n">
        <v>0.024038</v>
      </c>
    </row>
    <row r="143">
      <c r="A143" s="5" t="inlineStr">
        <is>
          <t>2024-07-30</t>
        </is>
      </c>
      <c r="B143" s="7" t="n">
        <v>716.4400000000001</v>
      </c>
      <c r="C143" s="7" t="n">
        <v>283.7</v>
      </c>
      <c r="D143" s="6" t="n">
        <v>50199</v>
      </c>
      <c r="F143" s="5" t="inlineStr">
        <is>
          <t>2024-07-30</t>
        </is>
      </c>
      <c r="G143" s="23" t="n">
        <v>32.784</v>
      </c>
      <c r="H143" s="24" t="n">
        <v>0.024014</v>
      </c>
    </row>
    <row r="144">
      <c r="A144" s="5" t="inlineStr">
        <is>
          <t>2024-07-31</t>
        </is>
      </c>
      <c r="B144" s="7" t="n">
        <v>713.09</v>
      </c>
      <c r="C144" s="7" t="n">
        <v>280.82</v>
      </c>
      <c r="D144" s="6" t="n">
        <v>50241</v>
      </c>
      <c r="F144" s="5" t="inlineStr">
        <is>
          <t>2024-07-31</t>
        </is>
      </c>
      <c r="G144" s="23" t="n">
        <v>32.749</v>
      </c>
      <c r="H144" s="24" t="n">
        <v>0.024045</v>
      </c>
    </row>
    <row r="145">
      <c r="A145" s="5" t="inlineStr">
        <is>
          <t>2024-08-01</t>
        </is>
      </c>
      <c r="B145" s="7" t="n">
        <v>710.04</v>
      </c>
      <c r="C145" s="7" t="n">
        <v>285.45</v>
      </c>
      <c r="D145" s="6" t="n">
        <v>50636</v>
      </c>
      <c r="F145" s="5" t="inlineStr">
        <is>
          <t>2024-08-01</t>
        </is>
      </c>
      <c r="G145" s="23" t="n">
        <v>32.7318</v>
      </c>
      <c r="H145" s="24" t="n">
        <v>0.024049</v>
      </c>
    </row>
    <row r="146">
      <c r="A146" s="5" t="inlineStr">
        <is>
          <t>2024-08-02</t>
        </is>
      </c>
      <c r="B146" s="7" t="n">
        <v>708.64</v>
      </c>
      <c r="C146" s="7" t="n">
        <v>301.08</v>
      </c>
      <c r="D146" s="6" t="n">
        <v>51588</v>
      </c>
      <c r="F146" s="5" t="inlineStr">
        <is>
          <t>2024-08-02</t>
        </is>
      </c>
      <c r="G146" s="23" t="n">
        <v>32.6648</v>
      </c>
      <c r="H146" s="24" t="n">
        <v>0.024186</v>
      </c>
    </row>
    <row r="147">
      <c r="A147" s="5" t="inlineStr">
        <is>
          <t>2024-08-05</t>
        </is>
      </c>
      <c r="B147" s="7" t="n">
        <v>699.23</v>
      </c>
      <c r="C147" s="7" t="n">
        <v>293.88</v>
      </c>
      <c r="D147" s="6" t="n">
        <v>50023</v>
      </c>
      <c r="F147" s="5" t="inlineStr">
        <is>
          <t>2024-08-05</t>
        </is>
      </c>
      <c r="G147" s="23" t="n">
        <v>32.6639</v>
      </c>
      <c r="H147" s="24" t="n">
        <v>0.024145</v>
      </c>
    </row>
    <row r="148">
      <c r="A148" s="5" t="inlineStr">
        <is>
          <t>2024-08-06</t>
        </is>
      </c>
      <c r="B148" s="7" t="n">
        <v>681.01</v>
      </c>
      <c r="C148" s="7" t="n">
        <v>291.53</v>
      </c>
      <c r="D148" s="6" t="n">
        <v>49720</v>
      </c>
      <c r="F148" s="5" t="inlineStr">
        <is>
          <t>2024-08-06</t>
        </is>
      </c>
      <c r="G148" s="23" t="n">
        <v>32.6645</v>
      </c>
      <c r="H148" s="24" t="n">
        <v>0.024044</v>
      </c>
    </row>
    <row r="149">
      <c r="A149" s="5" t="inlineStr">
        <is>
          <t>2024-08-07</t>
        </is>
      </c>
      <c r="B149" s="7" t="n">
        <v>689.87</v>
      </c>
      <c r="C149" s="7" t="n">
        <v>287.68</v>
      </c>
      <c r="D149" s="6" t="n">
        <v>49209</v>
      </c>
      <c r="F149" s="5" t="inlineStr">
        <is>
          <t>2024-08-07</t>
        </is>
      </c>
      <c r="G149" s="23" t="n">
        <v>32.615</v>
      </c>
      <c r="H149" s="24" t="n">
        <v>0.024059</v>
      </c>
    </row>
    <row r="150">
      <c r="A150" s="5" t="inlineStr">
        <is>
          <t>2024-08-08</t>
        </is>
      </c>
      <c r="B150" s="7" t="n">
        <v>682.53</v>
      </c>
      <c r="C150" s="7" t="n">
        <v>295.26</v>
      </c>
      <c r="D150" s="6" t="n">
        <v>49568</v>
      </c>
      <c r="F150" s="5" t="inlineStr">
        <is>
          <t>2024-08-08</t>
        </is>
      </c>
      <c r="G150" s="23" t="n">
        <v>32.6331</v>
      </c>
      <c r="H150" s="24" t="n">
        <v>0.024223</v>
      </c>
    </row>
    <row r="151">
      <c r="A151" s="5" t="inlineStr">
        <is>
          <t>2024-08-09</t>
        </is>
      </c>
      <c r="B151" s="7" t="n">
        <v>689.1799999999999</v>
      </c>
      <c r="C151" s="7" t="n">
        <v>301.93</v>
      </c>
      <c r="D151" s="6" t="n">
        <v>50149</v>
      </c>
      <c r="F151" s="5" t="inlineStr">
        <is>
          <t>2024-08-09</t>
        </is>
      </c>
      <c r="G151" s="23" t="n">
        <v>32.6208</v>
      </c>
      <c r="H151" s="24" t="n">
        <v>0.02425</v>
      </c>
    </row>
    <row r="152">
      <c r="A152" s="5" t="inlineStr">
        <is>
          <t>2024-08-12</t>
        </is>
      </c>
      <c r="B152" s="7" t="n">
        <v>688.97</v>
      </c>
      <c r="C152" s="7" t="n">
        <v>299.84</v>
      </c>
      <c r="D152" s="6" t="n">
        <v>49781</v>
      </c>
      <c r="F152" s="5" t="inlineStr">
        <is>
          <t>2024-08-12</t>
        </is>
      </c>
      <c r="G152" s="23" t="n">
        <v>32.5191</v>
      </c>
      <c r="H152" s="24" t="n">
        <v>0.024364</v>
      </c>
    </row>
    <row r="153">
      <c r="A153" s="5" t="inlineStr">
        <is>
          <t>2024-08-13</t>
        </is>
      </c>
      <c r="B153" s="7" t="n">
        <v>689.05</v>
      </c>
      <c r="C153" s="7" t="n">
        <v>298.79</v>
      </c>
      <c r="D153" s="6" t="n">
        <v>49520</v>
      </c>
      <c r="F153" s="5" t="inlineStr">
        <is>
          <t>2024-08-13</t>
        </is>
      </c>
      <c r="G153" s="23" t="n">
        <v>32.4875</v>
      </c>
      <c r="H153" s="24" t="n">
        <v>0.024552</v>
      </c>
    </row>
    <row r="154">
      <c r="A154" s="5" t="inlineStr">
        <is>
          <t>2024-08-14</t>
        </is>
      </c>
      <c r="B154" s="7" t="n">
        <v>716.48</v>
      </c>
      <c r="C154" s="7" t="n">
        <v>295.29</v>
      </c>
      <c r="D154" s="6" t="n">
        <v>47598</v>
      </c>
      <c r="F154" s="5" t="inlineStr">
        <is>
          <t>2024-08-14</t>
        </is>
      </c>
      <c r="G154" s="23" t="n">
        <v>32.3105</v>
      </c>
      <c r="H154" s="24" t="n">
        <v>0.024685</v>
      </c>
    </row>
    <row r="155">
      <c r="A155" s="5" t="inlineStr">
        <is>
          <t>2024-08-15</t>
        </is>
      </c>
      <c r="B155" s="7" t="n">
        <v>722.5700000000001</v>
      </c>
      <c r="C155" s="7" t="n">
        <v>303.22</v>
      </c>
      <c r="D155" s="6" t="n">
        <v>47683</v>
      </c>
      <c r="F155" s="5" t="inlineStr">
        <is>
          <t>2024-08-15</t>
        </is>
      </c>
      <c r="G155" s="23" t="n">
        <v>32.2839</v>
      </c>
      <c r="H155" s="24" t="n">
        <v>0.024657</v>
      </c>
    </row>
    <row r="156">
      <c r="A156" s="5" t="inlineStr">
        <is>
          <t>2024-08-16</t>
        </is>
      </c>
      <c r="B156" s="7" t="n">
        <v>735.42</v>
      </c>
      <c r="C156" s="7" t="n">
        <v>313.64</v>
      </c>
      <c r="D156" s="6" t="n">
        <v>47955</v>
      </c>
      <c r="F156" s="5" t="inlineStr">
        <is>
          <t>2024-08-16</t>
        </is>
      </c>
      <c r="G156" s="23" t="n">
        <v>32.1683</v>
      </c>
      <c r="H156" s="24" t="n">
        <v>0.024712</v>
      </c>
    </row>
    <row r="157">
      <c r="A157" s="5" t="inlineStr">
        <is>
          <t>2024-08-19</t>
        </is>
      </c>
      <c r="B157" s="7" t="n">
        <v>739.26</v>
      </c>
      <c r="C157" s="7" t="n">
        <v>309.88</v>
      </c>
      <c r="D157" s="6" t="n">
        <v>47251</v>
      </c>
      <c r="F157" s="5" t="inlineStr">
        <is>
          <t>2024-08-19</t>
        </is>
      </c>
      <c r="G157" s="23" t="n">
        <v>32.2788</v>
      </c>
      <c r="H157" s="24" t="n">
        <v>0.024577</v>
      </c>
    </row>
    <row r="158">
      <c r="A158" s="5" t="inlineStr">
        <is>
          <t>2024-08-20</t>
        </is>
      </c>
      <c r="B158" s="7" t="n">
        <v>734.05</v>
      </c>
      <c r="C158" s="7" t="n">
        <v>313.41</v>
      </c>
      <c r="D158" s="6" t="n">
        <v>48858</v>
      </c>
      <c r="F158" s="5" t="inlineStr">
        <is>
          <t>2024-08-20</t>
        </is>
      </c>
      <c r="G158" s="23" t="n">
        <v>32.2958</v>
      </c>
      <c r="H158" s="24" t="n">
        <v>0.024501</v>
      </c>
    </row>
    <row r="159">
      <c r="A159" s="5" t="inlineStr">
        <is>
          <t>2024-08-21</t>
        </is>
      </c>
      <c r="B159" s="7" t="n">
        <v>744.99</v>
      </c>
      <c r="C159" s="7" t="n">
        <v>310.24</v>
      </c>
      <c r="D159" s="6" t="n">
        <v>48092</v>
      </c>
      <c r="F159" s="5" t="inlineStr">
        <is>
          <t>2024-08-21</t>
        </is>
      </c>
      <c r="G159" s="23" t="n">
        <v>32.3182</v>
      </c>
      <c r="H159" s="24" t="n">
        <v>0.024523</v>
      </c>
    </row>
    <row r="160">
      <c r="A160" s="5" t="inlineStr">
        <is>
          <t>2024-08-22</t>
        </is>
      </c>
      <c r="B160" s="7" t="n">
        <v>740.33</v>
      </c>
      <c r="C160" s="7" t="n">
        <v>310</v>
      </c>
      <c r="D160" s="6" t="n">
        <v>48670</v>
      </c>
      <c r="F160" s="5" t="inlineStr">
        <is>
          <t>2024-08-22</t>
        </is>
      </c>
      <c r="G160" s="23" t="n">
        <v>32.1923</v>
      </c>
      <c r="H160" s="24" t="n">
        <v>0.024336</v>
      </c>
    </row>
    <row r="161">
      <c r="A161" s="5" t="inlineStr">
        <is>
          <t>2024-08-23</t>
        </is>
      </c>
      <c r="B161" s="7" t="n">
        <v>719.34</v>
      </c>
      <c r="C161" s="7" t="n">
        <v>302.35</v>
      </c>
      <c r="D161" s="6" t="n">
        <v>50088</v>
      </c>
      <c r="F161" s="5" t="inlineStr">
        <is>
          <t>2024-08-23</t>
        </is>
      </c>
      <c r="G161" s="23" t="n">
        <v>32.1684</v>
      </c>
      <c r="H161" s="24" t="n">
        <v>0.024406</v>
      </c>
    </row>
    <row r="162">
      <c r="A162" s="5" t="inlineStr">
        <is>
          <t>2024-08-26</t>
        </is>
      </c>
      <c r="B162" s="7" t="n">
        <v>727.05</v>
      </c>
      <c r="C162" s="7" t="n">
        <v>305.7</v>
      </c>
      <c r="D162" s="6" t="n">
        <v>48868</v>
      </c>
      <c r="F162" s="5" t="inlineStr">
        <is>
          <t>2024-08-26</t>
        </is>
      </c>
      <c r="G162" s="23" t="n">
        <v>32.0466</v>
      </c>
      <c r="H162" s="24" t="n">
        <v>0.024395</v>
      </c>
    </row>
    <row r="163">
      <c r="A163" s="5" t="inlineStr">
        <is>
          <t>2024-08-27</t>
        </is>
      </c>
      <c r="B163" s="7" t="n">
        <v>743.2</v>
      </c>
      <c r="C163" s="7" t="n">
        <v>310.73</v>
      </c>
      <c r="D163" s="6" t="n">
        <v>47760</v>
      </c>
      <c r="F163" s="5" t="inlineStr">
        <is>
          <t>2024-08-27</t>
        </is>
      </c>
      <c r="G163" s="23" t="n">
        <v>32.0996</v>
      </c>
      <c r="H163" s="24" t="n">
        <v>0.024325</v>
      </c>
    </row>
    <row r="164">
      <c r="A164" s="5" t="inlineStr">
        <is>
          <t>2024-08-28</t>
        </is>
      </c>
      <c r="B164" s="7" t="n">
        <v>726.1900000000001</v>
      </c>
      <c r="C164" s="7" t="n">
        <v>312.52</v>
      </c>
      <c r="D164" s="6" t="n">
        <v>46379</v>
      </c>
      <c r="F164" s="5" t="inlineStr">
        <is>
          <t>2024-08-28</t>
        </is>
      </c>
      <c r="G164" s="23" t="n">
        <v>31.9779</v>
      </c>
      <c r="H164" s="24" t="n">
        <v>0.024281</v>
      </c>
    </row>
    <row r="165">
      <c r="A165" s="5" t="inlineStr">
        <is>
          <t>2024-08-29</t>
        </is>
      </c>
      <c r="B165" s="7" t="n">
        <v>736.14</v>
      </c>
      <c r="C165" s="7" t="n">
        <v>311.15</v>
      </c>
      <c r="D165" s="6" t="n">
        <v>47154</v>
      </c>
      <c r="F165" s="5" t="inlineStr">
        <is>
          <t>2024-08-29</t>
        </is>
      </c>
      <c r="G165" s="23" t="n">
        <v>32.0461</v>
      </c>
      <c r="H165" s="24" t="n">
        <v>0.024272</v>
      </c>
    </row>
    <row r="166">
      <c r="A166" s="5" t="inlineStr">
        <is>
          <t>2024-08-30</t>
        </is>
      </c>
      <c r="B166" s="7" t="n">
        <v>750.9400000000001</v>
      </c>
      <c r="C166" s="7" t="n">
        <v>323.35</v>
      </c>
      <c r="D166" s="6" t="n">
        <v>45997</v>
      </c>
      <c r="F166" s="5" t="inlineStr">
        <is>
          <t>2024-08-30</t>
        </is>
      </c>
      <c r="G166" s="23" t="n">
        <v>32.163</v>
      </c>
      <c r="H166" s="24" t="n">
        <v>0.024144</v>
      </c>
    </row>
    <row r="167">
      <c r="A167" s="5" t="inlineStr">
        <is>
          <t>2024-09-02</t>
        </is>
      </c>
      <c r="B167" s="7" t="n">
        <v>730.37</v>
      </c>
      <c r="C167" s="7" t="n">
        <v>320.72</v>
      </c>
      <c r="D167" s="6" t="n">
        <v>47437</v>
      </c>
      <c r="F167" s="5" t="inlineStr">
        <is>
          <t>2024-09-02</t>
        </is>
      </c>
      <c r="G167" s="23" t="n">
        <v>32.3865</v>
      </c>
      <c r="H167" s="24" t="n">
        <v>0.024168</v>
      </c>
    </row>
    <row r="168">
      <c r="A168" s="5" t="inlineStr">
        <is>
          <t>2024-09-03</t>
        </is>
      </c>
      <c r="B168" s="7" t="n">
        <v>739.04</v>
      </c>
      <c r="C168" s="7" t="n">
        <v>314.67</v>
      </c>
      <c r="D168" s="6" t="n">
        <v>48311</v>
      </c>
      <c r="F168" s="5" t="inlineStr">
        <is>
          <t>2024-09-03</t>
        </is>
      </c>
      <c r="G168" s="23" t="n">
        <v>32.3105</v>
      </c>
      <c r="H168" s="24" t="n">
        <v>0.024296</v>
      </c>
    </row>
    <row r="169">
      <c r="A169" s="5" t="inlineStr">
        <is>
          <t>2024-09-04</t>
        </is>
      </c>
      <c r="B169" s="7" t="n">
        <v>739.01</v>
      </c>
      <c r="C169" s="7" t="n">
        <v>322.06</v>
      </c>
      <c r="D169" s="6" t="n">
        <v>47418</v>
      </c>
      <c r="F169" s="5" t="inlineStr">
        <is>
          <t>2024-09-04</t>
        </is>
      </c>
      <c r="G169" s="23" t="n">
        <v>32.2594</v>
      </c>
      <c r="H169" s="24" t="n">
        <v>0.024222</v>
      </c>
    </row>
    <row r="170">
      <c r="A170" s="5" t="inlineStr">
        <is>
          <t>2024-09-05</t>
        </is>
      </c>
      <c r="B170" s="7" t="n">
        <v>753.98</v>
      </c>
      <c r="C170" s="7" t="n">
        <v>331.98</v>
      </c>
      <c r="D170" s="6" t="n">
        <v>46934</v>
      </c>
      <c r="F170" s="5" t="inlineStr">
        <is>
          <t>2024-09-05</t>
        </is>
      </c>
      <c r="G170" s="23" t="n">
        <v>32.2059</v>
      </c>
      <c r="H170" s="24" t="n">
        <v>0.023968</v>
      </c>
    </row>
    <row r="171">
      <c r="A171" s="5" t="inlineStr">
        <is>
          <t>2024-09-06</t>
        </is>
      </c>
      <c r="B171" s="7" t="n">
        <v>757.29</v>
      </c>
      <c r="C171" s="7" t="n">
        <v>335.31</v>
      </c>
      <c r="D171" s="6" t="n">
        <v>47326</v>
      </c>
      <c r="F171" s="5" t="inlineStr">
        <is>
          <t>2024-09-06</t>
        </is>
      </c>
      <c r="G171" s="23" t="n">
        <v>32.2686</v>
      </c>
      <c r="H171" s="24" t="n">
        <v>0.023943</v>
      </c>
    </row>
    <row r="172">
      <c r="A172" s="5" t="inlineStr">
        <is>
          <t>2024-09-09</t>
        </is>
      </c>
      <c r="B172" s="7" t="n">
        <v>745.42</v>
      </c>
      <c r="C172" s="7" t="n">
        <v>340.15</v>
      </c>
      <c r="D172" s="6" t="n">
        <v>46493</v>
      </c>
      <c r="F172" s="5" t="inlineStr">
        <is>
          <t>2024-09-09</t>
        </is>
      </c>
      <c r="G172" s="23" t="n">
        <v>32.217</v>
      </c>
      <c r="H172" s="24" t="n">
        <v>0.023833</v>
      </c>
    </row>
    <row r="173">
      <c r="A173" s="5" t="inlineStr">
        <is>
          <t>2024-09-10</t>
        </is>
      </c>
      <c r="B173" s="7" t="n">
        <v>747.95</v>
      </c>
      <c r="C173" s="7" t="n">
        <v>343.78</v>
      </c>
      <c r="D173" s="6" t="n">
        <v>47043</v>
      </c>
      <c r="F173" s="5" t="inlineStr">
        <is>
          <t>2024-09-10</t>
        </is>
      </c>
      <c r="G173" s="23" t="n">
        <v>32.3533</v>
      </c>
      <c r="H173" s="24" t="n">
        <v>0.023819</v>
      </c>
    </row>
    <row r="174">
      <c r="A174" s="5" t="inlineStr">
        <is>
          <t>2024-09-11</t>
        </is>
      </c>
      <c r="B174" s="7" t="n">
        <v>758.21</v>
      </c>
      <c r="C174" s="7" t="n">
        <v>334.81</v>
      </c>
      <c r="D174" s="6" t="n">
        <v>44714</v>
      </c>
      <c r="F174" s="5" t="inlineStr">
        <is>
          <t>2024-09-11</t>
        </is>
      </c>
      <c r="G174" s="23" t="n">
        <v>32.3054</v>
      </c>
      <c r="H174" s="24" t="n">
        <v>0.023887</v>
      </c>
    </row>
    <row r="175">
      <c r="A175" s="5" t="inlineStr">
        <is>
          <t>2024-09-12</t>
        </is>
      </c>
      <c r="B175" s="7" t="n">
        <v>762.79</v>
      </c>
      <c r="C175" s="7" t="n">
        <v>337.68</v>
      </c>
      <c r="D175" s="6" t="n">
        <v>46242</v>
      </c>
      <c r="F175" s="5" t="inlineStr">
        <is>
          <t>2024-09-12</t>
        </is>
      </c>
      <c r="G175" s="23" t="n">
        <v>32.2432</v>
      </c>
      <c r="H175" s="24" t="n">
        <v>0.023827</v>
      </c>
    </row>
    <row r="176">
      <c r="A176" s="5" t="inlineStr">
        <is>
          <t>2024-09-13</t>
        </is>
      </c>
      <c r="B176" s="7" t="n">
        <v>760.38</v>
      </c>
      <c r="C176" s="7" t="n">
        <v>336.77</v>
      </c>
      <c r="D176" s="6" t="n">
        <v>44786</v>
      </c>
      <c r="F176" s="5" t="inlineStr">
        <is>
          <t>2024-09-13</t>
        </is>
      </c>
      <c r="G176" s="23" t="n">
        <v>32.3205</v>
      </c>
      <c r="H176" s="24" t="n">
        <v>0.023887</v>
      </c>
    </row>
    <row r="177">
      <c r="A177" s="5" t="inlineStr">
        <is>
          <t>2024-09-16</t>
        </is>
      </c>
      <c r="B177" s="7" t="n">
        <v>767.46</v>
      </c>
      <c r="C177" s="7" t="n">
        <v>346.36</v>
      </c>
      <c r="D177" s="6" t="n">
        <v>44782</v>
      </c>
      <c r="F177" s="5" t="inlineStr">
        <is>
          <t>2024-09-16</t>
        </is>
      </c>
      <c r="G177" s="23" t="n">
        <v>32.3711</v>
      </c>
      <c r="H177" s="24" t="n">
        <v>0.023938</v>
      </c>
    </row>
    <row r="178">
      <c r="A178" s="5" t="inlineStr">
        <is>
          <t>2024-09-17</t>
        </is>
      </c>
      <c r="B178" s="7" t="n">
        <v>775.66</v>
      </c>
      <c r="C178" s="7" t="n">
        <v>354.87</v>
      </c>
      <c r="D178" s="6" t="n">
        <v>46285</v>
      </c>
      <c r="F178" s="5" t="inlineStr">
        <is>
          <t>2024-09-17</t>
        </is>
      </c>
      <c r="G178" s="23" t="n">
        <v>32.3637</v>
      </c>
      <c r="H178" s="24" t="n">
        <v>0.023841</v>
      </c>
    </row>
    <row r="179">
      <c r="A179" s="5" t="inlineStr">
        <is>
          <t>2024-09-18</t>
        </is>
      </c>
      <c r="B179" s="7" t="n">
        <v>791.41</v>
      </c>
      <c r="C179" s="7" t="n">
        <v>363.5</v>
      </c>
      <c r="D179" s="6" t="n">
        <v>43485</v>
      </c>
      <c r="F179" s="5" t="inlineStr">
        <is>
          <t>2024-09-18</t>
        </is>
      </c>
      <c r="G179" s="23" t="n">
        <v>32.349</v>
      </c>
      <c r="H179" s="24" t="n">
        <v>0.024003</v>
      </c>
    </row>
    <row r="180">
      <c r="A180" s="5" t="inlineStr">
        <is>
          <t>2024-09-19</t>
        </is>
      </c>
      <c r="B180" s="7" t="n">
        <v>763.39</v>
      </c>
      <c r="C180" s="7" t="n">
        <v>362.63</v>
      </c>
      <c r="D180" s="6" t="n">
        <v>41728</v>
      </c>
      <c r="F180" s="5" t="inlineStr">
        <is>
          <t>2024-09-19</t>
        </is>
      </c>
      <c r="G180" s="23" t="n">
        <v>32.3142</v>
      </c>
      <c r="H180" s="24" t="n">
        <v>0.024095</v>
      </c>
    </row>
    <row r="181">
      <c r="A181" s="5" t="inlineStr">
        <is>
          <t>2024-09-20</t>
        </is>
      </c>
      <c r="B181" s="7" t="n">
        <v>779.49</v>
      </c>
      <c r="C181" s="7" t="n">
        <v>361.44</v>
      </c>
      <c r="D181" s="6" t="n">
        <v>40504</v>
      </c>
      <c r="F181" s="5" t="inlineStr">
        <is>
          <t>2024-09-20</t>
        </is>
      </c>
      <c r="G181" s="23" t="n">
        <v>32.2418</v>
      </c>
      <c r="H181" s="24" t="n">
        <v>0.024119</v>
      </c>
    </row>
    <row r="182">
      <c r="A182" s="5" t="inlineStr">
        <is>
          <t>2024-09-23</t>
        </is>
      </c>
      <c r="B182" s="7" t="n">
        <v>794.36</v>
      </c>
      <c r="C182" s="7" t="n">
        <v>359.62</v>
      </c>
      <c r="D182" s="6" t="n">
        <v>39781</v>
      </c>
      <c r="F182" s="5" t="inlineStr">
        <is>
          <t>2024-09-23</t>
        </is>
      </c>
      <c r="G182" s="23" t="n">
        <v>32.1682</v>
      </c>
      <c r="H182" s="24" t="n">
        <v>0.024135</v>
      </c>
    </row>
    <row r="183">
      <c r="A183" s="5" t="inlineStr">
        <is>
          <t>2024-09-24</t>
        </is>
      </c>
      <c r="B183" s="7" t="n">
        <v>807.39</v>
      </c>
      <c r="C183" s="7" t="n">
        <v>360.16</v>
      </c>
      <c r="D183" s="6" t="n">
        <v>38923</v>
      </c>
      <c r="F183" s="5" t="inlineStr">
        <is>
          <t>2024-09-24</t>
        </is>
      </c>
      <c r="G183" s="23" t="n">
        <v>32.1136</v>
      </c>
      <c r="H183" s="24" t="n">
        <v>0.023964</v>
      </c>
    </row>
    <row r="184">
      <c r="A184" s="5" t="inlineStr">
        <is>
          <t>2024-09-25</t>
        </is>
      </c>
      <c r="B184" s="7" t="n">
        <v>790.98</v>
      </c>
      <c r="C184" s="7" t="n">
        <v>348.5</v>
      </c>
      <c r="D184" s="6" t="n">
        <v>39904</v>
      </c>
      <c r="F184" s="5" t="inlineStr">
        <is>
          <t>2024-09-25</t>
        </is>
      </c>
      <c r="G184" s="23" t="n">
        <v>32.0775</v>
      </c>
      <c r="H184" s="24" t="n">
        <v>0.024049</v>
      </c>
    </row>
    <row r="185">
      <c r="A185" s="5" t="inlineStr">
        <is>
          <t>2024-09-26</t>
        </is>
      </c>
      <c r="B185" s="7" t="n">
        <v>813.03</v>
      </c>
      <c r="C185" s="7" t="n">
        <v>351.61</v>
      </c>
      <c r="D185" s="6" t="n">
        <v>39600</v>
      </c>
      <c r="F185" s="5" t="inlineStr">
        <is>
          <t>2024-09-26</t>
        </is>
      </c>
      <c r="G185" s="23" t="n">
        <v>32.0102</v>
      </c>
      <c r="H185" s="24" t="n">
        <v>0.023993</v>
      </c>
    </row>
    <row r="186">
      <c r="A186" s="5" t="inlineStr">
        <is>
          <t>2024-09-27</t>
        </is>
      </c>
      <c r="B186" s="7" t="n">
        <v>821.76</v>
      </c>
      <c r="C186" s="7" t="n">
        <v>351.65</v>
      </c>
      <c r="D186" s="6" t="n">
        <v>40360</v>
      </c>
      <c r="F186" s="5" t="inlineStr">
        <is>
          <t>2024-09-27</t>
        </is>
      </c>
      <c r="G186" s="23" t="n">
        <v>31.9631</v>
      </c>
      <c r="H186" s="24" t="n">
        <v>0.023945</v>
      </c>
    </row>
    <row r="187">
      <c r="A187" s="5" t="inlineStr">
        <is>
          <t>2024-09-30</t>
        </is>
      </c>
      <c r="B187" s="7" t="n">
        <v>833.01</v>
      </c>
      <c r="C187" s="7" t="n">
        <v>353.52</v>
      </c>
      <c r="D187" s="6" t="n">
        <v>40279</v>
      </c>
      <c r="F187" s="5" t="inlineStr">
        <is>
          <t>2024-09-30</t>
        </is>
      </c>
      <c r="G187" s="23" t="n">
        <v>32.0367</v>
      </c>
      <c r="H187" s="24" t="n">
        <v>0.023955</v>
      </c>
    </row>
    <row r="188">
      <c r="A188" s="5" t="inlineStr">
        <is>
          <t>2024-10-01</t>
        </is>
      </c>
      <c r="B188" s="7" t="n">
        <v>843.98</v>
      </c>
      <c r="C188" s="7" t="n">
        <v>355.02</v>
      </c>
      <c r="D188" s="6" t="n">
        <v>39024</v>
      </c>
      <c r="F188" s="5" t="inlineStr">
        <is>
          <t>2024-10-01</t>
        </is>
      </c>
      <c r="G188" s="23" t="n">
        <v>32.008</v>
      </c>
      <c r="H188" s="24" t="n">
        <v>0.023842</v>
      </c>
    </row>
    <row r="189">
      <c r="A189" s="5" t="inlineStr">
        <is>
          <t>2024-10-02</t>
        </is>
      </c>
      <c r="B189" s="7" t="n">
        <v>849.63</v>
      </c>
      <c r="C189" s="7" t="n">
        <v>367.07</v>
      </c>
      <c r="D189" s="6" t="n">
        <v>39059</v>
      </c>
      <c r="F189" s="5" t="inlineStr">
        <is>
          <t>2024-10-02</t>
        </is>
      </c>
      <c r="G189" s="23" t="n">
        <v>32.1414</v>
      </c>
      <c r="H189" s="24" t="n">
        <v>0.023823</v>
      </c>
    </row>
    <row r="190">
      <c r="A190" s="5" t="inlineStr">
        <is>
          <t>2024-10-03</t>
        </is>
      </c>
      <c r="B190" s="7" t="n">
        <v>855</v>
      </c>
      <c r="C190" s="7" t="n">
        <v>365.84</v>
      </c>
      <c r="D190" s="6" t="n">
        <v>39326</v>
      </c>
      <c r="F190" s="5" t="inlineStr">
        <is>
          <t>2024-10-03</t>
        </is>
      </c>
      <c r="G190" s="23" t="n">
        <v>32.1055</v>
      </c>
      <c r="H190" s="24" t="n">
        <v>0.023701</v>
      </c>
    </row>
    <row r="191">
      <c r="A191" s="5" t="inlineStr">
        <is>
          <t>2024-10-04</t>
        </is>
      </c>
      <c r="B191" s="7" t="n">
        <v>850.76</v>
      </c>
      <c r="C191" s="7" t="n">
        <v>380.78</v>
      </c>
      <c r="D191" s="6" t="n">
        <v>40053</v>
      </c>
      <c r="F191" s="5" t="inlineStr">
        <is>
          <t>2024-10-04</t>
        </is>
      </c>
      <c r="G191" s="23" t="n">
        <v>32.1576</v>
      </c>
      <c r="H191" s="24" t="n">
        <v>0.023718</v>
      </c>
    </row>
    <row r="192">
      <c r="A192" s="5" t="inlineStr">
        <is>
          <t>2024-10-07</t>
        </is>
      </c>
      <c r="B192" s="7" t="n">
        <v>852.25</v>
      </c>
      <c r="C192" s="7" t="n">
        <v>383.34</v>
      </c>
      <c r="D192" s="6" t="n">
        <v>40238</v>
      </c>
      <c r="F192" s="5" t="inlineStr">
        <is>
          <t>2024-10-07</t>
        </is>
      </c>
      <c r="G192" s="23" t="n">
        <v>32.1542</v>
      </c>
      <c r="H192" s="24" t="n">
        <v>0.023564</v>
      </c>
    </row>
    <row r="193">
      <c r="A193" s="5" t="inlineStr">
        <is>
          <t>2024-10-08</t>
        </is>
      </c>
      <c r="B193" s="7" t="n">
        <v>878.79</v>
      </c>
      <c r="C193" s="7" t="n">
        <v>382.22</v>
      </c>
      <c r="D193" s="6" t="n">
        <v>39752</v>
      </c>
      <c r="F193" s="5" t="inlineStr">
        <is>
          <t>2024-10-08</t>
        </is>
      </c>
      <c r="G193" s="23" t="n">
        <v>31.9998</v>
      </c>
      <c r="H193" s="24" t="n">
        <v>0.02353</v>
      </c>
    </row>
    <row r="194">
      <c r="A194" s="5" t="inlineStr">
        <is>
          <t>2024-10-09</t>
        </is>
      </c>
      <c r="B194" s="7" t="n">
        <v>889.67</v>
      </c>
      <c r="C194" s="7" t="n">
        <v>382.44</v>
      </c>
      <c r="D194" s="6" t="n">
        <v>39333</v>
      </c>
      <c r="F194" s="5" t="inlineStr">
        <is>
          <t>2024-10-09</t>
        </is>
      </c>
      <c r="G194" s="23" t="n">
        <v>32.2127</v>
      </c>
      <c r="H194" s="24" t="n">
        <v>0.023517</v>
      </c>
    </row>
    <row r="195">
      <c r="A195" s="5" t="inlineStr">
        <is>
          <t>2024-10-10</t>
        </is>
      </c>
      <c r="B195" s="7" t="n">
        <v>858.04</v>
      </c>
      <c r="C195" s="7" t="n">
        <v>378.91</v>
      </c>
      <c r="D195" s="6" t="n">
        <v>38571</v>
      </c>
      <c r="F195" s="5" t="inlineStr">
        <is>
          <t>2024-10-10</t>
        </is>
      </c>
      <c r="G195" s="23" t="n">
        <v>32.2852</v>
      </c>
      <c r="H195" s="24" t="n">
        <v>0.023695</v>
      </c>
    </row>
    <row r="196">
      <c r="A196" s="5" t="inlineStr">
        <is>
          <t>2024-10-11</t>
        </is>
      </c>
      <c r="B196" s="7" t="n">
        <v>877.8200000000001</v>
      </c>
      <c r="C196" s="7" t="n">
        <v>374.48</v>
      </c>
      <c r="D196" s="6" t="n">
        <v>38986</v>
      </c>
      <c r="F196" s="5" t="inlineStr">
        <is>
          <t>2024-10-11</t>
        </is>
      </c>
      <c r="G196" s="23" t="n">
        <v>32.4216</v>
      </c>
      <c r="H196" s="24" t="n">
        <v>0.023712</v>
      </c>
    </row>
    <row r="197">
      <c r="A197" s="5" t="inlineStr">
        <is>
          <t>2024-10-14</t>
        </is>
      </c>
      <c r="B197" s="7" t="n">
        <v>878.01</v>
      </c>
      <c r="C197" s="7" t="n">
        <v>370.49</v>
      </c>
      <c r="D197" s="6" t="n">
        <v>40005</v>
      </c>
      <c r="F197" s="5" t="inlineStr">
        <is>
          <t>2024-10-14</t>
        </is>
      </c>
      <c r="G197" s="23" t="n">
        <v>32.2456</v>
      </c>
      <c r="H197" s="24" t="n">
        <v>0.023736</v>
      </c>
    </row>
    <row r="198">
      <c r="A198" s="5" t="inlineStr">
        <is>
          <t>2024-10-15</t>
        </is>
      </c>
      <c r="B198" s="7" t="n">
        <v>905.29</v>
      </c>
      <c r="C198" s="7" t="n">
        <v>372.01</v>
      </c>
      <c r="D198" s="6" t="n">
        <v>40102</v>
      </c>
      <c r="F198" s="5" t="inlineStr">
        <is>
          <t>2024-10-15</t>
        </is>
      </c>
      <c r="G198" s="23" t="n">
        <v>32.3126</v>
      </c>
      <c r="H198" s="24" t="n">
        <v>0.023777</v>
      </c>
    </row>
    <row r="199">
      <c r="A199" s="5" t="inlineStr">
        <is>
          <t>2024-10-16</t>
        </is>
      </c>
      <c r="B199" s="7" t="n">
        <v>869.4</v>
      </c>
      <c r="C199" s="7" t="n">
        <v>374.3</v>
      </c>
      <c r="D199" s="6" t="n">
        <v>39816</v>
      </c>
      <c r="F199" s="5" t="inlineStr">
        <is>
          <t>2024-10-16</t>
        </is>
      </c>
      <c r="G199" s="23" t="n">
        <v>32.2667</v>
      </c>
      <c r="H199" s="24" t="n">
        <v>0.023652</v>
      </c>
    </row>
    <row r="200">
      <c r="A200" s="5" t="inlineStr">
        <is>
          <t>2024-10-17</t>
        </is>
      </c>
      <c r="B200" s="7" t="n">
        <v>891.45</v>
      </c>
      <c r="C200" s="7" t="n">
        <v>374.59</v>
      </c>
      <c r="D200" s="6" t="n">
        <v>40519</v>
      </c>
      <c r="F200" s="5" t="inlineStr">
        <is>
          <t>2024-10-17</t>
        </is>
      </c>
      <c r="G200" s="23" t="n">
        <v>32.324</v>
      </c>
      <c r="H200" s="24" t="n">
        <v>0.02376</v>
      </c>
    </row>
    <row r="201">
      <c r="A201" s="5" t="inlineStr">
        <is>
          <t>2024-10-18</t>
        </is>
      </c>
      <c r="B201" s="7" t="n">
        <v>901.4299999999999</v>
      </c>
      <c r="C201" s="7" t="n">
        <v>379.6</v>
      </c>
      <c r="D201" s="6" t="n">
        <v>40399</v>
      </c>
      <c r="F201" s="5" t="inlineStr">
        <is>
          <t>2024-10-18</t>
        </is>
      </c>
      <c r="G201" s="23" t="n">
        <v>32.3243</v>
      </c>
      <c r="H201" s="24" t="n">
        <v>0.023741</v>
      </c>
    </row>
    <row r="202">
      <c r="A202" s="5" t="inlineStr">
        <is>
          <t>2024-10-21</t>
        </is>
      </c>
      <c r="B202" s="7" t="n">
        <v>891.58</v>
      </c>
      <c r="C202" s="7" t="n">
        <v>371.81</v>
      </c>
      <c r="D202" s="6" t="n">
        <v>40381</v>
      </c>
      <c r="F202" s="5" t="inlineStr">
        <is>
          <t>2024-10-21</t>
        </is>
      </c>
      <c r="G202" s="23" t="n">
        <v>32.3581</v>
      </c>
      <c r="H202" s="24" t="n">
        <v>0.02361</v>
      </c>
    </row>
    <row r="203">
      <c r="A203" s="5" t="inlineStr">
        <is>
          <t>2024-10-22</t>
        </is>
      </c>
      <c r="B203" s="7" t="n">
        <v>878.46</v>
      </c>
      <c r="C203" s="7" t="n">
        <v>374.13</v>
      </c>
      <c r="D203" s="6" t="n">
        <v>38793</v>
      </c>
      <c r="F203" s="5" t="inlineStr">
        <is>
          <t>2024-10-22</t>
        </is>
      </c>
      <c r="G203" s="23" t="n">
        <v>32.2938</v>
      </c>
      <c r="H203" s="24" t="n">
        <v>0.023602</v>
      </c>
    </row>
    <row r="204">
      <c r="A204" s="5" t="inlineStr">
        <is>
          <t>2024-10-23</t>
        </is>
      </c>
      <c r="B204" s="7" t="n">
        <v>904.3</v>
      </c>
      <c r="C204" s="7" t="n">
        <v>381.04</v>
      </c>
      <c r="D204" s="6" t="n">
        <v>39248</v>
      </c>
      <c r="F204" s="5" t="inlineStr">
        <is>
          <t>2024-10-23</t>
        </is>
      </c>
      <c r="G204" s="23" t="n">
        <v>32.1585</v>
      </c>
      <c r="H204" s="24" t="n">
        <v>0.023668</v>
      </c>
    </row>
    <row r="205">
      <c r="A205" s="5" t="inlineStr">
        <is>
          <t>2024-10-24</t>
        </is>
      </c>
      <c r="B205" s="7" t="n">
        <v>891.87</v>
      </c>
      <c r="C205" s="7" t="n">
        <v>374.82</v>
      </c>
      <c r="D205" s="6" t="n">
        <v>38692</v>
      </c>
      <c r="F205" s="5" t="inlineStr">
        <is>
          <t>2024-10-24</t>
        </is>
      </c>
      <c r="G205" s="23" t="n">
        <v>32.1619</v>
      </c>
      <c r="H205" s="24" t="n">
        <v>0.023731</v>
      </c>
    </row>
    <row r="206">
      <c r="A206" s="5" t="inlineStr">
        <is>
          <t>2024-10-25</t>
        </is>
      </c>
      <c r="B206" s="7" t="n">
        <v>905.25</v>
      </c>
      <c r="C206" s="7" t="n">
        <v>378.18</v>
      </c>
      <c r="D206" s="6" t="n">
        <v>39253</v>
      </c>
      <c r="F206" s="5" t="inlineStr">
        <is>
          <t>2024-10-25</t>
        </is>
      </c>
      <c r="G206" s="23" t="n">
        <v>32.0182</v>
      </c>
      <c r="H206" s="24" t="n">
        <v>0.023758</v>
      </c>
    </row>
    <row r="207">
      <c r="A207" s="5" t="inlineStr">
        <is>
          <t>2024-10-28</t>
        </is>
      </c>
      <c r="B207" s="7" t="n">
        <v>923.71</v>
      </c>
      <c r="C207" s="7" t="n">
        <v>384.95</v>
      </c>
      <c r="D207" s="6" t="n">
        <v>40295</v>
      </c>
      <c r="F207" s="5" t="inlineStr">
        <is>
          <t>2024-10-28</t>
        </is>
      </c>
      <c r="G207" s="23" t="n">
        <v>31.9285</v>
      </c>
      <c r="H207" s="24" t="n">
        <v>0.023787</v>
      </c>
    </row>
    <row r="208">
      <c r="A208" s="5" t="inlineStr">
        <is>
          <t>2024-10-29</t>
        </is>
      </c>
      <c r="B208" s="7" t="n">
        <v>924.47</v>
      </c>
      <c r="C208" s="7" t="n">
        <v>378.79</v>
      </c>
      <c r="D208" s="6" t="n">
        <v>41432</v>
      </c>
      <c r="F208" s="5" t="inlineStr">
        <is>
          <t>2024-10-29</t>
        </is>
      </c>
      <c r="G208" s="23" t="n">
        <v>31.8324</v>
      </c>
      <c r="H208" s="24" t="n">
        <v>0.023813</v>
      </c>
    </row>
    <row r="209">
      <c r="A209" s="5" t="inlineStr">
        <is>
          <t>2024-10-30</t>
        </is>
      </c>
      <c r="B209" s="7" t="n">
        <v>950.79</v>
      </c>
      <c r="C209" s="7" t="n">
        <v>371.13</v>
      </c>
      <c r="D209" s="6" t="n">
        <v>41299</v>
      </c>
      <c r="F209" s="5" t="inlineStr">
        <is>
          <t>2024-10-30</t>
        </is>
      </c>
      <c r="G209" s="23" t="n">
        <v>32.0639</v>
      </c>
      <c r="H209" s="24" t="n">
        <v>0.023737</v>
      </c>
    </row>
    <row r="210">
      <c r="A210" s="5" t="inlineStr">
        <is>
          <t>2024-10-31</t>
        </is>
      </c>
      <c r="B210" s="7" t="n">
        <v>997.88</v>
      </c>
      <c r="C210" s="7" t="n">
        <v>384.93</v>
      </c>
      <c r="D210" s="6" t="n">
        <v>42965</v>
      </c>
      <c r="F210" s="5" t="inlineStr">
        <is>
          <t>2024-10-31</t>
        </is>
      </c>
      <c r="G210" s="23" t="n">
        <v>32.0967</v>
      </c>
      <c r="H210" s="24" t="n">
        <v>0.023778</v>
      </c>
    </row>
    <row r="211">
      <c r="A211" s="5" t="inlineStr">
        <is>
          <t>2024-11-01</t>
        </is>
      </c>
      <c r="B211" s="7" t="n">
        <v>954.9</v>
      </c>
      <c r="C211" s="7" t="n">
        <v>378.53</v>
      </c>
      <c r="D211" s="6" t="n">
        <v>41882</v>
      </c>
      <c r="F211" s="5" t="inlineStr">
        <is>
          <t>2024-11-01</t>
        </is>
      </c>
      <c r="G211" s="23" t="n">
        <v>32.2038</v>
      </c>
      <c r="H211" s="24" t="n">
        <v>0.023849</v>
      </c>
    </row>
    <row r="212">
      <c r="A212" s="5" t="inlineStr">
        <is>
          <t>2024-11-04</t>
        </is>
      </c>
      <c r="B212" s="7" t="n">
        <v>954.6799999999999</v>
      </c>
      <c r="C212" s="7" t="n">
        <v>378.44</v>
      </c>
      <c r="D212" s="6" t="n">
        <v>42872</v>
      </c>
      <c r="F212" s="5" t="inlineStr">
        <is>
          <t>2024-11-04</t>
        </is>
      </c>
      <c r="G212" s="23" t="n">
        <v>32.2831</v>
      </c>
      <c r="H212" s="24" t="n">
        <v>0.023723</v>
      </c>
    </row>
    <row r="213">
      <c r="A213" s="5" t="inlineStr">
        <is>
          <t>2024-11-05</t>
        </is>
      </c>
      <c r="B213" s="7" t="n">
        <v>946.41</v>
      </c>
      <c r="C213" s="7" t="n">
        <v>376.67</v>
      </c>
      <c r="D213" s="6" t="n">
        <v>41986</v>
      </c>
      <c r="F213" s="5" t="inlineStr">
        <is>
          <t>2024-11-05</t>
        </is>
      </c>
      <c r="G213" s="23" t="n">
        <v>32.2391</v>
      </c>
      <c r="H213" s="24" t="n">
        <v>0.023596</v>
      </c>
    </row>
    <row r="214">
      <c r="A214" s="5" t="inlineStr">
        <is>
          <t>2024-11-06</t>
        </is>
      </c>
      <c r="B214" s="7" t="n">
        <v>920.24</v>
      </c>
      <c r="C214" s="7" t="n">
        <v>376.62</v>
      </c>
      <c r="D214" s="6" t="n">
        <v>42823</v>
      </c>
      <c r="F214" s="5" t="inlineStr">
        <is>
          <t>2024-11-06</t>
        </is>
      </c>
      <c r="G214" s="23" t="n">
        <v>32.1378</v>
      </c>
      <c r="H214" s="24" t="n">
        <v>0.023726</v>
      </c>
    </row>
    <row r="215">
      <c r="A215" s="5" t="inlineStr">
        <is>
          <t>2024-11-07</t>
        </is>
      </c>
      <c r="B215" s="7" t="n">
        <v>920.97</v>
      </c>
      <c r="C215" s="7" t="n">
        <v>386.35</v>
      </c>
      <c r="D215" s="6" t="n">
        <v>42718</v>
      </c>
      <c r="F215" s="5" t="inlineStr">
        <is>
          <t>2024-11-07</t>
        </is>
      </c>
      <c r="G215" s="23" t="n">
        <v>32.1182</v>
      </c>
      <c r="H215" s="24" t="n">
        <v>0.023618</v>
      </c>
    </row>
    <row r="216">
      <c r="A216" s="5" t="inlineStr">
        <is>
          <t>2024-11-08</t>
        </is>
      </c>
      <c r="B216" s="7" t="n">
        <v>932.04</v>
      </c>
      <c r="C216" s="7" t="n">
        <v>374.64</v>
      </c>
      <c r="D216" s="6" t="n">
        <v>42880</v>
      </c>
      <c r="F216" s="5" t="inlineStr">
        <is>
          <t>2024-11-08</t>
        </is>
      </c>
      <c r="G216" s="23" t="n">
        <v>32.0902</v>
      </c>
      <c r="H216" s="24" t="n">
        <v>0.023714</v>
      </c>
    </row>
    <row r="217">
      <c r="A217" s="5" t="inlineStr">
        <is>
          <t>2024-11-11</t>
        </is>
      </c>
      <c r="B217" s="7" t="n">
        <v>966.49</v>
      </c>
      <c r="C217" s="7" t="n">
        <v>374.06</v>
      </c>
      <c r="D217" s="6" t="n">
        <v>43605</v>
      </c>
      <c r="F217" s="5" t="inlineStr">
        <is>
          <t>2024-11-11</t>
        </is>
      </c>
      <c r="G217" s="23" t="n">
        <v>32.0093</v>
      </c>
      <c r="H217" s="24" t="n">
        <v>0.023684</v>
      </c>
    </row>
    <row r="218">
      <c r="A218" s="5" t="inlineStr">
        <is>
          <t>2024-11-12</t>
        </is>
      </c>
      <c r="B218" s="7" t="n">
        <v>975.34</v>
      </c>
      <c r="C218" s="7" t="n">
        <v>373.28</v>
      </c>
      <c r="D218" s="6" t="n">
        <v>43894</v>
      </c>
      <c r="F218" s="5" t="inlineStr">
        <is>
          <t>2024-11-12</t>
        </is>
      </c>
      <c r="G218" s="23" t="n">
        <v>31.9231</v>
      </c>
      <c r="H218" s="24" t="n">
        <v>0.023595</v>
      </c>
    </row>
    <row r="219">
      <c r="A219" s="5" t="inlineStr">
        <is>
          <t>2024-11-13</t>
        </is>
      </c>
      <c r="B219" s="7" t="n">
        <v>972.5599999999999</v>
      </c>
      <c r="C219" s="7" t="n">
        <v>368.66</v>
      </c>
      <c r="D219" s="6" t="n">
        <v>43758</v>
      </c>
      <c r="F219" s="5" t="inlineStr">
        <is>
          <t>2024-11-13</t>
        </is>
      </c>
      <c r="G219" s="23" t="n">
        <v>31.9675</v>
      </c>
      <c r="H219" s="24" t="n">
        <v>0.023722</v>
      </c>
    </row>
    <row r="220">
      <c r="A220" s="5" t="inlineStr">
        <is>
          <t>2024-11-14</t>
        </is>
      </c>
      <c r="B220" s="7" t="n">
        <v>967.71</v>
      </c>
      <c r="C220" s="7" t="n">
        <v>368.97</v>
      </c>
      <c r="D220" s="6" t="n">
        <v>41715</v>
      </c>
      <c r="F220" s="5" t="inlineStr">
        <is>
          <t>2024-11-14</t>
        </is>
      </c>
      <c r="G220" s="23" t="n">
        <v>31.9044</v>
      </c>
      <c r="H220" s="24" t="n">
        <v>0.023879</v>
      </c>
    </row>
    <row r="221">
      <c r="A221" s="5" t="inlineStr">
        <is>
          <t>2024-11-15</t>
        </is>
      </c>
      <c r="B221" s="7" t="n">
        <v>960.76</v>
      </c>
      <c r="C221" s="7" t="n">
        <v>375.38</v>
      </c>
      <c r="D221" s="6" t="n">
        <v>42442</v>
      </c>
      <c r="F221" s="5" t="inlineStr">
        <is>
          <t>2024-11-15</t>
        </is>
      </c>
      <c r="G221" s="23" t="n">
        <v>31.8234</v>
      </c>
      <c r="H221" s="24" t="n">
        <v>0.024065</v>
      </c>
    </row>
    <row r="222">
      <c r="A222" s="5" t="inlineStr">
        <is>
          <t>2024-11-18</t>
        </is>
      </c>
      <c r="B222" s="7" t="n">
        <v>985.35</v>
      </c>
      <c r="C222" s="7" t="n">
        <v>377.79</v>
      </c>
      <c r="D222" s="6" t="n">
        <v>43648</v>
      </c>
      <c r="F222" s="5" t="inlineStr">
        <is>
          <t>2024-11-18</t>
        </is>
      </c>
      <c r="G222" s="23" t="n">
        <v>31.8473</v>
      </c>
      <c r="H222" s="24" t="n">
        <v>0.024256</v>
      </c>
    </row>
    <row r="223">
      <c r="A223" s="5" t="inlineStr">
        <is>
          <t>2024-11-19</t>
        </is>
      </c>
      <c r="B223" s="7" t="n">
        <v>1019.24</v>
      </c>
      <c r="C223" s="7" t="n">
        <v>378.47</v>
      </c>
      <c r="D223" s="6" t="n">
        <v>43837</v>
      </c>
      <c r="F223" s="5" t="inlineStr">
        <is>
          <t>2024-11-19</t>
        </is>
      </c>
      <c r="G223" s="23" t="n">
        <v>31.7487</v>
      </c>
      <c r="H223" s="24" t="n">
        <v>0.024341</v>
      </c>
    </row>
    <row r="224">
      <c r="A224" s="5" t="inlineStr">
        <is>
          <t>2024-11-20</t>
        </is>
      </c>
      <c r="B224" s="7" t="n">
        <v>1082.95</v>
      </c>
      <c r="C224" s="7" t="n">
        <v>381.96</v>
      </c>
      <c r="D224" s="6" t="n">
        <v>42641</v>
      </c>
      <c r="F224" s="5" t="inlineStr">
        <is>
          <t>2024-11-20</t>
        </is>
      </c>
      <c r="G224" s="23" t="n">
        <v>31.842</v>
      </c>
      <c r="H224" s="24" t="n">
        <v>0.024249</v>
      </c>
    </row>
    <row r="225">
      <c r="A225" s="5" t="inlineStr">
        <is>
          <t>2024-11-21</t>
        </is>
      </c>
      <c r="B225" s="7" t="n">
        <v>1118.81</v>
      </c>
      <c r="C225" s="7" t="n">
        <v>386.74</v>
      </c>
      <c r="D225" s="6" t="n">
        <v>41675</v>
      </c>
      <c r="F225" s="5" t="inlineStr">
        <is>
          <t>2024-11-21</t>
        </is>
      </c>
      <c r="G225" s="23" t="n">
        <v>31.7378</v>
      </c>
      <c r="H225" s="24" t="n">
        <v>0.024234</v>
      </c>
    </row>
    <row r="226">
      <c r="A226" s="5" t="inlineStr">
        <is>
          <t>2024-11-22</t>
        </is>
      </c>
      <c r="B226" s="7" t="n">
        <v>1092.07</v>
      </c>
      <c r="C226" s="7" t="n">
        <v>387.03</v>
      </c>
      <c r="D226" s="6" t="n">
        <v>40328</v>
      </c>
      <c r="F226" s="5" t="inlineStr">
        <is>
          <t>2024-11-22</t>
        </is>
      </c>
      <c r="G226" s="23" t="n">
        <v>31.6675</v>
      </c>
      <c r="H226" s="24" t="n">
        <v>0.024338</v>
      </c>
    </row>
    <row r="227">
      <c r="A227" s="5" t="inlineStr">
        <is>
          <t>2024-11-25</t>
        </is>
      </c>
      <c r="B227" s="7" t="n">
        <v>1075.89</v>
      </c>
      <c r="C227" s="7" t="n">
        <v>376.22</v>
      </c>
      <c r="D227" s="6" t="n">
        <v>40091</v>
      </c>
      <c r="F227" s="5" t="inlineStr">
        <is>
          <t>2024-11-25</t>
        </is>
      </c>
      <c r="G227" s="23" t="n">
        <v>31.6187</v>
      </c>
      <c r="H227" s="24" t="n">
        <v>0.024322</v>
      </c>
    </row>
    <row r="228">
      <c r="A228" s="5" t="inlineStr">
        <is>
          <t>2024-11-26</t>
        </is>
      </c>
      <c r="B228" s="7" t="n">
        <v>1076.01</v>
      </c>
      <c r="C228" s="7" t="n">
        <v>364.97</v>
      </c>
      <c r="D228" s="6" t="n">
        <v>41168</v>
      </c>
      <c r="F228" s="5" t="inlineStr">
        <is>
          <t>2024-11-26</t>
        </is>
      </c>
      <c r="G228" s="23" t="n">
        <v>31.6267</v>
      </c>
      <c r="H228" s="24" t="n">
        <v>0.0245</v>
      </c>
    </row>
    <row r="229">
      <c r="A229" s="5" t="inlineStr">
        <is>
          <t>2024-11-27</t>
        </is>
      </c>
      <c r="B229" s="7" t="n">
        <v>1055.73</v>
      </c>
      <c r="C229" s="7" t="n">
        <v>360.66</v>
      </c>
      <c r="D229" s="6" t="n">
        <v>42825</v>
      </c>
      <c r="F229" s="5" t="inlineStr">
        <is>
          <t>2024-11-27</t>
        </is>
      </c>
      <c r="G229" s="23" t="n">
        <v>31.7327</v>
      </c>
      <c r="H229" s="24" t="n">
        <v>0.024581</v>
      </c>
    </row>
    <row r="230">
      <c r="A230" s="5" t="inlineStr">
        <is>
          <t>2024-11-28</t>
        </is>
      </c>
      <c r="B230" s="7" t="n">
        <v>1052.44</v>
      </c>
      <c r="C230" s="7" t="n">
        <v>357.22</v>
      </c>
      <c r="D230" s="6" t="n">
        <v>42209</v>
      </c>
      <c r="F230" s="5" t="inlineStr">
        <is>
          <t>2024-11-28</t>
        </is>
      </c>
      <c r="G230" s="23" t="n">
        <v>31.7409</v>
      </c>
      <c r="H230" s="24" t="n">
        <v>0.024618</v>
      </c>
    </row>
    <row r="231">
      <c r="A231" s="5" t="inlineStr">
        <is>
          <t>2024-11-29</t>
        </is>
      </c>
      <c r="B231" s="7" t="n">
        <v>1070.82</v>
      </c>
      <c r="C231" s="7" t="n">
        <v>355.48</v>
      </c>
      <c r="D231" s="6" t="n">
        <v>40527</v>
      </c>
      <c r="F231" s="5" t="inlineStr">
        <is>
          <t>2024-11-29</t>
        </is>
      </c>
      <c r="G231" s="23" t="n">
        <v>31.5576</v>
      </c>
      <c r="H231" s="24" t="n">
        <v>0.0246</v>
      </c>
    </row>
    <row r="232">
      <c r="A232" s="5" t="inlineStr">
        <is>
          <t>2024-12-02</t>
        </is>
      </c>
      <c r="B232" s="7" t="n">
        <v>1043.66</v>
      </c>
      <c r="C232" s="7" t="n">
        <v>349.23</v>
      </c>
      <c r="D232" s="6" t="n">
        <v>40069</v>
      </c>
      <c r="F232" s="5" t="inlineStr">
        <is>
          <t>2024-12-02</t>
        </is>
      </c>
      <c r="G232" s="23" t="n">
        <v>31.4593</v>
      </c>
      <c r="H232" s="24" t="n">
        <v>0.024607</v>
      </c>
    </row>
    <row r="233">
      <c r="A233" s="5" t="inlineStr">
        <is>
          <t>2024-12-03</t>
        </is>
      </c>
      <c r="B233" s="7" t="n">
        <v>1011.06</v>
      </c>
      <c r="C233" s="7" t="n">
        <v>347.17</v>
      </c>
      <c r="D233" s="6" t="n">
        <v>39395</v>
      </c>
      <c r="F233" s="5" t="inlineStr">
        <is>
          <t>2024-12-03</t>
        </is>
      </c>
      <c r="G233" s="23" t="n">
        <v>31.4527</v>
      </c>
      <c r="H233" s="24" t="n">
        <v>0.024549</v>
      </c>
    </row>
    <row r="234">
      <c r="A234" s="5" t="inlineStr">
        <is>
          <t>2024-12-04</t>
        </is>
      </c>
      <c r="B234" s="7" t="n">
        <v>990.15</v>
      </c>
      <c r="C234" s="7" t="n">
        <v>343.62</v>
      </c>
      <c r="D234" s="6" t="n">
        <v>40791</v>
      </c>
      <c r="F234" s="5" t="inlineStr">
        <is>
          <t>2024-12-04</t>
        </is>
      </c>
      <c r="G234" s="23" t="n">
        <v>31.4626</v>
      </c>
      <c r="H234" s="24" t="n">
        <v>0.024566</v>
      </c>
    </row>
    <row r="235">
      <c r="A235" s="5" t="inlineStr">
        <is>
          <t>2024-12-05</t>
        </is>
      </c>
      <c r="B235" s="7" t="n">
        <v>983.4400000000001</v>
      </c>
      <c r="C235" s="7" t="n">
        <v>342.12</v>
      </c>
      <c r="D235" s="6" t="n">
        <v>41454</v>
      </c>
      <c r="F235" s="5" t="inlineStr">
        <is>
          <t>2024-12-05</t>
        </is>
      </c>
      <c r="G235" s="23" t="n">
        <v>31.3583</v>
      </c>
      <c r="H235" s="24" t="n">
        <v>0.024638</v>
      </c>
    </row>
    <row r="236">
      <c r="A236" s="5" t="inlineStr">
        <is>
          <t>2024-12-06</t>
        </is>
      </c>
      <c r="B236" s="7" t="n">
        <v>979.79</v>
      </c>
      <c r="C236" s="7" t="n">
        <v>344.58</v>
      </c>
      <c r="D236" s="6" t="n">
        <v>41866</v>
      </c>
      <c r="F236" s="5" t="inlineStr">
        <is>
          <t>2024-12-06</t>
        </is>
      </c>
      <c r="G236" s="23" t="n">
        <v>31.3946</v>
      </c>
      <c r="H236" s="24" t="n">
        <v>0.024624</v>
      </c>
    </row>
    <row r="237">
      <c r="A237" s="5" t="inlineStr">
        <is>
          <t>2024-12-09</t>
        </is>
      </c>
      <c r="B237" s="7" t="n">
        <v>954.85</v>
      </c>
      <c r="C237" s="7" t="n">
        <v>345.45</v>
      </c>
      <c r="D237" s="6" t="n">
        <v>41133</v>
      </c>
      <c r="F237" s="5" t="inlineStr">
        <is>
          <t>2024-12-09</t>
        </is>
      </c>
      <c r="G237" s="23" t="n">
        <v>31.4332</v>
      </c>
      <c r="H237" s="24" t="n">
        <v>0.02475</v>
      </c>
    </row>
    <row r="238">
      <c r="A238" s="5" t="inlineStr">
        <is>
          <t>2024-12-10</t>
        </is>
      </c>
      <c r="B238" s="7" t="n">
        <v>947.72</v>
      </c>
      <c r="C238" s="7" t="n">
        <v>344.48</v>
      </c>
      <c r="D238" s="6" t="n">
        <v>40034</v>
      </c>
      <c r="F238" s="5" t="inlineStr">
        <is>
          <t>2024-12-10</t>
        </is>
      </c>
      <c r="G238" s="23" t="n">
        <v>31.5433</v>
      </c>
      <c r="H238" s="24" t="n">
        <v>0.024846</v>
      </c>
    </row>
    <row r="239">
      <c r="A239" s="5" t="inlineStr">
        <is>
          <t>2024-12-11</t>
        </is>
      </c>
      <c r="B239" s="7" t="n">
        <v>962.24</v>
      </c>
      <c r="C239" s="7" t="n">
        <v>350.88</v>
      </c>
      <c r="D239" s="6" t="n">
        <v>42270</v>
      </c>
      <c r="F239" s="5" t="inlineStr">
        <is>
          <t>2024-12-11</t>
        </is>
      </c>
      <c r="G239" s="23" t="n">
        <v>31.5696</v>
      </c>
      <c r="H239" s="24" t="n">
        <v>0.025075</v>
      </c>
    </row>
    <row r="240">
      <c r="A240" s="5" t="inlineStr">
        <is>
          <t>2024-12-12</t>
        </is>
      </c>
      <c r="B240" s="7" t="n">
        <v>952.65</v>
      </c>
      <c r="C240" s="7" t="n">
        <v>347.87</v>
      </c>
      <c r="D240" s="6" t="n">
        <v>43699</v>
      </c>
      <c r="F240" s="5" t="inlineStr">
        <is>
          <t>2024-12-12</t>
        </is>
      </c>
      <c r="G240" s="23" t="n">
        <v>31.7377</v>
      </c>
      <c r="H240" s="24" t="n">
        <v>0.024879</v>
      </c>
    </row>
    <row r="241">
      <c r="A241" s="5" t="inlineStr">
        <is>
          <t>2024-12-13</t>
        </is>
      </c>
      <c r="B241" s="7" t="n">
        <v>920.73</v>
      </c>
      <c r="C241" s="7" t="n">
        <v>341.13</v>
      </c>
      <c r="D241" s="6" t="n">
        <v>44675</v>
      </c>
      <c r="F241" s="5" t="inlineStr">
        <is>
          <t>2024-12-13</t>
        </is>
      </c>
      <c r="G241" s="23" t="n">
        <v>31.8202</v>
      </c>
      <c r="H241" s="24" t="n">
        <v>0.024663</v>
      </c>
    </row>
    <row r="242">
      <c r="A242" s="5" t="inlineStr">
        <is>
          <t>2024-12-16</t>
        </is>
      </c>
      <c r="B242" s="7" t="n">
        <v>905.96</v>
      </c>
      <c r="C242" s="7" t="n">
        <v>353.99</v>
      </c>
      <c r="D242" s="6" t="n">
        <v>44459</v>
      </c>
      <c r="F242" s="5" t="inlineStr">
        <is>
          <t>2024-12-16</t>
        </is>
      </c>
      <c r="G242" s="23" t="n">
        <v>31.9195</v>
      </c>
      <c r="H242" s="24" t="n">
        <v>0.024768</v>
      </c>
    </row>
    <row r="243">
      <c r="A243" s="5" t="inlineStr">
        <is>
          <t>2024-12-17</t>
        </is>
      </c>
      <c r="B243" s="7" t="n">
        <v>886.83</v>
      </c>
      <c r="C243" s="7" t="n">
        <v>352.26</v>
      </c>
      <c r="D243" s="6" t="n">
        <v>44271</v>
      </c>
      <c r="F243" s="5" t="inlineStr">
        <is>
          <t>2024-12-17</t>
        </is>
      </c>
      <c r="G243" s="23" t="n">
        <v>31.9306</v>
      </c>
      <c r="H243" s="24" t="n">
        <v>0.02477</v>
      </c>
    </row>
    <row r="244">
      <c r="A244" s="5" t="inlineStr">
        <is>
          <t>2024-12-18</t>
        </is>
      </c>
      <c r="B244" s="7" t="n">
        <v>878.01</v>
      </c>
      <c r="C244" s="7" t="n">
        <v>348.51</v>
      </c>
      <c r="D244" s="6" t="n">
        <v>44213</v>
      </c>
      <c r="F244" s="5" t="inlineStr">
        <is>
          <t>2024-12-18</t>
        </is>
      </c>
      <c r="G244" s="23" t="n">
        <v>31.9805</v>
      </c>
      <c r="H244" s="24" t="n">
        <v>0.024848</v>
      </c>
    </row>
    <row r="245">
      <c r="A245" s="5" t="inlineStr">
        <is>
          <t>2024-12-19</t>
        </is>
      </c>
      <c r="B245" s="7" t="n">
        <v>870.4</v>
      </c>
      <c r="C245" s="7" t="n">
        <v>341.9</v>
      </c>
      <c r="D245" s="6" t="n">
        <v>43971</v>
      </c>
      <c r="F245" s="5" t="inlineStr">
        <is>
          <t>2024-12-19</t>
        </is>
      </c>
      <c r="G245" s="23" t="n">
        <v>32.0054</v>
      </c>
      <c r="H245" s="24" t="n">
        <v>0.024708</v>
      </c>
    </row>
    <row r="246">
      <c r="A246" s="5" t="inlineStr">
        <is>
          <t>2024-12-20</t>
        </is>
      </c>
      <c r="B246" s="7" t="n">
        <v>868.7</v>
      </c>
      <c r="C246" s="7" t="n">
        <v>332.4</v>
      </c>
      <c r="D246" s="6" t="n">
        <v>43974</v>
      </c>
      <c r="F246" s="5" t="inlineStr">
        <is>
          <t>2024-12-20</t>
        </is>
      </c>
      <c r="G246" s="23" t="n">
        <v>31.9528</v>
      </c>
      <c r="H246" s="24" t="n">
        <v>0.024816</v>
      </c>
    </row>
    <row r="247">
      <c r="A247" s="5" t="inlineStr">
        <is>
          <t>2024-12-23</t>
        </is>
      </c>
      <c r="B247" s="7" t="n">
        <v>866.97</v>
      </c>
      <c r="C247" s="7" t="n">
        <v>340.16</v>
      </c>
      <c r="D247" s="6" t="n">
        <v>43717</v>
      </c>
      <c r="F247" s="5" t="inlineStr">
        <is>
          <t>2024-12-23</t>
        </is>
      </c>
      <c r="G247" s="23" t="n">
        <v>31.9708</v>
      </c>
      <c r="H247" s="24" t="n">
        <v>0.024823</v>
      </c>
    </row>
    <row r="248">
      <c r="A248" s="5" t="inlineStr">
        <is>
          <t>2024-12-24</t>
        </is>
      </c>
      <c r="B248" s="7" t="n">
        <v>848.86</v>
      </c>
      <c r="C248" s="7" t="n">
        <v>333.55</v>
      </c>
      <c r="D248" s="6" t="n">
        <v>44516</v>
      </c>
      <c r="F248" s="5" t="inlineStr">
        <is>
          <t>2024-12-24</t>
        </is>
      </c>
      <c r="G248" s="23" t="n">
        <v>32.1013</v>
      </c>
      <c r="H248" s="24" t="n">
        <v>0.024801</v>
      </c>
    </row>
    <row r="249">
      <c r="A249" s="5" t="inlineStr">
        <is>
          <t>2024-12-25</t>
        </is>
      </c>
      <c r="B249" s="7" t="n">
        <v>858.52</v>
      </c>
      <c r="C249" s="7" t="n">
        <v>334.2</v>
      </c>
      <c r="D249" s="6" t="n">
        <v>43552</v>
      </c>
      <c r="F249" s="5" t="inlineStr">
        <is>
          <t>2024-12-25</t>
        </is>
      </c>
      <c r="G249" s="23" t="n">
        <v>32.014</v>
      </c>
      <c r="H249" s="24" t="n">
        <v>0.024703</v>
      </c>
    </row>
    <row r="250">
      <c r="A250" s="5" t="inlineStr">
        <is>
          <t>2024-12-26</t>
        </is>
      </c>
      <c r="B250" s="7" t="n">
        <v>849.52</v>
      </c>
      <c r="C250" s="7" t="n">
        <v>333.48</v>
      </c>
      <c r="D250" s="6" t="n">
        <v>43999</v>
      </c>
      <c r="F250" s="5" t="inlineStr">
        <is>
          <t>2024-12-26</t>
        </is>
      </c>
      <c r="G250" s="23" t="n">
        <v>32.1743</v>
      </c>
      <c r="H250" s="24" t="n">
        <v>0.024647</v>
      </c>
    </row>
    <row r="251">
      <c r="A251" s="5" t="inlineStr">
        <is>
          <t>2024-12-27</t>
        </is>
      </c>
      <c r="B251" s="7" t="n">
        <v>842.61</v>
      </c>
      <c r="C251" s="7" t="n">
        <v>340.43</v>
      </c>
      <c r="D251" s="6" t="n">
        <v>43897</v>
      </c>
      <c r="F251" s="5" t="inlineStr">
        <is>
          <t>2024-12-27</t>
        </is>
      </c>
      <c r="G251" s="23" t="n">
        <v>32.3146</v>
      </c>
      <c r="H251" s="24" t="n">
        <v>0.024661</v>
      </c>
    </row>
    <row r="252">
      <c r="A252" s="5" t="inlineStr">
        <is>
          <t>2024-12-30</t>
        </is>
      </c>
      <c r="B252" s="7" t="n">
        <v>863.87</v>
      </c>
      <c r="C252" s="7" t="n">
        <v>334.47</v>
      </c>
      <c r="D252" s="6" t="n">
        <v>44506</v>
      </c>
      <c r="F252" s="5" t="inlineStr">
        <is>
          <t>2024-12-30</t>
        </is>
      </c>
      <c r="G252" s="23" t="n">
        <v>32.2965</v>
      </c>
      <c r="H252" s="24" t="n">
        <v>0.024713</v>
      </c>
    </row>
    <row r="253">
      <c r="A253" s="5" t="inlineStr">
        <is>
          <t>2024-12-31</t>
        </is>
      </c>
      <c r="B253" s="7" t="n">
        <v>858.34</v>
      </c>
      <c r="C253" s="7" t="n">
        <v>322.48</v>
      </c>
      <c r="D253" s="6" t="n">
        <v>44776</v>
      </c>
      <c r="F253" s="5" t="inlineStr">
        <is>
          <t>2024-12-31</t>
        </is>
      </c>
      <c r="G253" s="23" t="n">
        <v>32.269</v>
      </c>
      <c r="H253" s="24" t="n">
        <v>0.024607</v>
      </c>
    </row>
    <row r="254">
      <c r="A254" s="14" t="inlineStr">
        <is>
          <t>共 251 列（含黃色初始列 S0）。B欄=台積電 TWD，C欄=AAPL USD，D欄=三星 KRW，G欄=USD/TWD，H欄=KRW/TWD。</t>
        </is>
      </c>
    </row>
  </sheetData>
  <mergeCells count="2">
    <mergeCell ref="A1:I1"/>
    <mergeCell ref="A254:K25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20.7" customWidth="1" min="7" max="7"/>
    <col width="20.7" customWidth="1" min="8" max="8"/>
    <col width="20.7" customWidth="1" min="9" max="9"/>
    <col width="30" customWidth="1" min="10" max="10"/>
    <col width="8" customWidth="1" min="11" max="11"/>
    <col width="8" customWidth="1" min="12" max="12"/>
  </cols>
  <sheetData>
    <row r="1">
      <c r="A1" s="1" t="inlineStr">
        <is>
          <t>步驟一：計算對數回報 &amp; FX 調整（公式直接引用 Sheet 2）</t>
        </is>
      </c>
    </row>
    <row r="2"/>
    <row r="3">
      <c r="A3" s="2" t="inlineStr">
        <is>
          <t>▌ 公式說明</t>
        </is>
      </c>
    </row>
    <row r="4">
      <c r="A4" s="25" t="inlineStr">
        <is>
          <t>B欄 台積電 r_local</t>
        </is>
      </c>
      <c r="B4" s="26">
        <f>LN('②原始價格與FX'!B{t} / '②原始價格與FX'!B{t-1})</f>
        <v/>
      </c>
    </row>
    <row r="5">
      <c r="A5" s="25" t="inlineStr">
        <is>
          <t>C欄 AAPL r_local</t>
        </is>
      </c>
      <c r="B5" s="26">
        <f>LN('②原始價格與FX'!C{t} / '②原始價格與FX'!C{t-1})</f>
        <v/>
      </c>
    </row>
    <row r="6">
      <c r="A6" s="25" t="inlineStr">
        <is>
          <t>D欄 三星 r_local</t>
        </is>
      </c>
      <c r="B6" s="26">
        <f>LN('②原始價格與FX'!D{t} / '②原始價格與FX'!D{t-1})</f>
        <v/>
      </c>
    </row>
    <row r="7">
      <c r="A7" s="25" t="inlineStr">
        <is>
          <t>E欄 USD r_FX</t>
        </is>
      </c>
      <c r="B7" s="26">
        <f>LN('②原始價格與FX'!G{t} / '②原始價格與FX'!G{t-1})  ← G欄=USD/TWD</f>
        <v/>
      </c>
    </row>
    <row r="8">
      <c r="A8" s="25" t="inlineStr">
        <is>
          <t>F欄 KRW r_FX</t>
        </is>
      </c>
      <c r="B8" s="26">
        <f>LN('②原始價格與FX'!H{t} / '②原始價格與FX'!H{t-1})  ← H欄=KRW/TWD</f>
        <v/>
      </c>
    </row>
    <row r="9">
      <c r="A9" s="25" t="inlineStr">
        <is>
          <t>G欄 台積電 r_adj</t>
        </is>
      </c>
      <c r="B9" s="26">
        <f>B{row}  （TWD 資產，r_adj = r_local）</f>
        <v/>
      </c>
    </row>
    <row r="10">
      <c r="A10" s="25" t="inlineStr">
        <is>
          <t>H欄 AAPL r_adj</t>
        </is>
      </c>
      <c r="B10" s="26">
        <f>C{row}+E{row}  （USD 資產，r_adj = r_local + r_FX）</f>
        <v/>
      </c>
    </row>
    <row r="11">
      <c r="A11" s="25" t="inlineStr">
        <is>
          <t>I欄 三星 r_adj</t>
        </is>
      </c>
      <c r="B11" s="26">
        <f>D{row}+F{row}  （KRW 資產，r_adj = r_local + r_FX）</f>
        <v/>
      </c>
    </row>
    <row r="12">
      <c r="A12" s="25" t="inlineStr">
        <is>
          <t>J欄 組合P&amp;L</t>
        </is>
      </c>
      <c r="B12" s="26">
        <f>G{row}*'①基本設定'!$G$5 + H{row}*'①基本設定'!$G$6 + I{row}*'①基本設定'!$G$7</f>
        <v/>
      </c>
    </row>
    <row r="13">
      <c r="A13" s="27" t="inlineStr">
        <is>
          <t>驗證方法</t>
        </is>
      </c>
      <c r="B13" s="26" t="inlineStr">
        <is>
          <t>J欄 P&amp;L = Σ(r_adj_i × MV_i)，與 Sheet4 HS VaR 計算的基礎相同</t>
        </is>
      </c>
    </row>
    <row r="14">
      <c r="A14" s="2" t="inlineStr">
        <is>
          <t>▌ 回報序列（250 個交易日，全為 Excel 公式）</t>
        </is>
      </c>
    </row>
    <row r="15">
      <c r="A15" s="3" t="inlineStr">
        <is>
          <t>日期</t>
        </is>
      </c>
      <c r="B15" s="3" t="inlineStr">
        <is>
          <t>台積電 r_local</t>
        </is>
      </c>
      <c r="C15" s="3" t="inlineStr">
        <is>
          <t>AAPL r_local</t>
        </is>
      </c>
      <c r="D15" s="3" t="inlineStr">
        <is>
          <t>三星 r_local</t>
        </is>
      </c>
      <c r="E15" s="3" t="inlineStr">
        <is>
          <t>USD r_FX</t>
        </is>
      </c>
      <c r="F15" s="3" t="inlineStr">
        <is>
          <t>KRW r_FX</t>
        </is>
      </c>
      <c r="G15" s="3" t="inlineStr">
        <is>
          <t>台積電 r_adj</t>
        </is>
      </c>
      <c r="H15" s="3" t="inlineStr">
        <is>
          <t>AAPL r_adj</t>
        </is>
      </c>
      <c r="I15" s="3" t="inlineStr">
        <is>
          <t>三星 r_adj</t>
        </is>
      </c>
      <c r="J15" s="3" t="inlineStr">
        <is>
          <t>組合P&amp;L(TWD)</t>
        </is>
      </c>
    </row>
    <row r="16">
      <c r="A16" s="5" t="inlineStr">
        <is>
          <t>2024-01-17</t>
        </is>
      </c>
      <c r="B16" s="28">
        <f>LN('②原始價格與FX'!B4/'②原始價格與FX'!B3)</f>
        <v/>
      </c>
      <c r="C16" s="28">
        <f>LN('②原始價格與FX'!C4/'②原始價格與FX'!C3)</f>
        <v/>
      </c>
      <c r="D16" s="28">
        <f>LN('②原始價格與FX'!D4/'②原始價格與FX'!D3)</f>
        <v/>
      </c>
      <c r="E16" s="28">
        <f>LN('②原始價格與FX'!G4/'②原始價格與FX'!G3)</f>
        <v/>
      </c>
      <c r="F16" s="28">
        <f>LN('②原始價格與FX'!H4/'②原始價格與FX'!H3)</f>
        <v/>
      </c>
      <c r="G16" s="28">
        <f>B16</f>
        <v/>
      </c>
      <c r="H16" s="29">
        <f>C16+E16</f>
        <v/>
      </c>
      <c r="I16" s="29">
        <f>D16+F16</f>
        <v/>
      </c>
      <c r="J16" s="30">
        <f>G16*'①基本設定'!$G$5+H16*'①基本設定'!$G$6+I16*'①基本設定'!$G$7</f>
        <v/>
      </c>
    </row>
    <row r="17">
      <c r="A17" s="5" t="inlineStr">
        <is>
          <t>2024-01-18</t>
        </is>
      </c>
      <c r="B17" s="28">
        <f>LN('②原始價格與FX'!B5/'②原始價格與FX'!B4)</f>
        <v/>
      </c>
      <c r="C17" s="28">
        <f>LN('②原始價格與FX'!C5/'②原始價格與FX'!C4)</f>
        <v/>
      </c>
      <c r="D17" s="28">
        <f>LN('②原始價格與FX'!D5/'②原始價格與FX'!D4)</f>
        <v/>
      </c>
      <c r="E17" s="28">
        <f>LN('②原始價格與FX'!G5/'②原始價格與FX'!G4)</f>
        <v/>
      </c>
      <c r="F17" s="28">
        <f>LN('②原始價格與FX'!H5/'②原始價格與FX'!H4)</f>
        <v/>
      </c>
      <c r="G17" s="28">
        <f>B17</f>
        <v/>
      </c>
      <c r="H17" s="29">
        <f>C17+E17</f>
        <v/>
      </c>
      <c r="I17" s="29">
        <f>D17+F17</f>
        <v/>
      </c>
      <c r="J17" s="31">
        <f>G17*'①基本設定'!$G$5+H17*'①基本設定'!$G$6+I17*'①基本設定'!$G$7</f>
        <v/>
      </c>
    </row>
    <row r="18">
      <c r="A18" s="5" t="inlineStr">
        <is>
          <t>2024-01-19</t>
        </is>
      </c>
      <c r="B18" s="28">
        <f>LN('②原始價格與FX'!B6/'②原始價格與FX'!B5)</f>
        <v/>
      </c>
      <c r="C18" s="28">
        <f>LN('②原始價格與FX'!C6/'②原始價格與FX'!C5)</f>
        <v/>
      </c>
      <c r="D18" s="28">
        <f>LN('②原始價格與FX'!D6/'②原始價格與FX'!D5)</f>
        <v/>
      </c>
      <c r="E18" s="28">
        <f>LN('②原始價格與FX'!G6/'②原始價格與FX'!G5)</f>
        <v/>
      </c>
      <c r="F18" s="28">
        <f>LN('②原始價格與FX'!H6/'②原始價格與FX'!H5)</f>
        <v/>
      </c>
      <c r="G18" s="28">
        <f>B18</f>
        <v/>
      </c>
      <c r="H18" s="29">
        <f>C18+E18</f>
        <v/>
      </c>
      <c r="I18" s="29">
        <f>D18+F18</f>
        <v/>
      </c>
      <c r="J18" s="30">
        <f>G18*'①基本設定'!$G$5+H18*'①基本設定'!$G$6+I18*'①基本設定'!$G$7</f>
        <v/>
      </c>
    </row>
    <row r="19">
      <c r="A19" s="5" t="inlineStr">
        <is>
          <t>2024-01-22</t>
        </is>
      </c>
      <c r="B19" s="28">
        <f>LN('②原始價格與FX'!B7/'②原始價格與FX'!B6)</f>
        <v/>
      </c>
      <c r="C19" s="28">
        <f>LN('②原始價格與FX'!C7/'②原始價格與FX'!C6)</f>
        <v/>
      </c>
      <c r="D19" s="28">
        <f>LN('②原始價格與FX'!D7/'②原始價格與FX'!D6)</f>
        <v/>
      </c>
      <c r="E19" s="28">
        <f>LN('②原始價格與FX'!G7/'②原始價格與FX'!G6)</f>
        <v/>
      </c>
      <c r="F19" s="28">
        <f>LN('②原始價格與FX'!H7/'②原始價格與FX'!H6)</f>
        <v/>
      </c>
      <c r="G19" s="28">
        <f>B19</f>
        <v/>
      </c>
      <c r="H19" s="29">
        <f>C19+E19</f>
        <v/>
      </c>
      <c r="I19" s="29">
        <f>D19+F19</f>
        <v/>
      </c>
      <c r="J19" s="30">
        <f>G19*'①基本設定'!$G$5+H19*'①基本設定'!$G$6+I19*'①基本設定'!$G$7</f>
        <v/>
      </c>
    </row>
    <row r="20">
      <c r="A20" s="5" t="inlineStr">
        <is>
          <t>2024-01-23</t>
        </is>
      </c>
      <c r="B20" s="28">
        <f>LN('②原始價格與FX'!B8/'②原始價格與FX'!B7)</f>
        <v/>
      </c>
      <c r="C20" s="28">
        <f>LN('②原始價格與FX'!C8/'②原始價格與FX'!C7)</f>
        <v/>
      </c>
      <c r="D20" s="28">
        <f>LN('②原始價格與FX'!D8/'②原始價格與FX'!D7)</f>
        <v/>
      </c>
      <c r="E20" s="28">
        <f>LN('②原始價格與FX'!G8/'②原始價格與FX'!G7)</f>
        <v/>
      </c>
      <c r="F20" s="28">
        <f>LN('②原始價格與FX'!H8/'②原始價格與FX'!H7)</f>
        <v/>
      </c>
      <c r="G20" s="28">
        <f>B20</f>
        <v/>
      </c>
      <c r="H20" s="29">
        <f>C20+E20</f>
        <v/>
      </c>
      <c r="I20" s="29">
        <f>D20+F20</f>
        <v/>
      </c>
      <c r="J20" s="30">
        <f>G20*'①基本設定'!$G$5+H20*'①基本設定'!$G$6+I20*'①基本設定'!$G$7</f>
        <v/>
      </c>
    </row>
    <row r="21">
      <c r="A21" s="5" t="inlineStr">
        <is>
          <t>2024-01-24</t>
        </is>
      </c>
      <c r="B21" s="28">
        <f>LN('②原始價格與FX'!B9/'②原始價格與FX'!B8)</f>
        <v/>
      </c>
      <c r="C21" s="28">
        <f>LN('②原始價格與FX'!C9/'②原始價格與FX'!C8)</f>
        <v/>
      </c>
      <c r="D21" s="28">
        <f>LN('②原始價格與FX'!D9/'②原始價格與FX'!D8)</f>
        <v/>
      </c>
      <c r="E21" s="28">
        <f>LN('②原始價格與FX'!G9/'②原始價格與FX'!G8)</f>
        <v/>
      </c>
      <c r="F21" s="28">
        <f>LN('②原始價格與FX'!H9/'②原始價格與FX'!H8)</f>
        <v/>
      </c>
      <c r="G21" s="28">
        <f>B21</f>
        <v/>
      </c>
      <c r="H21" s="29">
        <f>C21+E21</f>
        <v/>
      </c>
      <c r="I21" s="29">
        <f>D21+F21</f>
        <v/>
      </c>
      <c r="J21" s="31">
        <f>G21*'①基本設定'!$G$5+H21*'①基本設定'!$G$6+I21*'①基本設定'!$G$7</f>
        <v/>
      </c>
    </row>
    <row r="22">
      <c r="A22" s="5" t="inlineStr">
        <is>
          <t>2024-01-25</t>
        </is>
      </c>
      <c r="B22" s="28">
        <f>LN('②原始價格與FX'!B10/'②原始價格與FX'!B9)</f>
        <v/>
      </c>
      <c r="C22" s="28">
        <f>LN('②原始價格與FX'!C10/'②原始價格與FX'!C9)</f>
        <v/>
      </c>
      <c r="D22" s="28">
        <f>LN('②原始價格與FX'!D10/'②原始價格與FX'!D9)</f>
        <v/>
      </c>
      <c r="E22" s="28">
        <f>LN('②原始價格與FX'!G10/'②原始價格與FX'!G9)</f>
        <v/>
      </c>
      <c r="F22" s="28">
        <f>LN('②原始價格與FX'!H10/'②原始價格與FX'!H9)</f>
        <v/>
      </c>
      <c r="G22" s="28">
        <f>B22</f>
        <v/>
      </c>
      <c r="H22" s="29">
        <f>C22+E22</f>
        <v/>
      </c>
      <c r="I22" s="29">
        <f>D22+F22</f>
        <v/>
      </c>
      <c r="J22" s="31">
        <f>G22*'①基本設定'!$G$5+H22*'①基本設定'!$G$6+I22*'①基本設定'!$G$7</f>
        <v/>
      </c>
    </row>
    <row r="23">
      <c r="A23" s="5" t="inlineStr">
        <is>
          <t>2024-01-26</t>
        </is>
      </c>
      <c r="B23" s="28">
        <f>LN('②原始價格與FX'!B11/'②原始價格與FX'!B10)</f>
        <v/>
      </c>
      <c r="C23" s="28">
        <f>LN('②原始價格與FX'!C11/'②原始價格與FX'!C10)</f>
        <v/>
      </c>
      <c r="D23" s="28">
        <f>LN('②原始價格與FX'!D11/'②原始價格與FX'!D10)</f>
        <v/>
      </c>
      <c r="E23" s="28">
        <f>LN('②原始價格與FX'!G11/'②原始價格與FX'!G10)</f>
        <v/>
      </c>
      <c r="F23" s="28">
        <f>LN('②原始價格與FX'!H11/'②原始價格與FX'!H10)</f>
        <v/>
      </c>
      <c r="G23" s="28">
        <f>B23</f>
        <v/>
      </c>
      <c r="H23" s="29">
        <f>C23+E23</f>
        <v/>
      </c>
      <c r="I23" s="29">
        <f>D23+F23</f>
        <v/>
      </c>
      <c r="J23" s="31">
        <f>G23*'①基本設定'!$G$5+H23*'①基本設定'!$G$6+I23*'①基本設定'!$G$7</f>
        <v/>
      </c>
    </row>
    <row r="24">
      <c r="A24" s="5" t="inlineStr">
        <is>
          <t>2024-01-29</t>
        </is>
      </c>
      <c r="B24" s="28">
        <f>LN('②原始價格與FX'!B12/'②原始價格與FX'!B11)</f>
        <v/>
      </c>
      <c r="C24" s="28">
        <f>LN('②原始價格與FX'!C12/'②原始價格與FX'!C11)</f>
        <v/>
      </c>
      <c r="D24" s="28">
        <f>LN('②原始價格與FX'!D12/'②原始價格與FX'!D11)</f>
        <v/>
      </c>
      <c r="E24" s="28">
        <f>LN('②原始價格與FX'!G12/'②原始價格與FX'!G11)</f>
        <v/>
      </c>
      <c r="F24" s="28">
        <f>LN('②原始價格與FX'!H12/'②原始價格與FX'!H11)</f>
        <v/>
      </c>
      <c r="G24" s="28">
        <f>B24</f>
        <v/>
      </c>
      <c r="H24" s="29">
        <f>C24+E24</f>
        <v/>
      </c>
      <c r="I24" s="29">
        <f>D24+F24</f>
        <v/>
      </c>
      <c r="J24" s="31">
        <f>G24*'①基本設定'!$G$5+H24*'①基本設定'!$G$6+I24*'①基本設定'!$G$7</f>
        <v/>
      </c>
    </row>
    <row r="25">
      <c r="A25" s="5" t="inlineStr">
        <is>
          <t>2024-01-30</t>
        </is>
      </c>
      <c r="B25" s="28">
        <f>LN('②原始價格與FX'!B13/'②原始價格與FX'!B12)</f>
        <v/>
      </c>
      <c r="C25" s="28">
        <f>LN('②原始價格與FX'!C13/'②原始價格與FX'!C12)</f>
        <v/>
      </c>
      <c r="D25" s="28">
        <f>LN('②原始價格與FX'!D13/'②原始價格與FX'!D12)</f>
        <v/>
      </c>
      <c r="E25" s="28">
        <f>LN('②原始價格與FX'!G13/'②原始價格與FX'!G12)</f>
        <v/>
      </c>
      <c r="F25" s="28">
        <f>LN('②原始價格與FX'!H13/'②原始價格與FX'!H12)</f>
        <v/>
      </c>
      <c r="G25" s="28">
        <f>B25</f>
        <v/>
      </c>
      <c r="H25" s="29">
        <f>C25+E25</f>
        <v/>
      </c>
      <c r="I25" s="29">
        <f>D25+F25</f>
        <v/>
      </c>
      <c r="J25" s="30">
        <f>G25*'①基本設定'!$G$5+H25*'①基本設定'!$G$6+I25*'①基本設定'!$G$7</f>
        <v/>
      </c>
    </row>
    <row r="26">
      <c r="A26" s="5" t="inlineStr">
        <is>
          <t>2024-01-31</t>
        </is>
      </c>
      <c r="B26" s="28">
        <f>LN('②原始價格與FX'!B14/'②原始價格與FX'!B13)</f>
        <v/>
      </c>
      <c r="C26" s="28">
        <f>LN('②原始價格與FX'!C14/'②原始價格與FX'!C13)</f>
        <v/>
      </c>
      <c r="D26" s="28">
        <f>LN('②原始價格與FX'!D14/'②原始價格與FX'!D13)</f>
        <v/>
      </c>
      <c r="E26" s="28">
        <f>LN('②原始價格與FX'!G14/'②原始價格與FX'!G13)</f>
        <v/>
      </c>
      <c r="F26" s="28">
        <f>LN('②原始價格與FX'!H14/'②原始價格與FX'!H13)</f>
        <v/>
      </c>
      <c r="G26" s="28">
        <f>B26</f>
        <v/>
      </c>
      <c r="H26" s="29">
        <f>C26+E26</f>
        <v/>
      </c>
      <c r="I26" s="29">
        <f>D26+F26</f>
        <v/>
      </c>
      <c r="J26" s="30">
        <f>G26*'①基本設定'!$G$5+H26*'①基本設定'!$G$6+I26*'①基本設定'!$G$7</f>
        <v/>
      </c>
    </row>
    <row r="27">
      <c r="A27" s="5" t="inlineStr">
        <is>
          <t>2024-02-01</t>
        </is>
      </c>
      <c r="B27" s="28">
        <f>LN('②原始價格與FX'!B15/'②原始價格與FX'!B14)</f>
        <v/>
      </c>
      <c r="C27" s="28">
        <f>LN('②原始價格與FX'!C15/'②原始價格與FX'!C14)</f>
        <v/>
      </c>
      <c r="D27" s="28">
        <f>LN('②原始價格與FX'!D15/'②原始價格與FX'!D14)</f>
        <v/>
      </c>
      <c r="E27" s="28">
        <f>LN('②原始價格與FX'!G15/'②原始價格與FX'!G14)</f>
        <v/>
      </c>
      <c r="F27" s="28">
        <f>LN('②原始價格與FX'!H15/'②原始價格與FX'!H14)</f>
        <v/>
      </c>
      <c r="G27" s="28">
        <f>B27</f>
        <v/>
      </c>
      <c r="H27" s="29">
        <f>C27+E27</f>
        <v/>
      </c>
      <c r="I27" s="29">
        <f>D27+F27</f>
        <v/>
      </c>
      <c r="J27" s="30">
        <f>G27*'①基本設定'!$G$5+H27*'①基本設定'!$G$6+I27*'①基本設定'!$G$7</f>
        <v/>
      </c>
    </row>
    <row r="28">
      <c r="A28" s="5" t="inlineStr">
        <is>
          <t>2024-02-02</t>
        </is>
      </c>
      <c r="B28" s="28">
        <f>LN('②原始價格與FX'!B16/'②原始價格與FX'!B15)</f>
        <v/>
      </c>
      <c r="C28" s="28">
        <f>LN('②原始價格與FX'!C16/'②原始價格與FX'!C15)</f>
        <v/>
      </c>
      <c r="D28" s="28">
        <f>LN('②原始價格與FX'!D16/'②原始價格與FX'!D15)</f>
        <v/>
      </c>
      <c r="E28" s="28">
        <f>LN('②原始價格與FX'!G16/'②原始價格與FX'!G15)</f>
        <v/>
      </c>
      <c r="F28" s="28">
        <f>LN('②原始價格與FX'!H16/'②原始價格與FX'!H15)</f>
        <v/>
      </c>
      <c r="G28" s="28">
        <f>B28</f>
        <v/>
      </c>
      <c r="H28" s="29">
        <f>C28+E28</f>
        <v/>
      </c>
      <c r="I28" s="29">
        <f>D28+F28</f>
        <v/>
      </c>
      <c r="J28" s="31">
        <f>G28*'①基本設定'!$G$5+H28*'①基本設定'!$G$6+I28*'①基本設定'!$G$7</f>
        <v/>
      </c>
    </row>
    <row r="29">
      <c r="A29" s="5" t="inlineStr">
        <is>
          <t>2024-02-05</t>
        </is>
      </c>
      <c r="B29" s="28">
        <f>LN('②原始價格與FX'!B17/'②原始價格與FX'!B16)</f>
        <v/>
      </c>
      <c r="C29" s="28">
        <f>LN('②原始價格與FX'!C17/'②原始價格與FX'!C16)</f>
        <v/>
      </c>
      <c r="D29" s="28">
        <f>LN('②原始價格與FX'!D17/'②原始價格與FX'!D16)</f>
        <v/>
      </c>
      <c r="E29" s="28">
        <f>LN('②原始價格與FX'!G17/'②原始價格與FX'!G16)</f>
        <v/>
      </c>
      <c r="F29" s="28">
        <f>LN('②原始價格與FX'!H17/'②原始價格與FX'!H16)</f>
        <v/>
      </c>
      <c r="G29" s="28">
        <f>B29</f>
        <v/>
      </c>
      <c r="H29" s="29">
        <f>C29+E29</f>
        <v/>
      </c>
      <c r="I29" s="29">
        <f>D29+F29</f>
        <v/>
      </c>
      <c r="J29" s="31">
        <f>G29*'①基本設定'!$G$5+H29*'①基本設定'!$G$6+I29*'①基本設定'!$G$7</f>
        <v/>
      </c>
    </row>
    <row r="30">
      <c r="A30" s="5" t="inlineStr">
        <is>
          <t>2024-02-06</t>
        </is>
      </c>
      <c r="B30" s="28">
        <f>LN('②原始價格與FX'!B18/'②原始價格與FX'!B17)</f>
        <v/>
      </c>
      <c r="C30" s="28">
        <f>LN('②原始價格與FX'!C18/'②原始價格與FX'!C17)</f>
        <v/>
      </c>
      <c r="D30" s="28">
        <f>LN('②原始價格與FX'!D18/'②原始價格與FX'!D17)</f>
        <v/>
      </c>
      <c r="E30" s="28">
        <f>LN('②原始價格與FX'!G18/'②原始價格與FX'!G17)</f>
        <v/>
      </c>
      <c r="F30" s="28">
        <f>LN('②原始價格與FX'!H18/'②原始價格與FX'!H17)</f>
        <v/>
      </c>
      <c r="G30" s="28">
        <f>B30</f>
        <v/>
      </c>
      <c r="H30" s="29">
        <f>C30+E30</f>
        <v/>
      </c>
      <c r="I30" s="29">
        <f>D30+F30</f>
        <v/>
      </c>
      <c r="J30" s="31">
        <f>G30*'①基本設定'!$G$5+H30*'①基本設定'!$G$6+I30*'①基本設定'!$G$7</f>
        <v/>
      </c>
    </row>
    <row r="31">
      <c r="A31" s="5" t="inlineStr">
        <is>
          <t>2024-02-07</t>
        </is>
      </c>
      <c r="B31" s="28">
        <f>LN('②原始價格與FX'!B19/'②原始價格與FX'!B18)</f>
        <v/>
      </c>
      <c r="C31" s="28">
        <f>LN('②原始價格與FX'!C19/'②原始價格與FX'!C18)</f>
        <v/>
      </c>
      <c r="D31" s="28">
        <f>LN('②原始價格與FX'!D19/'②原始價格與FX'!D18)</f>
        <v/>
      </c>
      <c r="E31" s="28">
        <f>LN('②原始價格與FX'!G19/'②原始價格與FX'!G18)</f>
        <v/>
      </c>
      <c r="F31" s="28">
        <f>LN('②原始價格與FX'!H19/'②原始價格與FX'!H18)</f>
        <v/>
      </c>
      <c r="G31" s="28">
        <f>B31</f>
        <v/>
      </c>
      <c r="H31" s="29">
        <f>C31+E31</f>
        <v/>
      </c>
      <c r="I31" s="29">
        <f>D31+F31</f>
        <v/>
      </c>
      <c r="J31" s="30">
        <f>G31*'①基本設定'!$G$5+H31*'①基本設定'!$G$6+I31*'①基本設定'!$G$7</f>
        <v/>
      </c>
    </row>
    <row r="32">
      <c r="A32" s="5" t="inlineStr">
        <is>
          <t>2024-02-08</t>
        </is>
      </c>
      <c r="B32" s="28">
        <f>LN('②原始價格與FX'!B20/'②原始價格與FX'!B19)</f>
        <v/>
      </c>
      <c r="C32" s="28">
        <f>LN('②原始價格與FX'!C20/'②原始價格與FX'!C19)</f>
        <v/>
      </c>
      <c r="D32" s="28">
        <f>LN('②原始價格與FX'!D20/'②原始價格與FX'!D19)</f>
        <v/>
      </c>
      <c r="E32" s="28">
        <f>LN('②原始價格與FX'!G20/'②原始價格與FX'!G19)</f>
        <v/>
      </c>
      <c r="F32" s="28">
        <f>LN('②原始價格與FX'!H20/'②原始價格與FX'!H19)</f>
        <v/>
      </c>
      <c r="G32" s="28">
        <f>B32</f>
        <v/>
      </c>
      <c r="H32" s="29">
        <f>C32+E32</f>
        <v/>
      </c>
      <c r="I32" s="29">
        <f>D32+F32</f>
        <v/>
      </c>
      <c r="J32" s="31">
        <f>G32*'①基本設定'!$G$5+H32*'①基本設定'!$G$6+I32*'①基本設定'!$G$7</f>
        <v/>
      </c>
    </row>
    <row r="33">
      <c r="A33" s="5" t="inlineStr">
        <is>
          <t>2024-02-09</t>
        </is>
      </c>
      <c r="B33" s="28">
        <f>LN('②原始價格與FX'!B21/'②原始價格與FX'!B20)</f>
        <v/>
      </c>
      <c r="C33" s="28">
        <f>LN('②原始價格與FX'!C21/'②原始價格與FX'!C20)</f>
        <v/>
      </c>
      <c r="D33" s="28">
        <f>LN('②原始價格與FX'!D21/'②原始價格與FX'!D20)</f>
        <v/>
      </c>
      <c r="E33" s="28">
        <f>LN('②原始價格與FX'!G21/'②原始價格與FX'!G20)</f>
        <v/>
      </c>
      <c r="F33" s="28">
        <f>LN('②原始價格與FX'!H21/'②原始價格與FX'!H20)</f>
        <v/>
      </c>
      <c r="G33" s="28">
        <f>B33</f>
        <v/>
      </c>
      <c r="H33" s="29">
        <f>C33+E33</f>
        <v/>
      </c>
      <c r="I33" s="29">
        <f>D33+F33</f>
        <v/>
      </c>
      <c r="J33" s="31">
        <f>G33*'①基本設定'!$G$5+H33*'①基本設定'!$G$6+I33*'①基本設定'!$G$7</f>
        <v/>
      </c>
    </row>
    <row r="34">
      <c r="A34" s="5" t="inlineStr">
        <is>
          <t>2024-02-12</t>
        </is>
      </c>
      <c r="B34" s="28">
        <f>LN('②原始價格與FX'!B22/'②原始價格與FX'!B21)</f>
        <v/>
      </c>
      <c r="C34" s="28">
        <f>LN('②原始價格與FX'!C22/'②原始價格與FX'!C21)</f>
        <v/>
      </c>
      <c r="D34" s="28">
        <f>LN('②原始價格與FX'!D22/'②原始價格與FX'!D21)</f>
        <v/>
      </c>
      <c r="E34" s="28">
        <f>LN('②原始價格與FX'!G22/'②原始價格與FX'!G21)</f>
        <v/>
      </c>
      <c r="F34" s="28">
        <f>LN('②原始價格與FX'!H22/'②原始價格與FX'!H21)</f>
        <v/>
      </c>
      <c r="G34" s="28">
        <f>B34</f>
        <v/>
      </c>
      <c r="H34" s="29">
        <f>C34+E34</f>
        <v/>
      </c>
      <c r="I34" s="29">
        <f>D34+F34</f>
        <v/>
      </c>
      <c r="J34" s="30">
        <f>G34*'①基本設定'!$G$5+H34*'①基本設定'!$G$6+I34*'①基本設定'!$G$7</f>
        <v/>
      </c>
    </row>
    <row r="35">
      <c r="A35" s="5" t="inlineStr">
        <is>
          <t>2024-02-13</t>
        </is>
      </c>
      <c r="B35" s="28">
        <f>LN('②原始價格與FX'!B23/'②原始價格與FX'!B22)</f>
        <v/>
      </c>
      <c r="C35" s="28">
        <f>LN('②原始價格與FX'!C23/'②原始價格與FX'!C22)</f>
        <v/>
      </c>
      <c r="D35" s="28">
        <f>LN('②原始價格與FX'!D23/'②原始價格與FX'!D22)</f>
        <v/>
      </c>
      <c r="E35" s="28">
        <f>LN('②原始價格與FX'!G23/'②原始價格與FX'!G22)</f>
        <v/>
      </c>
      <c r="F35" s="28">
        <f>LN('②原始價格與FX'!H23/'②原始價格與FX'!H22)</f>
        <v/>
      </c>
      <c r="G35" s="28">
        <f>B35</f>
        <v/>
      </c>
      <c r="H35" s="29">
        <f>C35+E35</f>
        <v/>
      </c>
      <c r="I35" s="29">
        <f>D35+F35</f>
        <v/>
      </c>
      <c r="J35" s="30">
        <f>G35*'①基本設定'!$G$5+H35*'①基本設定'!$G$6+I35*'①基本設定'!$G$7</f>
        <v/>
      </c>
    </row>
    <row r="36">
      <c r="A36" s="5" t="inlineStr">
        <is>
          <t>2024-02-14</t>
        </is>
      </c>
      <c r="B36" s="28">
        <f>LN('②原始價格與FX'!B24/'②原始價格與FX'!B23)</f>
        <v/>
      </c>
      <c r="C36" s="28">
        <f>LN('②原始價格與FX'!C24/'②原始價格與FX'!C23)</f>
        <v/>
      </c>
      <c r="D36" s="28">
        <f>LN('②原始價格與FX'!D24/'②原始價格與FX'!D23)</f>
        <v/>
      </c>
      <c r="E36" s="28">
        <f>LN('②原始價格與FX'!G24/'②原始價格與FX'!G23)</f>
        <v/>
      </c>
      <c r="F36" s="28">
        <f>LN('②原始價格與FX'!H24/'②原始價格與FX'!H23)</f>
        <v/>
      </c>
      <c r="G36" s="28">
        <f>B36</f>
        <v/>
      </c>
      <c r="H36" s="29">
        <f>C36+E36</f>
        <v/>
      </c>
      <c r="I36" s="29">
        <f>D36+F36</f>
        <v/>
      </c>
      <c r="J36" s="31">
        <f>G36*'①基本設定'!$G$5+H36*'①基本設定'!$G$6+I36*'①基本設定'!$G$7</f>
        <v/>
      </c>
    </row>
    <row r="37">
      <c r="A37" s="5" t="inlineStr">
        <is>
          <t>2024-02-15</t>
        </is>
      </c>
      <c r="B37" s="28">
        <f>LN('②原始價格與FX'!B25/'②原始價格與FX'!B24)</f>
        <v/>
      </c>
      <c r="C37" s="28">
        <f>LN('②原始價格與FX'!C25/'②原始價格與FX'!C24)</f>
        <v/>
      </c>
      <c r="D37" s="28">
        <f>LN('②原始價格與FX'!D25/'②原始價格與FX'!D24)</f>
        <v/>
      </c>
      <c r="E37" s="28">
        <f>LN('②原始價格與FX'!G25/'②原始價格與FX'!G24)</f>
        <v/>
      </c>
      <c r="F37" s="28">
        <f>LN('②原始價格與FX'!H25/'②原始價格與FX'!H24)</f>
        <v/>
      </c>
      <c r="G37" s="28">
        <f>B37</f>
        <v/>
      </c>
      <c r="H37" s="29">
        <f>C37+E37</f>
        <v/>
      </c>
      <c r="I37" s="29">
        <f>D37+F37</f>
        <v/>
      </c>
      <c r="J37" s="31">
        <f>G37*'①基本設定'!$G$5+H37*'①基本設定'!$G$6+I37*'①基本設定'!$G$7</f>
        <v/>
      </c>
    </row>
    <row r="38">
      <c r="A38" s="5" t="inlineStr">
        <is>
          <t>2024-02-16</t>
        </is>
      </c>
      <c r="B38" s="28">
        <f>LN('②原始價格與FX'!B26/'②原始價格與FX'!B25)</f>
        <v/>
      </c>
      <c r="C38" s="28">
        <f>LN('②原始價格與FX'!C26/'②原始價格與FX'!C25)</f>
        <v/>
      </c>
      <c r="D38" s="28">
        <f>LN('②原始價格與FX'!D26/'②原始價格與FX'!D25)</f>
        <v/>
      </c>
      <c r="E38" s="28">
        <f>LN('②原始價格與FX'!G26/'②原始價格與FX'!G25)</f>
        <v/>
      </c>
      <c r="F38" s="28">
        <f>LN('②原始價格與FX'!H26/'②原始價格與FX'!H25)</f>
        <v/>
      </c>
      <c r="G38" s="28">
        <f>B38</f>
        <v/>
      </c>
      <c r="H38" s="29">
        <f>C38+E38</f>
        <v/>
      </c>
      <c r="I38" s="29">
        <f>D38+F38</f>
        <v/>
      </c>
      <c r="J38" s="30">
        <f>G38*'①基本設定'!$G$5+H38*'①基本設定'!$G$6+I38*'①基本設定'!$G$7</f>
        <v/>
      </c>
    </row>
    <row r="39">
      <c r="A39" s="5" t="inlineStr">
        <is>
          <t>2024-02-19</t>
        </is>
      </c>
      <c r="B39" s="28">
        <f>LN('②原始價格與FX'!B27/'②原始價格與FX'!B26)</f>
        <v/>
      </c>
      <c r="C39" s="28">
        <f>LN('②原始價格與FX'!C27/'②原始價格與FX'!C26)</f>
        <v/>
      </c>
      <c r="D39" s="28">
        <f>LN('②原始價格與FX'!D27/'②原始價格與FX'!D26)</f>
        <v/>
      </c>
      <c r="E39" s="28">
        <f>LN('②原始價格與FX'!G27/'②原始價格與FX'!G26)</f>
        <v/>
      </c>
      <c r="F39" s="28">
        <f>LN('②原始價格與FX'!H27/'②原始價格與FX'!H26)</f>
        <v/>
      </c>
      <c r="G39" s="28">
        <f>B39</f>
        <v/>
      </c>
      <c r="H39" s="29">
        <f>C39+E39</f>
        <v/>
      </c>
      <c r="I39" s="29">
        <f>D39+F39</f>
        <v/>
      </c>
      <c r="J39" s="31">
        <f>G39*'①基本設定'!$G$5+H39*'①基本設定'!$G$6+I39*'①基本設定'!$G$7</f>
        <v/>
      </c>
    </row>
    <row r="40">
      <c r="A40" s="5" t="inlineStr">
        <is>
          <t>2024-02-20</t>
        </is>
      </c>
      <c r="B40" s="28">
        <f>LN('②原始價格與FX'!B28/'②原始價格與FX'!B27)</f>
        <v/>
      </c>
      <c r="C40" s="28">
        <f>LN('②原始價格與FX'!C28/'②原始價格與FX'!C27)</f>
        <v/>
      </c>
      <c r="D40" s="28">
        <f>LN('②原始價格與FX'!D28/'②原始價格與FX'!D27)</f>
        <v/>
      </c>
      <c r="E40" s="28">
        <f>LN('②原始價格與FX'!G28/'②原始價格與FX'!G27)</f>
        <v/>
      </c>
      <c r="F40" s="28">
        <f>LN('②原始價格與FX'!H28/'②原始價格與FX'!H27)</f>
        <v/>
      </c>
      <c r="G40" s="28">
        <f>B40</f>
        <v/>
      </c>
      <c r="H40" s="29">
        <f>C40+E40</f>
        <v/>
      </c>
      <c r="I40" s="29">
        <f>D40+F40</f>
        <v/>
      </c>
      <c r="J40" s="30">
        <f>G40*'①基本設定'!$G$5+H40*'①基本設定'!$G$6+I40*'①基本設定'!$G$7</f>
        <v/>
      </c>
    </row>
    <row r="41">
      <c r="A41" s="5" t="inlineStr">
        <is>
          <t>2024-02-21</t>
        </is>
      </c>
      <c r="B41" s="28">
        <f>LN('②原始價格與FX'!B29/'②原始價格與FX'!B28)</f>
        <v/>
      </c>
      <c r="C41" s="28">
        <f>LN('②原始價格與FX'!C29/'②原始價格與FX'!C28)</f>
        <v/>
      </c>
      <c r="D41" s="28">
        <f>LN('②原始價格與FX'!D29/'②原始價格與FX'!D28)</f>
        <v/>
      </c>
      <c r="E41" s="28">
        <f>LN('②原始價格與FX'!G29/'②原始價格與FX'!G28)</f>
        <v/>
      </c>
      <c r="F41" s="28">
        <f>LN('②原始價格與FX'!H29/'②原始價格與FX'!H28)</f>
        <v/>
      </c>
      <c r="G41" s="28">
        <f>B41</f>
        <v/>
      </c>
      <c r="H41" s="29">
        <f>C41+E41</f>
        <v/>
      </c>
      <c r="I41" s="29">
        <f>D41+F41</f>
        <v/>
      </c>
      <c r="J41" s="30">
        <f>G41*'①基本設定'!$G$5+H41*'①基本設定'!$G$6+I41*'①基本設定'!$G$7</f>
        <v/>
      </c>
    </row>
    <row r="42">
      <c r="A42" s="5" t="inlineStr">
        <is>
          <t>2024-02-22</t>
        </is>
      </c>
      <c r="B42" s="28">
        <f>LN('②原始價格與FX'!B30/'②原始價格與FX'!B29)</f>
        <v/>
      </c>
      <c r="C42" s="28">
        <f>LN('②原始價格與FX'!C30/'②原始價格與FX'!C29)</f>
        <v/>
      </c>
      <c r="D42" s="28">
        <f>LN('②原始價格與FX'!D30/'②原始價格與FX'!D29)</f>
        <v/>
      </c>
      <c r="E42" s="28">
        <f>LN('②原始價格與FX'!G30/'②原始價格與FX'!G29)</f>
        <v/>
      </c>
      <c r="F42" s="28">
        <f>LN('②原始價格與FX'!H30/'②原始價格與FX'!H29)</f>
        <v/>
      </c>
      <c r="G42" s="28">
        <f>B42</f>
        <v/>
      </c>
      <c r="H42" s="29">
        <f>C42+E42</f>
        <v/>
      </c>
      <c r="I42" s="29">
        <f>D42+F42</f>
        <v/>
      </c>
      <c r="J42" s="31">
        <f>G42*'①基本設定'!$G$5+H42*'①基本設定'!$G$6+I42*'①基本設定'!$G$7</f>
        <v/>
      </c>
    </row>
    <row r="43">
      <c r="A43" s="5" t="inlineStr">
        <is>
          <t>2024-02-23</t>
        </is>
      </c>
      <c r="B43" s="28">
        <f>LN('②原始價格與FX'!B31/'②原始價格與FX'!B30)</f>
        <v/>
      </c>
      <c r="C43" s="28">
        <f>LN('②原始價格與FX'!C31/'②原始價格與FX'!C30)</f>
        <v/>
      </c>
      <c r="D43" s="28">
        <f>LN('②原始價格與FX'!D31/'②原始價格與FX'!D30)</f>
        <v/>
      </c>
      <c r="E43" s="28">
        <f>LN('②原始價格與FX'!G31/'②原始價格與FX'!G30)</f>
        <v/>
      </c>
      <c r="F43" s="28">
        <f>LN('②原始價格與FX'!H31/'②原始價格與FX'!H30)</f>
        <v/>
      </c>
      <c r="G43" s="28">
        <f>B43</f>
        <v/>
      </c>
      <c r="H43" s="29">
        <f>C43+E43</f>
        <v/>
      </c>
      <c r="I43" s="29">
        <f>D43+F43</f>
        <v/>
      </c>
      <c r="J43" s="30">
        <f>G43*'①基本設定'!$G$5+H43*'①基本設定'!$G$6+I43*'①基本設定'!$G$7</f>
        <v/>
      </c>
    </row>
    <row r="44">
      <c r="A44" s="5" t="inlineStr">
        <is>
          <t>2024-02-26</t>
        </is>
      </c>
      <c r="B44" s="28">
        <f>LN('②原始價格與FX'!B32/'②原始價格與FX'!B31)</f>
        <v/>
      </c>
      <c r="C44" s="28">
        <f>LN('②原始價格與FX'!C32/'②原始價格與FX'!C31)</f>
        <v/>
      </c>
      <c r="D44" s="28">
        <f>LN('②原始價格與FX'!D32/'②原始價格與FX'!D31)</f>
        <v/>
      </c>
      <c r="E44" s="28">
        <f>LN('②原始價格與FX'!G32/'②原始價格與FX'!G31)</f>
        <v/>
      </c>
      <c r="F44" s="28">
        <f>LN('②原始價格與FX'!H32/'②原始價格與FX'!H31)</f>
        <v/>
      </c>
      <c r="G44" s="28">
        <f>B44</f>
        <v/>
      </c>
      <c r="H44" s="29">
        <f>C44+E44</f>
        <v/>
      </c>
      <c r="I44" s="29">
        <f>D44+F44</f>
        <v/>
      </c>
      <c r="J44" s="30">
        <f>G44*'①基本設定'!$G$5+H44*'①基本設定'!$G$6+I44*'①基本設定'!$G$7</f>
        <v/>
      </c>
    </row>
    <row r="45">
      <c r="A45" s="5" t="inlineStr">
        <is>
          <t>2024-02-27</t>
        </is>
      </c>
      <c r="B45" s="28">
        <f>LN('②原始價格與FX'!B33/'②原始價格與FX'!B32)</f>
        <v/>
      </c>
      <c r="C45" s="28">
        <f>LN('②原始價格與FX'!C33/'②原始價格與FX'!C32)</f>
        <v/>
      </c>
      <c r="D45" s="28">
        <f>LN('②原始價格與FX'!D33/'②原始價格與FX'!D32)</f>
        <v/>
      </c>
      <c r="E45" s="28">
        <f>LN('②原始價格與FX'!G33/'②原始價格與FX'!G32)</f>
        <v/>
      </c>
      <c r="F45" s="28">
        <f>LN('②原始價格與FX'!H33/'②原始價格與FX'!H32)</f>
        <v/>
      </c>
      <c r="G45" s="28">
        <f>B45</f>
        <v/>
      </c>
      <c r="H45" s="29">
        <f>C45+E45</f>
        <v/>
      </c>
      <c r="I45" s="29">
        <f>D45+F45</f>
        <v/>
      </c>
      <c r="J45" s="30">
        <f>G45*'①基本設定'!$G$5+H45*'①基本設定'!$G$6+I45*'①基本設定'!$G$7</f>
        <v/>
      </c>
    </row>
    <row r="46">
      <c r="A46" s="5" t="inlineStr">
        <is>
          <t>2024-02-28</t>
        </is>
      </c>
      <c r="B46" s="28">
        <f>LN('②原始價格與FX'!B34/'②原始價格與FX'!B33)</f>
        <v/>
      </c>
      <c r="C46" s="28">
        <f>LN('②原始價格與FX'!C34/'②原始價格與FX'!C33)</f>
        <v/>
      </c>
      <c r="D46" s="28">
        <f>LN('②原始價格與FX'!D34/'②原始價格與FX'!D33)</f>
        <v/>
      </c>
      <c r="E46" s="28">
        <f>LN('②原始價格與FX'!G34/'②原始價格與FX'!G33)</f>
        <v/>
      </c>
      <c r="F46" s="28">
        <f>LN('②原始價格與FX'!H34/'②原始價格與FX'!H33)</f>
        <v/>
      </c>
      <c r="G46" s="28">
        <f>B46</f>
        <v/>
      </c>
      <c r="H46" s="29">
        <f>C46+E46</f>
        <v/>
      </c>
      <c r="I46" s="29">
        <f>D46+F46</f>
        <v/>
      </c>
      <c r="J46" s="30">
        <f>G46*'①基本設定'!$G$5+H46*'①基本設定'!$G$6+I46*'①基本設定'!$G$7</f>
        <v/>
      </c>
    </row>
    <row r="47">
      <c r="A47" s="5" t="inlineStr">
        <is>
          <t>2024-02-29</t>
        </is>
      </c>
      <c r="B47" s="28">
        <f>LN('②原始價格與FX'!B35/'②原始價格與FX'!B34)</f>
        <v/>
      </c>
      <c r="C47" s="28">
        <f>LN('②原始價格與FX'!C35/'②原始價格與FX'!C34)</f>
        <v/>
      </c>
      <c r="D47" s="28">
        <f>LN('②原始價格與FX'!D35/'②原始價格與FX'!D34)</f>
        <v/>
      </c>
      <c r="E47" s="28">
        <f>LN('②原始價格與FX'!G35/'②原始價格與FX'!G34)</f>
        <v/>
      </c>
      <c r="F47" s="28">
        <f>LN('②原始價格與FX'!H35/'②原始價格與FX'!H34)</f>
        <v/>
      </c>
      <c r="G47" s="28">
        <f>B47</f>
        <v/>
      </c>
      <c r="H47" s="29">
        <f>C47+E47</f>
        <v/>
      </c>
      <c r="I47" s="29">
        <f>D47+F47</f>
        <v/>
      </c>
      <c r="J47" s="31">
        <f>G47*'①基本設定'!$G$5+H47*'①基本設定'!$G$6+I47*'①基本設定'!$G$7</f>
        <v/>
      </c>
    </row>
    <row r="48">
      <c r="A48" s="5" t="inlineStr">
        <is>
          <t>2024-03-01</t>
        </is>
      </c>
      <c r="B48" s="28">
        <f>LN('②原始價格與FX'!B36/'②原始價格與FX'!B35)</f>
        <v/>
      </c>
      <c r="C48" s="28">
        <f>LN('②原始價格與FX'!C36/'②原始價格與FX'!C35)</f>
        <v/>
      </c>
      <c r="D48" s="28">
        <f>LN('②原始價格與FX'!D36/'②原始價格與FX'!D35)</f>
        <v/>
      </c>
      <c r="E48" s="28">
        <f>LN('②原始價格與FX'!G36/'②原始價格與FX'!G35)</f>
        <v/>
      </c>
      <c r="F48" s="28">
        <f>LN('②原始價格與FX'!H36/'②原始價格與FX'!H35)</f>
        <v/>
      </c>
      <c r="G48" s="28">
        <f>B48</f>
        <v/>
      </c>
      <c r="H48" s="29">
        <f>C48+E48</f>
        <v/>
      </c>
      <c r="I48" s="29">
        <f>D48+F48</f>
        <v/>
      </c>
      <c r="J48" s="30">
        <f>G48*'①基本設定'!$G$5+H48*'①基本設定'!$G$6+I48*'①基本設定'!$G$7</f>
        <v/>
      </c>
    </row>
    <row r="49">
      <c r="A49" s="5" t="inlineStr">
        <is>
          <t>2024-03-04</t>
        </is>
      </c>
      <c r="B49" s="28">
        <f>LN('②原始價格與FX'!B37/'②原始價格與FX'!B36)</f>
        <v/>
      </c>
      <c r="C49" s="28">
        <f>LN('②原始價格與FX'!C37/'②原始價格與FX'!C36)</f>
        <v/>
      </c>
      <c r="D49" s="28">
        <f>LN('②原始價格與FX'!D37/'②原始價格與FX'!D36)</f>
        <v/>
      </c>
      <c r="E49" s="28">
        <f>LN('②原始價格與FX'!G37/'②原始價格與FX'!G36)</f>
        <v/>
      </c>
      <c r="F49" s="28">
        <f>LN('②原始價格與FX'!H37/'②原始價格與FX'!H36)</f>
        <v/>
      </c>
      <c r="G49" s="28">
        <f>B49</f>
        <v/>
      </c>
      <c r="H49" s="29">
        <f>C49+E49</f>
        <v/>
      </c>
      <c r="I49" s="29">
        <f>D49+F49</f>
        <v/>
      </c>
      <c r="J49" s="31">
        <f>G49*'①基本設定'!$G$5+H49*'①基本設定'!$G$6+I49*'①基本設定'!$G$7</f>
        <v/>
      </c>
    </row>
    <row r="50">
      <c r="A50" s="5" t="inlineStr">
        <is>
          <t>2024-03-05</t>
        </is>
      </c>
      <c r="B50" s="28">
        <f>LN('②原始價格與FX'!B38/'②原始價格與FX'!B37)</f>
        <v/>
      </c>
      <c r="C50" s="28">
        <f>LN('②原始價格與FX'!C38/'②原始價格與FX'!C37)</f>
        <v/>
      </c>
      <c r="D50" s="28">
        <f>LN('②原始價格與FX'!D38/'②原始價格與FX'!D37)</f>
        <v/>
      </c>
      <c r="E50" s="28">
        <f>LN('②原始價格與FX'!G38/'②原始價格與FX'!G37)</f>
        <v/>
      </c>
      <c r="F50" s="28">
        <f>LN('②原始價格與FX'!H38/'②原始價格與FX'!H37)</f>
        <v/>
      </c>
      <c r="G50" s="28">
        <f>B50</f>
        <v/>
      </c>
      <c r="H50" s="29">
        <f>C50+E50</f>
        <v/>
      </c>
      <c r="I50" s="29">
        <f>D50+F50</f>
        <v/>
      </c>
      <c r="J50" s="31">
        <f>G50*'①基本設定'!$G$5+H50*'①基本設定'!$G$6+I50*'①基本設定'!$G$7</f>
        <v/>
      </c>
    </row>
    <row r="51">
      <c r="A51" s="5" t="inlineStr">
        <is>
          <t>2024-03-06</t>
        </is>
      </c>
      <c r="B51" s="28">
        <f>LN('②原始價格與FX'!B39/'②原始價格與FX'!B38)</f>
        <v/>
      </c>
      <c r="C51" s="28">
        <f>LN('②原始價格與FX'!C39/'②原始價格與FX'!C38)</f>
        <v/>
      </c>
      <c r="D51" s="28">
        <f>LN('②原始價格與FX'!D39/'②原始價格與FX'!D38)</f>
        <v/>
      </c>
      <c r="E51" s="28">
        <f>LN('②原始價格與FX'!G39/'②原始價格與FX'!G38)</f>
        <v/>
      </c>
      <c r="F51" s="28">
        <f>LN('②原始價格與FX'!H39/'②原始價格與FX'!H38)</f>
        <v/>
      </c>
      <c r="G51" s="28">
        <f>B51</f>
        <v/>
      </c>
      <c r="H51" s="29">
        <f>C51+E51</f>
        <v/>
      </c>
      <c r="I51" s="29">
        <f>D51+F51</f>
        <v/>
      </c>
      <c r="J51" s="30">
        <f>G51*'①基本設定'!$G$5+H51*'①基本設定'!$G$6+I51*'①基本設定'!$G$7</f>
        <v/>
      </c>
    </row>
    <row r="52">
      <c r="A52" s="5" t="inlineStr">
        <is>
          <t>2024-03-07</t>
        </is>
      </c>
      <c r="B52" s="28">
        <f>LN('②原始價格與FX'!B40/'②原始價格與FX'!B39)</f>
        <v/>
      </c>
      <c r="C52" s="28">
        <f>LN('②原始價格與FX'!C40/'②原始價格與FX'!C39)</f>
        <v/>
      </c>
      <c r="D52" s="28">
        <f>LN('②原始價格與FX'!D40/'②原始價格與FX'!D39)</f>
        <v/>
      </c>
      <c r="E52" s="28">
        <f>LN('②原始價格與FX'!G40/'②原始價格與FX'!G39)</f>
        <v/>
      </c>
      <c r="F52" s="28">
        <f>LN('②原始價格與FX'!H40/'②原始價格與FX'!H39)</f>
        <v/>
      </c>
      <c r="G52" s="28">
        <f>B52</f>
        <v/>
      </c>
      <c r="H52" s="29">
        <f>C52+E52</f>
        <v/>
      </c>
      <c r="I52" s="29">
        <f>D52+F52</f>
        <v/>
      </c>
      <c r="J52" s="30">
        <f>G52*'①基本設定'!$G$5+H52*'①基本設定'!$G$6+I52*'①基本設定'!$G$7</f>
        <v/>
      </c>
    </row>
    <row r="53">
      <c r="A53" s="5" t="inlineStr">
        <is>
          <t>2024-03-08</t>
        </is>
      </c>
      <c r="B53" s="28">
        <f>LN('②原始價格與FX'!B41/'②原始價格與FX'!B40)</f>
        <v/>
      </c>
      <c r="C53" s="28">
        <f>LN('②原始價格與FX'!C41/'②原始價格與FX'!C40)</f>
        <v/>
      </c>
      <c r="D53" s="28">
        <f>LN('②原始價格與FX'!D41/'②原始價格與FX'!D40)</f>
        <v/>
      </c>
      <c r="E53" s="28">
        <f>LN('②原始價格與FX'!G41/'②原始價格與FX'!G40)</f>
        <v/>
      </c>
      <c r="F53" s="28">
        <f>LN('②原始價格與FX'!H41/'②原始價格與FX'!H40)</f>
        <v/>
      </c>
      <c r="G53" s="28">
        <f>B53</f>
        <v/>
      </c>
      <c r="H53" s="29">
        <f>C53+E53</f>
        <v/>
      </c>
      <c r="I53" s="29">
        <f>D53+F53</f>
        <v/>
      </c>
      <c r="J53" s="31">
        <f>G53*'①基本設定'!$G$5+H53*'①基本設定'!$G$6+I53*'①基本設定'!$G$7</f>
        <v/>
      </c>
    </row>
    <row r="54">
      <c r="A54" s="5" t="inlineStr">
        <is>
          <t>2024-03-11</t>
        </is>
      </c>
      <c r="B54" s="28">
        <f>LN('②原始價格與FX'!B42/'②原始價格與FX'!B41)</f>
        <v/>
      </c>
      <c r="C54" s="28">
        <f>LN('②原始價格與FX'!C42/'②原始價格與FX'!C41)</f>
        <v/>
      </c>
      <c r="D54" s="28">
        <f>LN('②原始價格與FX'!D42/'②原始價格與FX'!D41)</f>
        <v/>
      </c>
      <c r="E54" s="28">
        <f>LN('②原始價格與FX'!G42/'②原始價格與FX'!G41)</f>
        <v/>
      </c>
      <c r="F54" s="28">
        <f>LN('②原始價格與FX'!H42/'②原始價格與FX'!H41)</f>
        <v/>
      </c>
      <c r="G54" s="28">
        <f>B54</f>
        <v/>
      </c>
      <c r="H54" s="29">
        <f>C54+E54</f>
        <v/>
      </c>
      <c r="I54" s="29">
        <f>D54+F54</f>
        <v/>
      </c>
      <c r="J54" s="30">
        <f>G54*'①基本設定'!$G$5+H54*'①基本設定'!$G$6+I54*'①基本設定'!$G$7</f>
        <v/>
      </c>
    </row>
    <row r="55">
      <c r="A55" s="5" t="inlineStr">
        <is>
          <t>2024-03-12</t>
        </is>
      </c>
      <c r="B55" s="28">
        <f>LN('②原始價格與FX'!B43/'②原始價格與FX'!B42)</f>
        <v/>
      </c>
      <c r="C55" s="28">
        <f>LN('②原始價格與FX'!C43/'②原始價格與FX'!C42)</f>
        <v/>
      </c>
      <c r="D55" s="28">
        <f>LN('②原始價格與FX'!D43/'②原始價格與FX'!D42)</f>
        <v/>
      </c>
      <c r="E55" s="28">
        <f>LN('②原始價格與FX'!G43/'②原始價格與FX'!G42)</f>
        <v/>
      </c>
      <c r="F55" s="28">
        <f>LN('②原始價格與FX'!H43/'②原始價格與FX'!H42)</f>
        <v/>
      </c>
      <c r="G55" s="28">
        <f>B55</f>
        <v/>
      </c>
      <c r="H55" s="29">
        <f>C55+E55</f>
        <v/>
      </c>
      <c r="I55" s="29">
        <f>D55+F55</f>
        <v/>
      </c>
      <c r="J55" s="31">
        <f>G55*'①基本設定'!$G$5+H55*'①基本設定'!$G$6+I55*'①基本設定'!$G$7</f>
        <v/>
      </c>
    </row>
    <row r="56">
      <c r="A56" s="5" t="inlineStr">
        <is>
          <t>2024-03-13</t>
        </is>
      </c>
      <c r="B56" s="28">
        <f>LN('②原始價格與FX'!B44/'②原始價格與FX'!B43)</f>
        <v/>
      </c>
      <c r="C56" s="28">
        <f>LN('②原始價格與FX'!C44/'②原始價格與FX'!C43)</f>
        <v/>
      </c>
      <c r="D56" s="28">
        <f>LN('②原始價格與FX'!D44/'②原始價格與FX'!D43)</f>
        <v/>
      </c>
      <c r="E56" s="28">
        <f>LN('②原始價格與FX'!G44/'②原始價格與FX'!G43)</f>
        <v/>
      </c>
      <c r="F56" s="28">
        <f>LN('②原始價格與FX'!H44/'②原始價格與FX'!H43)</f>
        <v/>
      </c>
      <c r="G56" s="28">
        <f>B56</f>
        <v/>
      </c>
      <c r="H56" s="29">
        <f>C56+E56</f>
        <v/>
      </c>
      <c r="I56" s="29">
        <f>D56+F56</f>
        <v/>
      </c>
      <c r="J56" s="30">
        <f>G56*'①基本設定'!$G$5+H56*'①基本設定'!$G$6+I56*'①基本設定'!$G$7</f>
        <v/>
      </c>
    </row>
    <row r="57">
      <c r="A57" s="5" t="inlineStr">
        <is>
          <t>2024-03-14</t>
        </is>
      </c>
      <c r="B57" s="28">
        <f>LN('②原始價格與FX'!B45/'②原始價格與FX'!B44)</f>
        <v/>
      </c>
      <c r="C57" s="28">
        <f>LN('②原始價格與FX'!C45/'②原始價格與FX'!C44)</f>
        <v/>
      </c>
      <c r="D57" s="28">
        <f>LN('②原始價格與FX'!D45/'②原始價格與FX'!D44)</f>
        <v/>
      </c>
      <c r="E57" s="28">
        <f>LN('②原始價格與FX'!G45/'②原始價格與FX'!G44)</f>
        <v/>
      </c>
      <c r="F57" s="28">
        <f>LN('②原始價格與FX'!H45/'②原始價格與FX'!H44)</f>
        <v/>
      </c>
      <c r="G57" s="28">
        <f>B57</f>
        <v/>
      </c>
      <c r="H57" s="29">
        <f>C57+E57</f>
        <v/>
      </c>
      <c r="I57" s="29">
        <f>D57+F57</f>
        <v/>
      </c>
      <c r="J57" s="31">
        <f>G57*'①基本設定'!$G$5+H57*'①基本設定'!$G$6+I57*'①基本設定'!$G$7</f>
        <v/>
      </c>
    </row>
    <row r="58">
      <c r="A58" s="5" t="inlineStr">
        <is>
          <t>2024-03-15</t>
        </is>
      </c>
      <c r="B58" s="28">
        <f>LN('②原始價格與FX'!B46/'②原始價格與FX'!B45)</f>
        <v/>
      </c>
      <c r="C58" s="28">
        <f>LN('②原始價格與FX'!C46/'②原始價格與FX'!C45)</f>
        <v/>
      </c>
      <c r="D58" s="28">
        <f>LN('②原始價格與FX'!D46/'②原始價格與FX'!D45)</f>
        <v/>
      </c>
      <c r="E58" s="28">
        <f>LN('②原始價格與FX'!G46/'②原始價格與FX'!G45)</f>
        <v/>
      </c>
      <c r="F58" s="28">
        <f>LN('②原始價格與FX'!H46/'②原始價格與FX'!H45)</f>
        <v/>
      </c>
      <c r="G58" s="28">
        <f>B58</f>
        <v/>
      </c>
      <c r="H58" s="29">
        <f>C58+E58</f>
        <v/>
      </c>
      <c r="I58" s="29">
        <f>D58+F58</f>
        <v/>
      </c>
      <c r="J58" s="31">
        <f>G58*'①基本設定'!$G$5+H58*'①基本設定'!$G$6+I58*'①基本設定'!$G$7</f>
        <v/>
      </c>
    </row>
    <row r="59">
      <c r="A59" s="5" t="inlineStr">
        <is>
          <t>2024-03-18</t>
        </is>
      </c>
      <c r="B59" s="28">
        <f>LN('②原始價格與FX'!B47/'②原始價格與FX'!B46)</f>
        <v/>
      </c>
      <c r="C59" s="28">
        <f>LN('②原始價格與FX'!C47/'②原始價格與FX'!C46)</f>
        <v/>
      </c>
      <c r="D59" s="28">
        <f>LN('②原始價格與FX'!D47/'②原始價格與FX'!D46)</f>
        <v/>
      </c>
      <c r="E59" s="28">
        <f>LN('②原始價格與FX'!G47/'②原始價格與FX'!G46)</f>
        <v/>
      </c>
      <c r="F59" s="28">
        <f>LN('②原始價格與FX'!H47/'②原始價格與FX'!H46)</f>
        <v/>
      </c>
      <c r="G59" s="28">
        <f>B59</f>
        <v/>
      </c>
      <c r="H59" s="29">
        <f>C59+E59</f>
        <v/>
      </c>
      <c r="I59" s="29">
        <f>D59+F59</f>
        <v/>
      </c>
      <c r="J59" s="30">
        <f>G59*'①基本設定'!$G$5+H59*'①基本設定'!$G$6+I59*'①基本設定'!$G$7</f>
        <v/>
      </c>
    </row>
    <row r="60">
      <c r="A60" s="5" t="inlineStr">
        <is>
          <t>2024-03-19</t>
        </is>
      </c>
      <c r="B60" s="28">
        <f>LN('②原始價格與FX'!B48/'②原始價格與FX'!B47)</f>
        <v/>
      </c>
      <c r="C60" s="28">
        <f>LN('②原始價格與FX'!C48/'②原始價格與FX'!C47)</f>
        <v/>
      </c>
      <c r="D60" s="28">
        <f>LN('②原始價格與FX'!D48/'②原始價格與FX'!D47)</f>
        <v/>
      </c>
      <c r="E60" s="28">
        <f>LN('②原始價格與FX'!G48/'②原始價格與FX'!G47)</f>
        <v/>
      </c>
      <c r="F60" s="28">
        <f>LN('②原始價格與FX'!H48/'②原始價格與FX'!H47)</f>
        <v/>
      </c>
      <c r="G60" s="28">
        <f>B60</f>
        <v/>
      </c>
      <c r="H60" s="29">
        <f>C60+E60</f>
        <v/>
      </c>
      <c r="I60" s="29">
        <f>D60+F60</f>
        <v/>
      </c>
      <c r="J60" s="31">
        <f>G60*'①基本設定'!$G$5+H60*'①基本設定'!$G$6+I60*'①基本設定'!$G$7</f>
        <v/>
      </c>
    </row>
    <row r="61">
      <c r="A61" s="5" t="inlineStr">
        <is>
          <t>2024-03-20</t>
        </is>
      </c>
      <c r="B61" s="28">
        <f>LN('②原始價格與FX'!B49/'②原始價格與FX'!B48)</f>
        <v/>
      </c>
      <c r="C61" s="28">
        <f>LN('②原始價格與FX'!C49/'②原始價格與FX'!C48)</f>
        <v/>
      </c>
      <c r="D61" s="28">
        <f>LN('②原始價格與FX'!D49/'②原始價格與FX'!D48)</f>
        <v/>
      </c>
      <c r="E61" s="28">
        <f>LN('②原始價格與FX'!G49/'②原始價格與FX'!G48)</f>
        <v/>
      </c>
      <c r="F61" s="28">
        <f>LN('②原始價格與FX'!H49/'②原始價格與FX'!H48)</f>
        <v/>
      </c>
      <c r="G61" s="28">
        <f>B61</f>
        <v/>
      </c>
      <c r="H61" s="29">
        <f>C61+E61</f>
        <v/>
      </c>
      <c r="I61" s="29">
        <f>D61+F61</f>
        <v/>
      </c>
      <c r="J61" s="31">
        <f>G61*'①基本設定'!$G$5+H61*'①基本設定'!$G$6+I61*'①基本設定'!$G$7</f>
        <v/>
      </c>
    </row>
    <row r="62">
      <c r="A62" s="5" t="inlineStr">
        <is>
          <t>2024-03-21</t>
        </is>
      </c>
      <c r="B62" s="28">
        <f>LN('②原始價格與FX'!B50/'②原始價格與FX'!B49)</f>
        <v/>
      </c>
      <c r="C62" s="28">
        <f>LN('②原始價格與FX'!C50/'②原始價格與FX'!C49)</f>
        <v/>
      </c>
      <c r="D62" s="28">
        <f>LN('②原始價格與FX'!D50/'②原始價格與FX'!D49)</f>
        <v/>
      </c>
      <c r="E62" s="28">
        <f>LN('②原始價格與FX'!G50/'②原始價格與FX'!G49)</f>
        <v/>
      </c>
      <c r="F62" s="28">
        <f>LN('②原始價格與FX'!H50/'②原始價格與FX'!H49)</f>
        <v/>
      </c>
      <c r="G62" s="28">
        <f>B62</f>
        <v/>
      </c>
      <c r="H62" s="29">
        <f>C62+E62</f>
        <v/>
      </c>
      <c r="I62" s="29">
        <f>D62+F62</f>
        <v/>
      </c>
      <c r="J62" s="30">
        <f>G62*'①基本設定'!$G$5+H62*'①基本設定'!$G$6+I62*'①基本設定'!$G$7</f>
        <v/>
      </c>
    </row>
    <row r="63">
      <c r="A63" s="5" t="inlineStr">
        <is>
          <t>2024-03-22</t>
        </is>
      </c>
      <c r="B63" s="28">
        <f>LN('②原始價格與FX'!B51/'②原始價格與FX'!B50)</f>
        <v/>
      </c>
      <c r="C63" s="28">
        <f>LN('②原始價格與FX'!C51/'②原始價格與FX'!C50)</f>
        <v/>
      </c>
      <c r="D63" s="28">
        <f>LN('②原始價格與FX'!D51/'②原始價格與FX'!D50)</f>
        <v/>
      </c>
      <c r="E63" s="28">
        <f>LN('②原始價格與FX'!G51/'②原始價格與FX'!G50)</f>
        <v/>
      </c>
      <c r="F63" s="28">
        <f>LN('②原始價格與FX'!H51/'②原始價格與FX'!H50)</f>
        <v/>
      </c>
      <c r="G63" s="28">
        <f>B63</f>
        <v/>
      </c>
      <c r="H63" s="29">
        <f>C63+E63</f>
        <v/>
      </c>
      <c r="I63" s="29">
        <f>D63+F63</f>
        <v/>
      </c>
      <c r="J63" s="30">
        <f>G63*'①基本設定'!$G$5+H63*'①基本設定'!$G$6+I63*'①基本設定'!$G$7</f>
        <v/>
      </c>
    </row>
    <row r="64">
      <c r="A64" s="5" t="inlineStr">
        <is>
          <t>2024-03-25</t>
        </is>
      </c>
      <c r="B64" s="28">
        <f>LN('②原始價格與FX'!B52/'②原始價格與FX'!B51)</f>
        <v/>
      </c>
      <c r="C64" s="28">
        <f>LN('②原始價格與FX'!C52/'②原始價格與FX'!C51)</f>
        <v/>
      </c>
      <c r="D64" s="28">
        <f>LN('②原始價格與FX'!D52/'②原始價格與FX'!D51)</f>
        <v/>
      </c>
      <c r="E64" s="28">
        <f>LN('②原始價格與FX'!G52/'②原始價格與FX'!G51)</f>
        <v/>
      </c>
      <c r="F64" s="28">
        <f>LN('②原始價格與FX'!H52/'②原始價格與FX'!H51)</f>
        <v/>
      </c>
      <c r="G64" s="28">
        <f>B64</f>
        <v/>
      </c>
      <c r="H64" s="29">
        <f>C64+E64</f>
        <v/>
      </c>
      <c r="I64" s="29">
        <f>D64+F64</f>
        <v/>
      </c>
      <c r="J64" s="31">
        <f>G64*'①基本設定'!$G$5+H64*'①基本設定'!$G$6+I64*'①基本設定'!$G$7</f>
        <v/>
      </c>
    </row>
    <row r="65">
      <c r="A65" s="5" t="inlineStr">
        <is>
          <t>2024-03-26</t>
        </is>
      </c>
      <c r="B65" s="28">
        <f>LN('②原始價格與FX'!B53/'②原始價格與FX'!B52)</f>
        <v/>
      </c>
      <c r="C65" s="28">
        <f>LN('②原始價格與FX'!C53/'②原始價格與FX'!C52)</f>
        <v/>
      </c>
      <c r="D65" s="28">
        <f>LN('②原始價格與FX'!D53/'②原始價格與FX'!D52)</f>
        <v/>
      </c>
      <c r="E65" s="28">
        <f>LN('②原始價格與FX'!G53/'②原始價格與FX'!G52)</f>
        <v/>
      </c>
      <c r="F65" s="28">
        <f>LN('②原始價格與FX'!H53/'②原始價格與FX'!H52)</f>
        <v/>
      </c>
      <c r="G65" s="28">
        <f>B65</f>
        <v/>
      </c>
      <c r="H65" s="29">
        <f>C65+E65</f>
        <v/>
      </c>
      <c r="I65" s="29">
        <f>D65+F65</f>
        <v/>
      </c>
      <c r="J65" s="30">
        <f>G65*'①基本設定'!$G$5+H65*'①基本設定'!$G$6+I65*'①基本設定'!$G$7</f>
        <v/>
      </c>
    </row>
    <row r="66">
      <c r="A66" s="5" t="inlineStr">
        <is>
          <t>2024-03-27</t>
        </is>
      </c>
      <c r="B66" s="28">
        <f>LN('②原始價格與FX'!B54/'②原始價格與FX'!B53)</f>
        <v/>
      </c>
      <c r="C66" s="28">
        <f>LN('②原始價格與FX'!C54/'②原始價格與FX'!C53)</f>
        <v/>
      </c>
      <c r="D66" s="28">
        <f>LN('②原始價格與FX'!D54/'②原始價格與FX'!D53)</f>
        <v/>
      </c>
      <c r="E66" s="28">
        <f>LN('②原始價格與FX'!G54/'②原始價格與FX'!G53)</f>
        <v/>
      </c>
      <c r="F66" s="28">
        <f>LN('②原始價格與FX'!H54/'②原始價格與FX'!H53)</f>
        <v/>
      </c>
      <c r="G66" s="28">
        <f>B66</f>
        <v/>
      </c>
      <c r="H66" s="29">
        <f>C66+E66</f>
        <v/>
      </c>
      <c r="I66" s="29">
        <f>D66+F66</f>
        <v/>
      </c>
      <c r="J66" s="31">
        <f>G66*'①基本設定'!$G$5+H66*'①基本設定'!$G$6+I66*'①基本設定'!$G$7</f>
        <v/>
      </c>
    </row>
    <row r="67">
      <c r="A67" s="5" t="inlineStr">
        <is>
          <t>2024-03-28</t>
        </is>
      </c>
      <c r="B67" s="28">
        <f>LN('②原始價格與FX'!B55/'②原始價格與FX'!B54)</f>
        <v/>
      </c>
      <c r="C67" s="28">
        <f>LN('②原始價格與FX'!C55/'②原始價格與FX'!C54)</f>
        <v/>
      </c>
      <c r="D67" s="28">
        <f>LN('②原始價格與FX'!D55/'②原始價格與FX'!D54)</f>
        <v/>
      </c>
      <c r="E67" s="28">
        <f>LN('②原始價格與FX'!G55/'②原始價格與FX'!G54)</f>
        <v/>
      </c>
      <c r="F67" s="28">
        <f>LN('②原始價格與FX'!H55/'②原始價格與FX'!H54)</f>
        <v/>
      </c>
      <c r="G67" s="28">
        <f>B67</f>
        <v/>
      </c>
      <c r="H67" s="29">
        <f>C67+E67</f>
        <v/>
      </c>
      <c r="I67" s="29">
        <f>D67+F67</f>
        <v/>
      </c>
      <c r="J67" s="30">
        <f>G67*'①基本設定'!$G$5+H67*'①基本設定'!$G$6+I67*'①基本設定'!$G$7</f>
        <v/>
      </c>
    </row>
    <row r="68">
      <c r="A68" s="5" t="inlineStr">
        <is>
          <t>2024-03-29</t>
        </is>
      </c>
      <c r="B68" s="28">
        <f>LN('②原始價格與FX'!B56/'②原始價格與FX'!B55)</f>
        <v/>
      </c>
      <c r="C68" s="28">
        <f>LN('②原始價格與FX'!C56/'②原始價格與FX'!C55)</f>
        <v/>
      </c>
      <c r="D68" s="28">
        <f>LN('②原始價格與FX'!D56/'②原始價格與FX'!D55)</f>
        <v/>
      </c>
      <c r="E68" s="28">
        <f>LN('②原始價格與FX'!G56/'②原始價格與FX'!G55)</f>
        <v/>
      </c>
      <c r="F68" s="28">
        <f>LN('②原始價格與FX'!H56/'②原始價格與FX'!H55)</f>
        <v/>
      </c>
      <c r="G68" s="28">
        <f>B68</f>
        <v/>
      </c>
      <c r="H68" s="29">
        <f>C68+E68</f>
        <v/>
      </c>
      <c r="I68" s="29">
        <f>D68+F68</f>
        <v/>
      </c>
      <c r="J68" s="30">
        <f>G68*'①基本設定'!$G$5+H68*'①基本設定'!$G$6+I68*'①基本設定'!$G$7</f>
        <v/>
      </c>
    </row>
    <row r="69">
      <c r="A69" s="5" t="inlineStr">
        <is>
          <t>2024-04-01</t>
        </is>
      </c>
      <c r="B69" s="28">
        <f>LN('②原始價格與FX'!B57/'②原始價格與FX'!B56)</f>
        <v/>
      </c>
      <c r="C69" s="28">
        <f>LN('②原始價格與FX'!C57/'②原始價格與FX'!C56)</f>
        <v/>
      </c>
      <c r="D69" s="28">
        <f>LN('②原始價格與FX'!D57/'②原始價格與FX'!D56)</f>
        <v/>
      </c>
      <c r="E69" s="28">
        <f>LN('②原始價格與FX'!G57/'②原始價格與FX'!G56)</f>
        <v/>
      </c>
      <c r="F69" s="28">
        <f>LN('②原始價格與FX'!H57/'②原始價格與FX'!H56)</f>
        <v/>
      </c>
      <c r="G69" s="28">
        <f>B69</f>
        <v/>
      </c>
      <c r="H69" s="29">
        <f>C69+E69</f>
        <v/>
      </c>
      <c r="I69" s="29">
        <f>D69+F69</f>
        <v/>
      </c>
      <c r="J69" s="30">
        <f>G69*'①基本設定'!$G$5+H69*'①基本設定'!$G$6+I69*'①基本設定'!$G$7</f>
        <v/>
      </c>
    </row>
    <row r="70">
      <c r="A70" s="5" t="inlineStr">
        <is>
          <t>2024-04-02</t>
        </is>
      </c>
      <c r="B70" s="28">
        <f>LN('②原始價格與FX'!B58/'②原始價格與FX'!B57)</f>
        <v/>
      </c>
      <c r="C70" s="28">
        <f>LN('②原始價格與FX'!C58/'②原始價格與FX'!C57)</f>
        <v/>
      </c>
      <c r="D70" s="28">
        <f>LN('②原始價格與FX'!D58/'②原始價格與FX'!D57)</f>
        <v/>
      </c>
      <c r="E70" s="28">
        <f>LN('②原始價格與FX'!G58/'②原始價格與FX'!G57)</f>
        <v/>
      </c>
      <c r="F70" s="28">
        <f>LN('②原始價格與FX'!H58/'②原始價格與FX'!H57)</f>
        <v/>
      </c>
      <c r="G70" s="28">
        <f>B70</f>
        <v/>
      </c>
      <c r="H70" s="29">
        <f>C70+E70</f>
        <v/>
      </c>
      <c r="I70" s="29">
        <f>D70+F70</f>
        <v/>
      </c>
      <c r="J70" s="30">
        <f>G70*'①基本設定'!$G$5+H70*'①基本設定'!$G$6+I70*'①基本設定'!$G$7</f>
        <v/>
      </c>
    </row>
    <row r="71">
      <c r="A71" s="5" t="inlineStr">
        <is>
          <t>2024-04-03</t>
        </is>
      </c>
      <c r="B71" s="28">
        <f>LN('②原始價格與FX'!B59/'②原始價格與FX'!B58)</f>
        <v/>
      </c>
      <c r="C71" s="28">
        <f>LN('②原始價格與FX'!C59/'②原始價格與FX'!C58)</f>
        <v/>
      </c>
      <c r="D71" s="28">
        <f>LN('②原始價格與FX'!D59/'②原始價格與FX'!D58)</f>
        <v/>
      </c>
      <c r="E71" s="28">
        <f>LN('②原始價格與FX'!G59/'②原始價格與FX'!G58)</f>
        <v/>
      </c>
      <c r="F71" s="28">
        <f>LN('②原始價格與FX'!H59/'②原始價格與FX'!H58)</f>
        <v/>
      </c>
      <c r="G71" s="28">
        <f>B71</f>
        <v/>
      </c>
      <c r="H71" s="29">
        <f>C71+E71</f>
        <v/>
      </c>
      <c r="I71" s="29">
        <f>D71+F71</f>
        <v/>
      </c>
      <c r="J71" s="31">
        <f>G71*'①基本設定'!$G$5+H71*'①基本設定'!$G$6+I71*'①基本設定'!$G$7</f>
        <v/>
      </c>
    </row>
    <row r="72">
      <c r="A72" s="5" t="inlineStr">
        <is>
          <t>2024-04-04</t>
        </is>
      </c>
      <c r="B72" s="28">
        <f>LN('②原始價格與FX'!B60/'②原始價格與FX'!B59)</f>
        <v/>
      </c>
      <c r="C72" s="28">
        <f>LN('②原始價格與FX'!C60/'②原始價格與FX'!C59)</f>
        <v/>
      </c>
      <c r="D72" s="28">
        <f>LN('②原始價格與FX'!D60/'②原始價格與FX'!D59)</f>
        <v/>
      </c>
      <c r="E72" s="28">
        <f>LN('②原始價格與FX'!G60/'②原始價格與FX'!G59)</f>
        <v/>
      </c>
      <c r="F72" s="28">
        <f>LN('②原始價格與FX'!H60/'②原始價格與FX'!H59)</f>
        <v/>
      </c>
      <c r="G72" s="28">
        <f>B72</f>
        <v/>
      </c>
      <c r="H72" s="29">
        <f>C72+E72</f>
        <v/>
      </c>
      <c r="I72" s="29">
        <f>D72+F72</f>
        <v/>
      </c>
      <c r="J72" s="31">
        <f>G72*'①基本設定'!$G$5+H72*'①基本設定'!$G$6+I72*'①基本設定'!$G$7</f>
        <v/>
      </c>
    </row>
    <row r="73">
      <c r="A73" s="5" t="inlineStr">
        <is>
          <t>2024-04-05</t>
        </is>
      </c>
      <c r="B73" s="28">
        <f>LN('②原始價格與FX'!B61/'②原始價格與FX'!B60)</f>
        <v/>
      </c>
      <c r="C73" s="28">
        <f>LN('②原始價格與FX'!C61/'②原始價格與FX'!C60)</f>
        <v/>
      </c>
      <c r="D73" s="28">
        <f>LN('②原始價格與FX'!D61/'②原始價格與FX'!D60)</f>
        <v/>
      </c>
      <c r="E73" s="28">
        <f>LN('②原始價格與FX'!G61/'②原始價格與FX'!G60)</f>
        <v/>
      </c>
      <c r="F73" s="28">
        <f>LN('②原始價格與FX'!H61/'②原始價格與FX'!H60)</f>
        <v/>
      </c>
      <c r="G73" s="28">
        <f>B73</f>
        <v/>
      </c>
      <c r="H73" s="29">
        <f>C73+E73</f>
        <v/>
      </c>
      <c r="I73" s="29">
        <f>D73+F73</f>
        <v/>
      </c>
      <c r="J73" s="30">
        <f>G73*'①基本設定'!$G$5+H73*'①基本設定'!$G$6+I73*'①基本設定'!$G$7</f>
        <v/>
      </c>
    </row>
    <row r="74">
      <c r="A74" s="5" t="inlineStr">
        <is>
          <t>2024-04-08</t>
        </is>
      </c>
      <c r="B74" s="28">
        <f>LN('②原始價格與FX'!B62/'②原始價格與FX'!B61)</f>
        <v/>
      </c>
      <c r="C74" s="28">
        <f>LN('②原始價格與FX'!C62/'②原始價格與FX'!C61)</f>
        <v/>
      </c>
      <c r="D74" s="28">
        <f>LN('②原始價格與FX'!D62/'②原始價格與FX'!D61)</f>
        <v/>
      </c>
      <c r="E74" s="28">
        <f>LN('②原始價格與FX'!G62/'②原始價格與FX'!G61)</f>
        <v/>
      </c>
      <c r="F74" s="28">
        <f>LN('②原始價格與FX'!H62/'②原始價格與FX'!H61)</f>
        <v/>
      </c>
      <c r="G74" s="28">
        <f>B74</f>
        <v/>
      </c>
      <c r="H74" s="29">
        <f>C74+E74</f>
        <v/>
      </c>
      <c r="I74" s="29">
        <f>D74+F74</f>
        <v/>
      </c>
      <c r="J74" s="31">
        <f>G74*'①基本設定'!$G$5+H74*'①基本設定'!$G$6+I74*'①基本設定'!$G$7</f>
        <v/>
      </c>
    </row>
    <row r="75">
      <c r="A75" s="5" t="inlineStr">
        <is>
          <t>2024-04-09</t>
        </is>
      </c>
      <c r="B75" s="28">
        <f>LN('②原始價格與FX'!B63/'②原始價格與FX'!B62)</f>
        <v/>
      </c>
      <c r="C75" s="28">
        <f>LN('②原始價格與FX'!C63/'②原始價格與FX'!C62)</f>
        <v/>
      </c>
      <c r="D75" s="28">
        <f>LN('②原始價格與FX'!D63/'②原始價格與FX'!D62)</f>
        <v/>
      </c>
      <c r="E75" s="28">
        <f>LN('②原始價格與FX'!G63/'②原始價格與FX'!G62)</f>
        <v/>
      </c>
      <c r="F75" s="28">
        <f>LN('②原始價格與FX'!H63/'②原始價格與FX'!H62)</f>
        <v/>
      </c>
      <c r="G75" s="28">
        <f>B75</f>
        <v/>
      </c>
      <c r="H75" s="29">
        <f>C75+E75</f>
        <v/>
      </c>
      <c r="I75" s="29">
        <f>D75+F75</f>
        <v/>
      </c>
      <c r="J75" s="31">
        <f>G75*'①基本設定'!$G$5+H75*'①基本設定'!$G$6+I75*'①基本設定'!$G$7</f>
        <v/>
      </c>
    </row>
    <row r="76">
      <c r="A76" s="5" t="inlineStr">
        <is>
          <t>2024-04-10</t>
        </is>
      </c>
      <c r="B76" s="28">
        <f>LN('②原始價格與FX'!B64/'②原始價格與FX'!B63)</f>
        <v/>
      </c>
      <c r="C76" s="28">
        <f>LN('②原始價格與FX'!C64/'②原始價格與FX'!C63)</f>
        <v/>
      </c>
      <c r="D76" s="28">
        <f>LN('②原始價格與FX'!D64/'②原始價格與FX'!D63)</f>
        <v/>
      </c>
      <c r="E76" s="28">
        <f>LN('②原始價格與FX'!G64/'②原始價格與FX'!G63)</f>
        <v/>
      </c>
      <c r="F76" s="28">
        <f>LN('②原始價格與FX'!H64/'②原始價格與FX'!H63)</f>
        <v/>
      </c>
      <c r="G76" s="28">
        <f>B76</f>
        <v/>
      </c>
      <c r="H76" s="29">
        <f>C76+E76</f>
        <v/>
      </c>
      <c r="I76" s="29">
        <f>D76+F76</f>
        <v/>
      </c>
      <c r="J76" s="31">
        <f>G76*'①基本設定'!$G$5+H76*'①基本設定'!$G$6+I76*'①基本設定'!$G$7</f>
        <v/>
      </c>
    </row>
    <row r="77">
      <c r="A77" s="5" t="inlineStr">
        <is>
          <t>2024-04-11</t>
        </is>
      </c>
      <c r="B77" s="28">
        <f>LN('②原始價格與FX'!B65/'②原始價格與FX'!B64)</f>
        <v/>
      </c>
      <c r="C77" s="28">
        <f>LN('②原始價格與FX'!C65/'②原始價格與FX'!C64)</f>
        <v/>
      </c>
      <c r="D77" s="28">
        <f>LN('②原始價格與FX'!D65/'②原始價格與FX'!D64)</f>
        <v/>
      </c>
      <c r="E77" s="28">
        <f>LN('②原始價格與FX'!G65/'②原始價格與FX'!G64)</f>
        <v/>
      </c>
      <c r="F77" s="28">
        <f>LN('②原始價格與FX'!H65/'②原始價格與FX'!H64)</f>
        <v/>
      </c>
      <c r="G77" s="28">
        <f>B77</f>
        <v/>
      </c>
      <c r="H77" s="29">
        <f>C77+E77</f>
        <v/>
      </c>
      <c r="I77" s="29">
        <f>D77+F77</f>
        <v/>
      </c>
      <c r="J77" s="30">
        <f>G77*'①基本設定'!$G$5+H77*'①基本設定'!$G$6+I77*'①基本設定'!$G$7</f>
        <v/>
      </c>
    </row>
    <row r="78">
      <c r="A78" s="5" t="inlineStr">
        <is>
          <t>2024-04-12</t>
        </is>
      </c>
      <c r="B78" s="28">
        <f>LN('②原始價格與FX'!B66/'②原始價格與FX'!B65)</f>
        <v/>
      </c>
      <c r="C78" s="28">
        <f>LN('②原始價格與FX'!C66/'②原始價格與FX'!C65)</f>
        <v/>
      </c>
      <c r="D78" s="28">
        <f>LN('②原始價格與FX'!D66/'②原始價格與FX'!D65)</f>
        <v/>
      </c>
      <c r="E78" s="28">
        <f>LN('②原始價格與FX'!G66/'②原始價格與FX'!G65)</f>
        <v/>
      </c>
      <c r="F78" s="28">
        <f>LN('②原始價格與FX'!H66/'②原始價格與FX'!H65)</f>
        <v/>
      </c>
      <c r="G78" s="28">
        <f>B78</f>
        <v/>
      </c>
      <c r="H78" s="29">
        <f>C78+E78</f>
        <v/>
      </c>
      <c r="I78" s="29">
        <f>D78+F78</f>
        <v/>
      </c>
      <c r="J78" s="30">
        <f>G78*'①基本設定'!$G$5+H78*'①基本設定'!$G$6+I78*'①基本設定'!$G$7</f>
        <v/>
      </c>
    </row>
    <row r="79">
      <c r="A79" s="5" t="inlineStr">
        <is>
          <t>2024-04-15</t>
        </is>
      </c>
      <c r="B79" s="28">
        <f>LN('②原始價格與FX'!B67/'②原始價格與FX'!B66)</f>
        <v/>
      </c>
      <c r="C79" s="28">
        <f>LN('②原始價格與FX'!C67/'②原始價格與FX'!C66)</f>
        <v/>
      </c>
      <c r="D79" s="28">
        <f>LN('②原始價格與FX'!D67/'②原始價格與FX'!D66)</f>
        <v/>
      </c>
      <c r="E79" s="28">
        <f>LN('②原始價格與FX'!G67/'②原始價格與FX'!G66)</f>
        <v/>
      </c>
      <c r="F79" s="28">
        <f>LN('②原始價格與FX'!H67/'②原始價格與FX'!H66)</f>
        <v/>
      </c>
      <c r="G79" s="28">
        <f>B79</f>
        <v/>
      </c>
      <c r="H79" s="29">
        <f>C79+E79</f>
        <v/>
      </c>
      <c r="I79" s="29">
        <f>D79+F79</f>
        <v/>
      </c>
      <c r="J79" s="30">
        <f>G79*'①基本設定'!$G$5+H79*'①基本設定'!$G$6+I79*'①基本設定'!$G$7</f>
        <v/>
      </c>
    </row>
    <row r="80">
      <c r="A80" s="5" t="inlineStr">
        <is>
          <t>2024-04-16</t>
        </is>
      </c>
      <c r="B80" s="28">
        <f>LN('②原始價格與FX'!B68/'②原始價格與FX'!B67)</f>
        <v/>
      </c>
      <c r="C80" s="28">
        <f>LN('②原始價格與FX'!C68/'②原始價格與FX'!C67)</f>
        <v/>
      </c>
      <c r="D80" s="28">
        <f>LN('②原始價格與FX'!D68/'②原始價格與FX'!D67)</f>
        <v/>
      </c>
      <c r="E80" s="28">
        <f>LN('②原始價格與FX'!G68/'②原始價格與FX'!G67)</f>
        <v/>
      </c>
      <c r="F80" s="28">
        <f>LN('②原始價格與FX'!H68/'②原始價格與FX'!H67)</f>
        <v/>
      </c>
      <c r="G80" s="28">
        <f>B80</f>
        <v/>
      </c>
      <c r="H80" s="29">
        <f>C80+E80</f>
        <v/>
      </c>
      <c r="I80" s="29">
        <f>D80+F80</f>
        <v/>
      </c>
      <c r="J80" s="30">
        <f>G80*'①基本設定'!$G$5+H80*'①基本設定'!$G$6+I80*'①基本設定'!$G$7</f>
        <v/>
      </c>
    </row>
    <row r="81">
      <c r="A81" s="5" t="inlineStr">
        <is>
          <t>2024-04-17</t>
        </is>
      </c>
      <c r="B81" s="28">
        <f>LN('②原始價格與FX'!B69/'②原始價格與FX'!B68)</f>
        <v/>
      </c>
      <c r="C81" s="28">
        <f>LN('②原始價格與FX'!C69/'②原始價格與FX'!C68)</f>
        <v/>
      </c>
      <c r="D81" s="28">
        <f>LN('②原始價格與FX'!D69/'②原始價格與FX'!D68)</f>
        <v/>
      </c>
      <c r="E81" s="28">
        <f>LN('②原始價格與FX'!G69/'②原始價格與FX'!G68)</f>
        <v/>
      </c>
      <c r="F81" s="28">
        <f>LN('②原始價格與FX'!H69/'②原始價格與FX'!H68)</f>
        <v/>
      </c>
      <c r="G81" s="28">
        <f>B81</f>
        <v/>
      </c>
      <c r="H81" s="29">
        <f>C81+E81</f>
        <v/>
      </c>
      <c r="I81" s="29">
        <f>D81+F81</f>
        <v/>
      </c>
      <c r="J81" s="31">
        <f>G81*'①基本設定'!$G$5+H81*'①基本設定'!$G$6+I81*'①基本設定'!$G$7</f>
        <v/>
      </c>
    </row>
    <row r="82">
      <c r="A82" s="5" t="inlineStr">
        <is>
          <t>2024-04-18</t>
        </is>
      </c>
      <c r="B82" s="28">
        <f>LN('②原始價格與FX'!B70/'②原始價格與FX'!B69)</f>
        <v/>
      </c>
      <c r="C82" s="28">
        <f>LN('②原始價格與FX'!C70/'②原始價格與FX'!C69)</f>
        <v/>
      </c>
      <c r="D82" s="28">
        <f>LN('②原始價格與FX'!D70/'②原始價格與FX'!D69)</f>
        <v/>
      </c>
      <c r="E82" s="28">
        <f>LN('②原始價格與FX'!G70/'②原始價格與FX'!G69)</f>
        <v/>
      </c>
      <c r="F82" s="28">
        <f>LN('②原始價格與FX'!H70/'②原始價格與FX'!H69)</f>
        <v/>
      </c>
      <c r="G82" s="28">
        <f>B82</f>
        <v/>
      </c>
      <c r="H82" s="29">
        <f>C82+E82</f>
        <v/>
      </c>
      <c r="I82" s="29">
        <f>D82+F82</f>
        <v/>
      </c>
      <c r="J82" s="31">
        <f>G82*'①基本設定'!$G$5+H82*'①基本設定'!$G$6+I82*'①基本設定'!$G$7</f>
        <v/>
      </c>
    </row>
    <row r="83">
      <c r="A83" s="5" t="inlineStr">
        <is>
          <t>2024-04-19</t>
        </is>
      </c>
      <c r="B83" s="28">
        <f>LN('②原始價格與FX'!B71/'②原始價格與FX'!B70)</f>
        <v/>
      </c>
      <c r="C83" s="28">
        <f>LN('②原始價格與FX'!C71/'②原始價格與FX'!C70)</f>
        <v/>
      </c>
      <c r="D83" s="28">
        <f>LN('②原始價格與FX'!D71/'②原始價格與FX'!D70)</f>
        <v/>
      </c>
      <c r="E83" s="28">
        <f>LN('②原始價格與FX'!G71/'②原始價格與FX'!G70)</f>
        <v/>
      </c>
      <c r="F83" s="28">
        <f>LN('②原始價格與FX'!H71/'②原始價格與FX'!H70)</f>
        <v/>
      </c>
      <c r="G83" s="28">
        <f>B83</f>
        <v/>
      </c>
      <c r="H83" s="29">
        <f>C83+E83</f>
        <v/>
      </c>
      <c r="I83" s="29">
        <f>D83+F83</f>
        <v/>
      </c>
      <c r="J83" s="31">
        <f>G83*'①基本設定'!$G$5+H83*'①基本設定'!$G$6+I83*'①基本設定'!$G$7</f>
        <v/>
      </c>
    </row>
    <row r="84">
      <c r="A84" s="5" t="inlineStr">
        <is>
          <t>2024-04-22</t>
        </is>
      </c>
      <c r="B84" s="28">
        <f>LN('②原始價格與FX'!B72/'②原始價格與FX'!B71)</f>
        <v/>
      </c>
      <c r="C84" s="28">
        <f>LN('②原始價格與FX'!C72/'②原始價格與FX'!C71)</f>
        <v/>
      </c>
      <c r="D84" s="28">
        <f>LN('②原始價格與FX'!D72/'②原始價格與FX'!D71)</f>
        <v/>
      </c>
      <c r="E84" s="28">
        <f>LN('②原始價格與FX'!G72/'②原始價格與FX'!G71)</f>
        <v/>
      </c>
      <c r="F84" s="28">
        <f>LN('②原始價格與FX'!H72/'②原始價格與FX'!H71)</f>
        <v/>
      </c>
      <c r="G84" s="28">
        <f>B84</f>
        <v/>
      </c>
      <c r="H84" s="29">
        <f>C84+E84</f>
        <v/>
      </c>
      <c r="I84" s="29">
        <f>D84+F84</f>
        <v/>
      </c>
      <c r="J84" s="30">
        <f>G84*'①基本設定'!$G$5+H84*'①基本設定'!$G$6+I84*'①基本設定'!$G$7</f>
        <v/>
      </c>
    </row>
    <row r="85">
      <c r="A85" s="5" t="inlineStr">
        <is>
          <t>2024-04-23</t>
        </is>
      </c>
      <c r="B85" s="28">
        <f>LN('②原始價格與FX'!B73/'②原始價格與FX'!B72)</f>
        <v/>
      </c>
      <c r="C85" s="28">
        <f>LN('②原始價格與FX'!C73/'②原始價格與FX'!C72)</f>
        <v/>
      </c>
      <c r="D85" s="28">
        <f>LN('②原始價格與FX'!D73/'②原始價格與FX'!D72)</f>
        <v/>
      </c>
      <c r="E85" s="28">
        <f>LN('②原始價格與FX'!G73/'②原始價格與FX'!G72)</f>
        <v/>
      </c>
      <c r="F85" s="28">
        <f>LN('②原始價格與FX'!H73/'②原始價格與FX'!H72)</f>
        <v/>
      </c>
      <c r="G85" s="28">
        <f>B85</f>
        <v/>
      </c>
      <c r="H85" s="29">
        <f>C85+E85</f>
        <v/>
      </c>
      <c r="I85" s="29">
        <f>D85+F85</f>
        <v/>
      </c>
      <c r="J85" s="30">
        <f>G85*'①基本設定'!$G$5+H85*'①基本設定'!$G$6+I85*'①基本設定'!$G$7</f>
        <v/>
      </c>
    </row>
    <row r="86">
      <c r="A86" s="5" t="inlineStr">
        <is>
          <t>2024-04-24</t>
        </is>
      </c>
      <c r="B86" s="28">
        <f>LN('②原始價格與FX'!B74/'②原始價格與FX'!B73)</f>
        <v/>
      </c>
      <c r="C86" s="28">
        <f>LN('②原始價格與FX'!C74/'②原始價格與FX'!C73)</f>
        <v/>
      </c>
      <c r="D86" s="28">
        <f>LN('②原始價格與FX'!D74/'②原始價格與FX'!D73)</f>
        <v/>
      </c>
      <c r="E86" s="28">
        <f>LN('②原始價格與FX'!G74/'②原始價格與FX'!G73)</f>
        <v/>
      </c>
      <c r="F86" s="28">
        <f>LN('②原始價格與FX'!H74/'②原始價格與FX'!H73)</f>
        <v/>
      </c>
      <c r="G86" s="28">
        <f>B86</f>
        <v/>
      </c>
      <c r="H86" s="29">
        <f>C86+E86</f>
        <v/>
      </c>
      <c r="I86" s="29">
        <f>D86+F86</f>
        <v/>
      </c>
      <c r="J86" s="31">
        <f>G86*'①基本設定'!$G$5+H86*'①基本設定'!$G$6+I86*'①基本設定'!$G$7</f>
        <v/>
      </c>
    </row>
    <row r="87">
      <c r="A87" s="5" t="inlineStr">
        <is>
          <t>2024-04-25</t>
        </is>
      </c>
      <c r="B87" s="28">
        <f>LN('②原始價格與FX'!B75/'②原始價格與FX'!B74)</f>
        <v/>
      </c>
      <c r="C87" s="28">
        <f>LN('②原始價格與FX'!C75/'②原始價格與FX'!C74)</f>
        <v/>
      </c>
      <c r="D87" s="28">
        <f>LN('②原始價格與FX'!D75/'②原始價格與FX'!D74)</f>
        <v/>
      </c>
      <c r="E87" s="28">
        <f>LN('②原始價格與FX'!G75/'②原始價格與FX'!G74)</f>
        <v/>
      </c>
      <c r="F87" s="28">
        <f>LN('②原始價格與FX'!H75/'②原始價格與FX'!H74)</f>
        <v/>
      </c>
      <c r="G87" s="28">
        <f>B87</f>
        <v/>
      </c>
      <c r="H87" s="29">
        <f>C87+E87</f>
        <v/>
      </c>
      <c r="I87" s="29">
        <f>D87+F87</f>
        <v/>
      </c>
      <c r="J87" s="30">
        <f>G87*'①基本設定'!$G$5+H87*'①基本設定'!$G$6+I87*'①基本設定'!$G$7</f>
        <v/>
      </c>
    </row>
    <row r="88">
      <c r="A88" s="5" t="inlineStr">
        <is>
          <t>2024-04-26</t>
        </is>
      </c>
      <c r="B88" s="28">
        <f>LN('②原始價格與FX'!B76/'②原始價格與FX'!B75)</f>
        <v/>
      </c>
      <c r="C88" s="28">
        <f>LN('②原始價格與FX'!C76/'②原始價格與FX'!C75)</f>
        <v/>
      </c>
      <c r="D88" s="28">
        <f>LN('②原始價格與FX'!D76/'②原始價格與FX'!D75)</f>
        <v/>
      </c>
      <c r="E88" s="28">
        <f>LN('②原始價格與FX'!G76/'②原始價格與FX'!G75)</f>
        <v/>
      </c>
      <c r="F88" s="28">
        <f>LN('②原始價格與FX'!H76/'②原始價格與FX'!H75)</f>
        <v/>
      </c>
      <c r="G88" s="28">
        <f>B88</f>
        <v/>
      </c>
      <c r="H88" s="29">
        <f>C88+E88</f>
        <v/>
      </c>
      <c r="I88" s="29">
        <f>D88+F88</f>
        <v/>
      </c>
      <c r="J88" s="30">
        <f>G88*'①基本設定'!$G$5+H88*'①基本設定'!$G$6+I88*'①基本設定'!$G$7</f>
        <v/>
      </c>
    </row>
    <row r="89">
      <c r="A89" s="5" t="inlineStr">
        <is>
          <t>2024-04-29</t>
        </is>
      </c>
      <c r="B89" s="28">
        <f>LN('②原始價格與FX'!B77/'②原始價格與FX'!B76)</f>
        <v/>
      </c>
      <c r="C89" s="28">
        <f>LN('②原始價格與FX'!C77/'②原始價格與FX'!C76)</f>
        <v/>
      </c>
      <c r="D89" s="28">
        <f>LN('②原始價格與FX'!D77/'②原始價格與FX'!D76)</f>
        <v/>
      </c>
      <c r="E89" s="28">
        <f>LN('②原始價格與FX'!G77/'②原始價格與FX'!G76)</f>
        <v/>
      </c>
      <c r="F89" s="28">
        <f>LN('②原始價格與FX'!H77/'②原始價格與FX'!H76)</f>
        <v/>
      </c>
      <c r="G89" s="28">
        <f>B89</f>
        <v/>
      </c>
      <c r="H89" s="29">
        <f>C89+E89</f>
        <v/>
      </c>
      <c r="I89" s="29">
        <f>D89+F89</f>
        <v/>
      </c>
      <c r="J89" s="31">
        <f>G89*'①基本設定'!$G$5+H89*'①基本設定'!$G$6+I89*'①基本設定'!$G$7</f>
        <v/>
      </c>
    </row>
    <row r="90">
      <c r="A90" s="5" t="inlineStr">
        <is>
          <t>2024-04-30</t>
        </is>
      </c>
      <c r="B90" s="28">
        <f>LN('②原始價格與FX'!B78/'②原始價格與FX'!B77)</f>
        <v/>
      </c>
      <c r="C90" s="28">
        <f>LN('②原始價格與FX'!C78/'②原始價格與FX'!C77)</f>
        <v/>
      </c>
      <c r="D90" s="28">
        <f>LN('②原始價格與FX'!D78/'②原始價格與FX'!D77)</f>
        <v/>
      </c>
      <c r="E90" s="28">
        <f>LN('②原始價格與FX'!G78/'②原始價格與FX'!G77)</f>
        <v/>
      </c>
      <c r="F90" s="28">
        <f>LN('②原始價格與FX'!H78/'②原始價格與FX'!H77)</f>
        <v/>
      </c>
      <c r="G90" s="28">
        <f>B90</f>
        <v/>
      </c>
      <c r="H90" s="29">
        <f>C90+E90</f>
        <v/>
      </c>
      <c r="I90" s="29">
        <f>D90+F90</f>
        <v/>
      </c>
      <c r="J90" s="30">
        <f>G90*'①基本設定'!$G$5+H90*'①基本設定'!$G$6+I90*'①基本設定'!$G$7</f>
        <v/>
      </c>
    </row>
    <row r="91">
      <c r="A91" s="5" t="inlineStr">
        <is>
          <t>2024-05-01</t>
        </is>
      </c>
      <c r="B91" s="28">
        <f>LN('②原始價格與FX'!B79/'②原始價格與FX'!B78)</f>
        <v/>
      </c>
      <c r="C91" s="28">
        <f>LN('②原始價格與FX'!C79/'②原始價格與FX'!C78)</f>
        <v/>
      </c>
      <c r="D91" s="28">
        <f>LN('②原始價格與FX'!D79/'②原始價格與FX'!D78)</f>
        <v/>
      </c>
      <c r="E91" s="28">
        <f>LN('②原始價格與FX'!G79/'②原始價格與FX'!G78)</f>
        <v/>
      </c>
      <c r="F91" s="28">
        <f>LN('②原始價格與FX'!H79/'②原始價格與FX'!H78)</f>
        <v/>
      </c>
      <c r="G91" s="28">
        <f>B91</f>
        <v/>
      </c>
      <c r="H91" s="29">
        <f>C91+E91</f>
        <v/>
      </c>
      <c r="I91" s="29">
        <f>D91+F91</f>
        <v/>
      </c>
      <c r="J91" s="30">
        <f>G91*'①基本設定'!$G$5+H91*'①基本設定'!$G$6+I91*'①基本設定'!$G$7</f>
        <v/>
      </c>
    </row>
    <row r="92">
      <c r="A92" s="5" t="inlineStr">
        <is>
          <t>2024-05-02</t>
        </is>
      </c>
      <c r="B92" s="28">
        <f>LN('②原始價格與FX'!B80/'②原始價格與FX'!B79)</f>
        <v/>
      </c>
      <c r="C92" s="28">
        <f>LN('②原始價格與FX'!C80/'②原始價格與FX'!C79)</f>
        <v/>
      </c>
      <c r="D92" s="28">
        <f>LN('②原始價格與FX'!D80/'②原始價格與FX'!D79)</f>
        <v/>
      </c>
      <c r="E92" s="28">
        <f>LN('②原始價格與FX'!G80/'②原始價格與FX'!G79)</f>
        <v/>
      </c>
      <c r="F92" s="28">
        <f>LN('②原始價格與FX'!H80/'②原始價格與FX'!H79)</f>
        <v/>
      </c>
      <c r="G92" s="28">
        <f>B92</f>
        <v/>
      </c>
      <c r="H92" s="29">
        <f>C92+E92</f>
        <v/>
      </c>
      <c r="I92" s="29">
        <f>D92+F92</f>
        <v/>
      </c>
      <c r="J92" s="30">
        <f>G92*'①基本設定'!$G$5+H92*'①基本設定'!$G$6+I92*'①基本設定'!$G$7</f>
        <v/>
      </c>
    </row>
    <row r="93">
      <c r="A93" s="5" t="inlineStr">
        <is>
          <t>2024-05-03</t>
        </is>
      </c>
      <c r="B93" s="28">
        <f>LN('②原始價格與FX'!B81/'②原始價格與FX'!B80)</f>
        <v/>
      </c>
      <c r="C93" s="28">
        <f>LN('②原始價格與FX'!C81/'②原始價格與FX'!C80)</f>
        <v/>
      </c>
      <c r="D93" s="28">
        <f>LN('②原始價格與FX'!D81/'②原始價格與FX'!D80)</f>
        <v/>
      </c>
      <c r="E93" s="28">
        <f>LN('②原始價格與FX'!G81/'②原始價格與FX'!G80)</f>
        <v/>
      </c>
      <c r="F93" s="28">
        <f>LN('②原始價格與FX'!H81/'②原始價格與FX'!H80)</f>
        <v/>
      </c>
      <c r="G93" s="28">
        <f>B93</f>
        <v/>
      </c>
      <c r="H93" s="29">
        <f>C93+E93</f>
        <v/>
      </c>
      <c r="I93" s="29">
        <f>D93+F93</f>
        <v/>
      </c>
      <c r="J93" s="30">
        <f>G93*'①基本設定'!$G$5+H93*'①基本設定'!$G$6+I93*'①基本設定'!$G$7</f>
        <v/>
      </c>
    </row>
    <row r="94">
      <c r="A94" s="5" t="inlineStr">
        <is>
          <t>2024-05-06</t>
        </is>
      </c>
      <c r="B94" s="28">
        <f>LN('②原始價格與FX'!B82/'②原始價格與FX'!B81)</f>
        <v/>
      </c>
      <c r="C94" s="28">
        <f>LN('②原始價格與FX'!C82/'②原始價格與FX'!C81)</f>
        <v/>
      </c>
      <c r="D94" s="28">
        <f>LN('②原始價格與FX'!D82/'②原始價格與FX'!D81)</f>
        <v/>
      </c>
      <c r="E94" s="28">
        <f>LN('②原始價格與FX'!G82/'②原始價格與FX'!G81)</f>
        <v/>
      </c>
      <c r="F94" s="28">
        <f>LN('②原始價格與FX'!H82/'②原始價格與FX'!H81)</f>
        <v/>
      </c>
      <c r="G94" s="28">
        <f>B94</f>
        <v/>
      </c>
      <c r="H94" s="29">
        <f>C94+E94</f>
        <v/>
      </c>
      <c r="I94" s="29">
        <f>D94+F94</f>
        <v/>
      </c>
      <c r="J94" s="31">
        <f>G94*'①基本設定'!$G$5+H94*'①基本設定'!$G$6+I94*'①基本設定'!$G$7</f>
        <v/>
      </c>
    </row>
    <row r="95">
      <c r="A95" s="5" t="inlineStr">
        <is>
          <t>2024-05-07</t>
        </is>
      </c>
      <c r="B95" s="28">
        <f>LN('②原始價格與FX'!B83/'②原始價格與FX'!B82)</f>
        <v/>
      </c>
      <c r="C95" s="28">
        <f>LN('②原始價格與FX'!C83/'②原始價格與FX'!C82)</f>
        <v/>
      </c>
      <c r="D95" s="28">
        <f>LN('②原始價格與FX'!D83/'②原始價格與FX'!D82)</f>
        <v/>
      </c>
      <c r="E95" s="28">
        <f>LN('②原始價格與FX'!G83/'②原始價格與FX'!G82)</f>
        <v/>
      </c>
      <c r="F95" s="28">
        <f>LN('②原始價格與FX'!H83/'②原始價格與FX'!H82)</f>
        <v/>
      </c>
      <c r="G95" s="28">
        <f>B95</f>
        <v/>
      </c>
      <c r="H95" s="29">
        <f>C95+E95</f>
        <v/>
      </c>
      <c r="I95" s="29">
        <f>D95+F95</f>
        <v/>
      </c>
      <c r="J95" s="31">
        <f>G95*'①基本設定'!$G$5+H95*'①基本設定'!$G$6+I95*'①基本設定'!$G$7</f>
        <v/>
      </c>
    </row>
    <row r="96">
      <c r="A96" s="5" t="inlineStr">
        <is>
          <t>2024-05-08</t>
        </is>
      </c>
      <c r="B96" s="28">
        <f>LN('②原始價格與FX'!B84/'②原始價格與FX'!B83)</f>
        <v/>
      </c>
      <c r="C96" s="28">
        <f>LN('②原始價格與FX'!C84/'②原始價格與FX'!C83)</f>
        <v/>
      </c>
      <c r="D96" s="28">
        <f>LN('②原始價格與FX'!D84/'②原始價格與FX'!D83)</f>
        <v/>
      </c>
      <c r="E96" s="28">
        <f>LN('②原始價格與FX'!G84/'②原始價格與FX'!G83)</f>
        <v/>
      </c>
      <c r="F96" s="28">
        <f>LN('②原始價格與FX'!H84/'②原始價格與FX'!H83)</f>
        <v/>
      </c>
      <c r="G96" s="28">
        <f>B96</f>
        <v/>
      </c>
      <c r="H96" s="29">
        <f>C96+E96</f>
        <v/>
      </c>
      <c r="I96" s="29">
        <f>D96+F96</f>
        <v/>
      </c>
      <c r="J96" s="31">
        <f>G96*'①基本設定'!$G$5+H96*'①基本設定'!$G$6+I96*'①基本設定'!$G$7</f>
        <v/>
      </c>
    </row>
    <row r="97">
      <c r="A97" s="5" t="inlineStr">
        <is>
          <t>2024-05-09</t>
        </is>
      </c>
      <c r="B97" s="28">
        <f>LN('②原始價格與FX'!B85/'②原始價格與FX'!B84)</f>
        <v/>
      </c>
      <c r="C97" s="28">
        <f>LN('②原始價格與FX'!C85/'②原始價格與FX'!C84)</f>
        <v/>
      </c>
      <c r="D97" s="28">
        <f>LN('②原始價格與FX'!D85/'②原始價格與FX'!D84)</f>
        <v/>
      </c>
      <c r="E97" s="28">
        <f>LN('②原始價格與FX'!G85/'②原始價格與FX'!G84)</f>
        <v/>
      </c>
      <c r="F97" s="28">
        <f>LN('②原始價格與FX'!H85/'②原始價格與FX'!H84)</f>
        <v/>
      </c>
      <c r="G97" s="28">
        <f>B97</f>
        <v/>
      </c>
      <c r="H97" s="29">
        <f>C97+E97</f>
        <v/>
      </c>
      <c r="I97" s="29">
        <f>D97+F97</f>
        <v/>
      </c>
      <c r="J97" s="30">
        <f>G97*'①基本設定'!$G$5+H97*'①基本設定'!$G$6+I97*'①基本設定'!$G$7</f>
        <v/>
      </c>
    </row>
    <row r="98">
      <c r="A98" s="5" t="inlineStr">
        <is>
          <t>2024-05-10</t>
        </is>
      </c>
      <c r="B98" s="28">
        <f>LN('②原始價格與FX'!B86/'②原始價格與FX'!B85)</f>
        <v/>
      </c>
      <c r="C98" s="28">
        <f>LN('②原始價格與FX'!C86/'②原始價格與FX'!C85)</f>
        <v/>
      </c>
      <c r="D98" s="28">
        <f>LN('②原始價格與FX'!D86/'②原始價格與FX'!D85)</f>
        <v/>
      </c>
      <c r="E98" s="28">
        <f>LN('②原始價格與FX'!G86/'②原始價格與FX'!G85)</f>
        <v/>
      </c>
      <c r="F98" s="28">
        <f>LN('②原始價格與FX'!H86/'②原始價格與FX'!H85)</f>
        <v/>
      </c>
      <c r="G98" s="28">
        <f>B98</f>
        <v/>
      </c>
      <c r="H98" s="29">
        <f>C98+E98</f>
        <v/>
      </c>
      <c r="I98" s="29">
        <f>D98+F98</f>
        <v/>
      </c>
      <c r="J98" s="30">
        <f>G98*'①基本設定'!$G$5+H98*'①基本設定'!$G$6+I98*'①基本設定'!$G$7</f>
        <v/>
      </c>
    </row>
    <row r="99">
      <c r="A99" s="5" t="inlineStr">
        <is>
          <t>2024-05-13</t>
        </is>
      </c>
      <c r="B99" s="28">
        <f>LN('②原始價格與FX'!B87/'②原始價格與FX'!B86)</f>
        <v/>
      </c>
      <c r="C99" s="28">
        <f>LN('②原始價格與FX'!C87/'②原始價格與FX'!C86)</f>
        <v/>
      </c>
      <c r="D99" s="28">
        <f>LN('②原始價格與FX'!D87/'②原始價格與FX'!D86)</f>
        <v/>
      </c>
      <c r="E99" s="28">
        <f>LN('②原始價格與FX'!G87/'②原始價格與FX'!G86)</f>
        <v/>
      </c>
      <c r="F99" s="28">
        <f>LN('②原始價格與FX'!H87/'②原始價格與FX'!H86)</f>
        <v/>
      </c>
      <c r="G99" s="28">
        <f>B99</f>
        <v/>
      </c>
      <c r="H99" s="29">
        <f>C99+E99</f>
        <v/>
      </c>
      <c r="I99" s="29">
        <f>D99+F99</f>
        <v/>
      </c>
      <c r="J99" s="31">
        <f>G99*'①基本設定'!$G$5+H99*'①基本設定'!$G$6+I99*'①基本設定'!$G$7</f>
        <v/>
      </c>
    </row>
    <row r="100">
      <c r="A100" s="5" t="inlineStr">
        <is>
          <t>2024-05-14</t>
        </is>
      </c>
      <c r="B100" s="28">
        <f>LN('②原始價格與FX'!B88/'②原始價格與FX'!B87)</f>
        <v/>
      </c>
      <c r="C100" s="28">
        <f>LN('②原始價格與FX'!C88/'②原始價格與FX'!C87)</f>
        <v/>
      </c>
      <c r="D100" s="28">
        <f>LN('②原始價格與FX'!D88/'②原始價格與FX'!D87)</f>
        <v/>
      </c>
      <c r="E100" s="28">
        <f>LN('②原始價格與FX'!G88/'②原始價格與FX'!G87)</f>
        <v/>
      </c>
      <c r="F100" s="28">
        <f>LN('②原始價格與FX'!H88/'②原始價格與FX'!H87)</f>
        <v/>
      </c>
      <c r="G100" s="28">
        <f>B100</f>
        <v/>
      </c>
      <c r="H100" s="29">
        <f>C100+E100</f>
        <v/>
      </c>
      <c r="I100" s="29">
        <f>D100+F100</f>
        <v/>
      </c>
      <c r="J100" s="31">
        <f>G100*'①基本設定'!$G$5+H100*'①基本設定'!$G$6+I100*'①基本設定'!$G$7</f>
        <v/>
      </c>
    </row>
    <row r="101">
      <c r="A101" s="5" t="inlineStr">
        <is>
          <t>2024-05-15</t>
        </is>
      </c>
      <c r="B101" s="28">
        <f>LN('②原始價格與FX'!B89/'②原始價格與FX'!B88)</f>
        <v/>
      </c>
      <c r="C101" s="28">
        <f>LN('②原始價格與FX'!C89/'②原始價格與FX'!C88)</f>
        <v/>
      </c>
      <c r="D101" s="28">
        <f>LN('②原始價格與FX'!D89/'②原始價格與FX'!D88)</f>
        <v/>
      </c>
      <c r="E101" s="28">
        <f>LN('②原始價格與FX'!G89/'②原始價格與FX'!G88)</f>
        <v/>
      </c>
      <c r="F101" s="28">
        <f>LN('②原始價格與FX'!H89/'②原始價格與FX'!H88)</f>
        <v/>
      </c>
      <c r="G101" s="28">
        <f>B101</f>
        <v/>
      </c>
      <c r="H101" s="29">
        <f>C101+E101</f>
        <v/>
      </c>
      <c r="I101" s="29">
        <f>D101+F101</f>
        <v/>
      </c>
      <c r="J101" s="30">
        <f>G101*'①基本設定'!$G$5+H101*'①基本設定'!$G$6+I101*'①基本設定'!$G$7</f>
        <v/>
      </c>
    </row>
    <row r="102">
      <c r="A102" s="5" t="inlineStr">
        <is>
          <t>2024-05-16</t>
        </is>
      </c>
      <c r="B102" s="28">
        <f>LN('②原始價格與FX'!B90/'②原始價格與FX'!B89)</f>
        <v/>
      </c>
      <c r="C102" s="28">
        <f>LN('②原始價格與FX'!C90/'②原始價格與FX'!C89)</f>
        <v/>
      </c>
      <c r="D102" s="28">
        <f>LN('②原始價格與FX'!D90/'②原始價格與FX'!D89)</f>
        <v/>
      </c>
      <c r="E102" s="28">
        <f>LN('②原始價格與FX'!G90/'②原始價格與FX'!G89)</f>
        <v/>
      </c>
      <c r="F102" s="28">
        <f>LN('②原始價格與FX'!H90/'②原始價格與FX'!H89)</f>
        <v/>
      </c>
      <c r="G102" s="28">
        <f>B102</f>
        <v/>
      </c>
      <c r="H102" s="29">
        <f>C102+E102</f>
        <v/>
      </c>
      <c r="I102" s="29">
        <f>D102+F102</f>
        <v/>
      </c>
      <c r="J102" s="31">
        <f>G102*'①基本設定'!$G$5+H102*'①基本設定'!$G$6+I102*'①基本設定'!$G$7</f>
        <v/>
      </c>
    </row>
    <row r="103">
      <c r="A103" s="5" t="inlineStr">
        <is>
          <t>2024-05-17</t>
        </is>
      </c>
      <c r="B103" s="28">
        <f>LN('②原始價格與FX'!B91/'②原始價格與FX'!B90)</f>
        <v/>
      </c>
      <c r="C103" s="28">
        <f>LN('②原始價格與FX'!C91/'②原始價格與FX'!C90)</f>
        <v/>
      </c>
      <c r="D103" s="28">
        <f>LN('②原始價格與FX'!D91/'②原始價格與FX'!D90)</f>
        <v/>
      </c>
      <c r="E103" s="28">
        <f>LN('②原始價格與FX'!G91/'②原始價格與FX'!G90)</f>
        <v/>
      </c>
      <c r="F103" s="28">
        <f>LN('②原始價格與FX'!H91/'②原始價格與FX'!H90)</f>
        <v/>
      </c>
      <c r="G103" s="28">
        <f>B103</f>
        <v/>
      </c>
      <c r="H103" s="29">
        <f>C103+E103</f>
        <v/>
      </c>
      <c r="I103" s="29">
        <f>D103+F103</f>
        <v/>
      </c>
      <c r="J103" s="30">
        <f>G103*'①基本設定'!$G$5+H103*'①基本設定'!$G$6+I103*'①基本設定'!$G$7</f>
        <v/>
      </c>
    </row>
    <row r="104">
      <c r="A104" s="5" t="inlineStr">
        <is>
          <t>2024-05-20</t>
        </is>
      </c>
      <c r="B104" s="28">
        <f>LN('②原始價格與FX'!B92/'②原始價格與FX'!B91)</f>
        <v/>
      </c>
      <c r="C104" s="28">
        <f>LN('②原始價格與FX'!C92/'②原始價格與FX'!C91)</f>
        <v/>
      </c>
      <c r="D104" s="28">
        <f>LN('②原始價格與FX'!D92/'②原始價格與FX'!D91)</f>
        <v/>
      </c>
      <c r="E104" s="28">
        <f>LN('②原始價格與FX'!G92/'②原始價格與FX'!G91)</f>
        <v/>
      </c>
      <c r="F104" s="28">
        <f>LN('②原始價格與FX'!H92/'②原始價格與FX'!H91)</f>
        <v/>
      </c>
      <c r="G104" s="28">
        <f>B104</f>
        <v/>
      </c>
      <c r="H104" s="29">
        <f>C104+E104</f>
        <v/>
      </c>
      <c r="I104" s="29">
        <f>D104+F104</f>
        <v/>
      </c>
      <c r="J104" s="30">
        <f>G104*'①基本設定'!$G$5+H104*'①基本設定'!$G$6+I104*'①基本設定'!$G$7</f>
        <v/>
      </c>
    </row>
    <row r="105">
      <c r="A105" s="5" t="inlineStr">
        <is>
          <t>2024-05-21</t>
        </is>
      </c>
      <c r="B105" s="28">
        <f>LN('②原始價格與FX'!B93/'②原始價格與FX'!B92)</f>
        <v/>
      </c>
      <c r="C105" s="28">
        <f>LN('②原始價格與FX'!C93/'②原始價格與FX'!C92)</f>
        <v/>
      </c>
      <c r="D105" s="28">
        <f>LN('②原始價格與FX'!D93/'②原始價格與FX'!D92)</f>
        <v/>
      </c>
      <c r="E105" s="28">
        <f>LN('②原始價格與FX'!G93/'②原始價格與FX'!G92)</f>
        <v/>
      </c>
      <c r="F105" s="28">
        <f>LN('②原始價格與FX'!H93/'②原始價格與FX'!H92)</f>
        <v/>
      </c>
      <c r="G105" s="28">
        <f>B105</f>
        <v/>
      </c>
      <c r="H105" s="29">
        <f>C105+E105</f>
        <v/>
      </c>
      <c r="I105" s="29">
        <f>D105+F105</f>
        <v/>
      </c>
      <c r="J105" s="31">
        <f>G105*'①基本設定'!$G$5+H105*'①基本設定'!$G$6+I105*'①基本設定'!$G$7</f>
        <v/>
      </c>
    </row>
    <row r="106">
      <c r="A106" s="5" t="inlineStr">
        <is>
          <t>2024-05-22</t>
        </is>
      </c>
      <c r="B106" s="28">
        <f>LN('②原始價格與FX'!B94/'②原始價格與FX'!B93)</f>
        <v/>
      </c>
      <c r="C106" s="28">
        <f>LN('②原始價格與FX'!C94/'②原始價格與FX'!C93)</f>
        <v/>
      </c>
      <c r="D106" s="28">
        <f>LN('②原始價格與FX'!D94/'②原始價格與FX'!D93)</f>
        <v/>
      </c>
      <c r="E106" s="28">
        <f>LN('②原始價格與FX'!G94/'②原始價格與FX'!G93)</f>
        <v/>
      </c>
      <c r="F106" s="28">
        <f>LN('②原始價格與FX'!H94/'②原始價格與FX'!H93)</f>
        <v/>
      </c>
      <c r="G106" s="28">
        <f>B106</f>
        <v/>
      </c>
      <c r="H106" s="29">
        <f>C106+E106</f>
        <v/>
      </c>
      <c r="I106" s="29">
        <f>D106+F106</f>
        <v/>
      </c>
      <c r="J106" s="30">
        <f>G106*'①基本設定'!$G$5+H106*'①基本設定'!$G$6+I106*'①基本設定'!$G$7</f>
        <v/>
      </c>
    </row>
    <row r="107">
      <c r="A107" s="5" t="inlineStr">
        <is>
          <t>2024-05-23</t>
        </is>
      </c>
      <c r="B107" s="28">
        <f>LN('②原始價格與FX'!B95/'②原始價格與FX'!B94)</f>
        <v/>
      </c>
      <c r="C107" s="28">
        <f>LN('②原始價格與FX'!C95/'②原始價格與FX'!C94)</f>
        <v/>
      </c>
      <c r="D107" s="28">
        <f>LN('②原始價格與FX'!D95/'②原始價格與FX'!D94)</f>
        <v/>
      </c>
      <c r="E107" s="28">
        <f>LN('②原始價格與FX'!G95/'②原始價格與FX'!G94)</f>
        <v/>
      </c>
      <c r="F107" s="28">
        <f>LN('②原始價格與FX'!H95/'②原始價格與FX'!H94)</f>
        <v/>
      </c>
      <c r="G107" s="28">
        <f>B107</f>
        <v/>
      </c>
      <c r="H107" s="29">
        <f>C107+E107</f>
        <v/>
      </c>
      <c r="I107" s="29">
        <f>D107+F107</f>
        <v/>
      </c>
      <c r="J107" s="30">
        <f>G107*'①基本設定'!$G$5+H107*'①基本設定'!$G$6+I107*'①基本設定'!$G$7</f>
        <v/>
      </c>
    </row>
    <row r="108">
      <c r="A108" s="5" t="inlineStr">
        <is>
          <t>2024-05-24</t>
        </is>
      </c>
      <c r="B108" s="28">
        <f>LN('②原始價格與FX'!B96/'②原始價格與FX'!B95)</f>
        <v/>
      </c>
      <c r="C108" s="28">
        <f>LN('②原始價格與FX'!C96/'②原始價格與FX'!C95)</f>
        <v/>
      </c>
      <c r="D108" s="28">
        <f>LN('②原始價格與FX'!D96/'②原始價格與FX'!D95)</f>
        <v/>
      </c>
      <c r="E108" s="28">
        <f>LN('②原始價格與FX'!G96/'②原始價格與FX'!G95)</f>
        <v/>
      </c>
      <c r="F108" s="28">
        <f>LN('②原始價格與FX'!H96/'②原始價格與FX'!H95)</f>
        <v/>
      </c>
      <c r="G108" s="28">
        <f>B108</f>
        <v/>
      </c>
      <c r="H108" s="29">
        <f>C108+E108</f>
        <v/>
      </c>
      <c r="I108" s="29">
        <f>D108+F108</f>
        <v/>
      </c>
      <c r="J108" s="30">
        <f>G108*'①基本設定'!$G$5+H108*'①基本設定'!$G$6+I108*'①基本設定'!$G$7</f>
        <v/>
      </c>
    </row>
    <row r="109">
      <c r="A109" s="5" t="inlineStr">
        <is>
          <t>2024-05-27</t>
        </is>
      </c>
      <c r="B109" s="28">
        <f>LN('②原始價格與FX'!B97/'②原始價格與FX'!B96)</f>
        <v/>
      </c>
      <c r="C109" s="28">
        <f>LN('②原始價格與FX'!C97/'②原始價格與FX'!C96)</f>
        <v/>
      </c>
      <c r="D109" s="28">
        <f>LN('②原始價格與FX'!D97/'②原始價格與FX'!D96)</f>
        <v/>
      </c>
      <c r="E109" s="28">
        <f>LN('②原始價格與FX'!G97/'②原始價格與FX'!G96)</f>
        <v/>
      </c>
      <c r="F109" s="28">
        <f>LN('②原始價格與FX'!H97/'②原始價格與FX'!H96)</f>
        <v/>
      </c>
      <c r="G109" s="28">
        <f>B109</f>
        <v/>
      </c>
      <c r="H109" s="29">
        <f>C109+E109</f>
        <v/>
      </c>
      <c r="I109" s="29">
        <f>D109+F109</f>
        <v/>
      </c>
      <c r="J109" s="30">
        <f>G109*'①基本設定'!$G$5+H109*'①基本設定'!$G$6+I109*'①基本設定'!$G$7</f>
        <v/>
      </c>
    </row>
    <row r="110">
      <c r="A110" s="5" t="inlineStr">
        <is>
          <t>2024-05-28</t>
        </is>
      </c>
      <c r="B110" s="28">
        <f>LN('②原始價格與FX'!B98/'②原始價格與FX'!B97)</f>
        <v/>
      </c>
      <c r="C110" s="28">
        <f>LN('②原始價格與FX'!C98/'②原始價格與FX'!C97)</f>
        <v/>
      </c>
      <c r="D110" s="28">
        <f>LN('②原始價格與FX'!D98/'②原始價格與FX'!D97)</f>
        <v/>
      </c>
      <c r="E110" s="28">
        <f>LN('②原始價格與FX'!G98/'②原始價格與FX'!G97)</f>
        <v/>
      </c>
      <c r="F110" s="28">
        <f>LN('②原始價格與FX'!H98/'②原始價格與FX'!H97)</f>
        <v/>
      </c>
      <c r="G110" s="28">
        <f>B110</f>
        <v/>
      </c>
      <c r="H110" s="29">
        <f>C110+E110</f>
        <v/>
      </c>
      <c r="I110" s="29">
        <f>D110+F110</f>
        <v/>
      </c>
      <c r="J110" s="30">
        <f>G110*'①基本設定'!$G$5+H110*'①基本設定'!$G$6+I110*'①基本設定'!$G$7</f>
        <v/>
      </c>
    </row>
    <row r="111">
      <c r="A111" s="5" t="inlineStr">
        <is>
          <t>2024-05-29</t>
        </is>
      </c>
      <c r="B111" s="28">
        <f>LN('②原始價格與FX'!B99/'②原始價格與FX'!B98)</f>
        <v/>
      </c>
      <c r="C111" s="28">
        <f>LN('②原始價格與FX'!C99/'②原始價格與FX'!C98)</f>
        <v/>
      </c>
      <c r="D111" s="28">
        <f>LN('②原始價格與FX'!D99/'②原始價格與FX'!D98)</f>
        <v/>
      </c>
      <c r="E111" s="28">
        <f>LN('②原始價格與FX'!G99/'②原始價格與FX'!G98)</f>
        <v/>
      </c>
      <c r="F111" s="28">
        <f>LN('②原始價格與FX'!H99/'②原始價格與FX'!H98)</f>
        <v/>
      </c>
      <c r="G111" s="28">
        <f>B111</f>
        <v/>
      </c>
      <c r="H111" s="29">
        <f>C111+E111</f>
        <v/>
      </c>
      <c r="I111" s="29">
        <f>D111+F111</f>
        <v/>
      </c>
      <c r="J111" s="31">
        <f>G111*'①基本設定'!$G$5+H111*'①基本設定'!$G$6+I111*'①基本設定'!$G$7</f>
        <v/>
      </c>
    </row>
    <row r="112">
      <c r="A112" s="5" t="inlineStr">
        <is>
          <t>2024-05-30</t>
        </is>
      </c>
      <c r="B112" s="28">
        <f>LN('②原始價格與FX'!B100/'②原始價格與FX'!B99)</f>
        <v/>
      </c>
      <c r="C112" s="28">
        <f>LN('②原始價格與FX'!C100/'②原始價格與FX'!C99)</f>
        <v/>
      </c>
      <c r="D112" s="28">
        <f>LN('②原始價格與FX'!D100/'②原始價格與FX'!D99)</f>
        <v/>
      </c>
      <c r="E112" s="28">
        <f>LN('②原始價格與FX'!G100/'②原始價格與FX'!G99)</f>
        <v/>
      </c>
      <c r="F112" s="28">
        <f>LN('②原始價格與FX'!H100/'②原始價格與FX'!H99)</f>
        <v/>
      </c>
      <c r="G112" s="28">
        <f>B112</f>
        <v/>
      </c>
      <c r="H112" s="29">
        <f>C112+E112</f>
        <v/>
      </c>
      <c r="I112" s="29">
        <f>D112+F112</f>
        <v/>
      </c>
      <c r="J112" s="30">
        <f>G112*'①基本設定'!$G$5+H112*'①基本設定'!$G$6+I112*'①基本設定'!$G$7</f>
        <v/>
      </c>
    </row>
    <row r="113">
      <c r="A113" s="5" t="inlineStr">
        <is>
          <t>2024-05-31</t>
        </is>
      </c>
      <c r="B113" s="28">
        <f>LN('②原始價格與FX'!B101/'②原始價格與FX'!B100)</f>
        <v/>
      </c>
      <c r="C113" s="28">
        <f>LN('②原始價格與FX'!C101/'②原始價格與FX'!C100)</f>
        <v/>
      </c>
      <c r="D113" s="28">
        <f>LN('②原始價格與FX'!D101/'②原始價格與FX'!D100)</f>
        <v/>
      </c>
      <c r="E113" s="28">
        <f>LN('②原始價格與FX'!G101/'②原始價格與FX'!G100)</f>
        <v/>
      </c>
      <c r="F113" s="28">
        <f>LN('②原始價格與FX'!H101/'②原始價格與FX'!H100)</f>
        <v/>
      </c>
      <c r="G113" s="28">
        <f>B113</f>
        <v/>
      </c>
      <c r="H113" s="29">
        <f>C113+E113</f>
        <v/>
      </c>
      <c r="I113" s="29">
        <f>D113+F113</f>
        <v/>
      </c>
      <c r="J113" s="31">
        <f>G113*'①基本設定'!$G$5+H113*'①基本設定'!$G$6+I113*'①基本設定'!$G$7</f>
        <v/>
      </c>
    </row>
    <row r="114">
      <c r="A114" s="5" t="inlineStr">
        <is>
          <t>2024-06-03</t>
        </is>
      </c>
      <c r="B114" s="28">
        <f>LN('②原始價格與FX'!B102/'②原始價格與FX'!B101)</f>
        <v/>
      </c>
      <c r="C114" s="28">
        <f>LN('②原始價格與FX'!C102/'②原始價格與FX'!C101)</f>
        <v/>
      </c>
      <c r="D114" s="28">
        <f>LN('②原始價格與FX'!D102/'②原始價格與FX'!D101)</f>
        <v/>
      </c>
      <c r="E114" s="28">
        <f>LN('②原始價格與FX'!G102/'②原始價格與FX'!G101)</f>
        <v/>
      </c>
      <c r="F114" s="28">
        <f>LN('②原始價格與FX'!H102/'②原始價格與FX'!H101)</f>
        <v/>
      </c>
      <c r="G114" s="28">
        <f>B114</f>
        <v/>
      </c>
      <c r="H114" s="29">
        <f>C114+E114</f>
        <v/>
      </c>
      <c r="I114" s="29">
        <f>D114+F114</f>
        <v/>
      </c>
      <c r="J114" s="30">
        <f>G114*'①基本設定'!$G$5+H114*'①基本設定'!$G$6+I114*'①基本設定'!$G$7</f>
        <v/>
      </c>
    </row>
    <row r="115">
      <c r="A115" s="5" t="inlineStr">
        <is>
          <t>2024-06-04</t>
        </is>
      </c>
      <c r="B115" s="28">
        <f>LN('②原始價格與FX'!B103/'②原始價格與FX'!B102)</f>
        <v/>
      </c>
      <c r="C115" s="28">
        <f>LN('②原始價格與FX'!C103/'②原始價格與FX'!C102)</f>
        <v/>
      </c>
      <c r="D115" s="28">
        <f>LN('②原始價格與FX'!D103/'②原始價格與FX'!D102)</f>
        <v/>
      </c>
      <c r="E115" s="28">
        <f>LN('②原始價格與FX'!G103/'②原始價格與FX'!G102)</f>
        <v/>
      </c>
      <c r="F115" s="28">
        <f>LN('②原始價格與FX'!H103/'②原始價格與FX'!H102)</f>
        <v/>
      </c>
      <c r="G115" s="28">
        <f>B115</f>
        <v/>
      </c>
      <c r="H115" s="29">
        <f>C115+E115</f>
        <v/>
      </c>
      <c r="I115" s="29">
        <f>D115+F115</f>
        <v/>
      </c>
      <c r="J115" s="30">
        <f>G115*'①基本設定'!$G$5+H115*'①基本設定'!$G$6+I115*'①基本設定'!$G$7</f>
        <v/>
      </c>
    </row>
    <row r="116">
      <c r="A116" s="5" t="inlineStr">
        <is>
          <t>2024-06-05</t>
        </is>
      </c>
      <c r="B116" s="28">
        <f>LN('②原始價格與FX'!B104/'②原始價格與FX'!B103)</f>
        <v/>
      </c>
      <c r="C116" s="28">
        <f>LN('②原始價格與FX'!C104/'②原始價格與FX'!C103)</f>
        <v/>
      </c>
      <c r="D116" s="28">
        <f>LN('②原始價格與FX'!D104/'②原始價格與FX'!D103)</f>
        <v/>
      </c>
      <c r="E116" s="28">
        <f>LN('②原始價格與FX'!G104/'②原始價格與FX'!G103)</f>
        <v/>
      </c>
      <c r="F116" s="28">
        <f>LN('②原始價格與FX'!H104/'②原始價格與FX'!H103)</f>
        <v/>
      </c>
      <c r="G116" s="28">
        <f>B116</f>
        <v/>
      </c>
      <c r="H116" s="29">
        <f>C116+E116</f>
        <v/>
      </c>
      <c r="I116" s="29">
        <f>D116+F116</f>
        <v/>
      </c>
      <c r="J116" s="30">
        <f>G116*'①基本設定'!$G$5+H116*'①基本設定'!$G$6+I116*'①基本設定'!$G$7</f>
        <v/>
      </c>
    </row>
    <row r="117">
      <c r="A117" s="5" t="inlineStr">
        <is>
          <t>2024-06-06</t>
        </is>
      </c>
      <c r="B117" s="28">
        <f>LN('②原始價格與FX'!B105/'②原始價格與FX'!B104)</f>
        <v/>
      </c>
      <c r="C117" s="28">
        <f>LN('②原始價格與FX'!C105/'②原始價格與FX'!C104)</f>
        <v/>
      </c>
      <c r="D117" s="28">
        <f>LN('②原始價格與FX'!D105/'②原始價格與FX'!D104)</f>
        <v/>
      </c>
      <c r="E117" s="28">
        <f>LN('②原始價格與FX'!G105/'②原始價格與FX'!G104)</f>
        <v/>
      </c>
      <c r="F117" s="28">
        <f>LN('②原始價格與FX'!H105/'②原始價格與FX'!H104)</f>
        <v/>
      </c>
      <c r="G117" s="28">
        <f>B117</f>
        <v/>
      </c>
      <c r="H117" s="29">
        <f>C117+E117</f>
        <v/>
      </c>
      <c r="I117" s="29">
        <f>D117+F117</f>
        <v/>
      </c>
      <c r="J117" s="30">
        <f>G117*'①基本設定'!$G$5+H117*'①基本設定'!$G$6+I117*'①基本設定'!$G$7</f>
        <v/>
      </c>
    </row>
    <row r="118">
      <c r="A118" s="5" t="inlineStr">
        <is>
          <t>2024-06-07</t>
        </is>
      </c>
      <c r="B118" s="28">
        <f>LN('②原始價格與FX'!B106/'②原始價格與FX'!B105)</f>
        <v/>
      </c>
      <c r="C118" s="28">
        <f>LN('②原始價格與FX'!C106/'②原始價格與FX'!C105)</f>
        <v/>
      </c>
      <c r="D118" s="28">
        <f>LN('②原始價格與FX'!D106/'②原始價格與FX'!D105)</f>
        <v/>
      </c>
      <c r="E118" s="28">
        <f>LN('②原始價格與FX'!G106/'②原始價格與FX'!G105)</f>
        <v/>
      </c>
      <c r="F118" s="28">
        <f>LN('②原始價格與FX'!H106/'②原始價格與FX'!H105)</f>
        <v/>
      </c>
      <c r="G118" s="28">
        <f>B118</f>
        <v/>
      </c>
      <c r="H118" s="29">
        <f>C118+E118</f>
        <v/>
      </c>
      <c r="I118" s="29">
        <f>D118+F118</f>
        <v/>
      </c>
      <c r="J118" s="31">
        <f>G118*'①基本設定'!$G$5+H118*'①基本設定'!$G$6+I118*'①基本設定'!$G$7</f>
        <v/>
      </c>
    </row>
    <row r="119">
      <c r="A119" s="5" t="inlineStr">
        <is>
          <t>2024-06-10</t>
        </is>
      </c>
      <c r="B119" s="28">
        <f>LN('②原始價格與FX'!B107/'②原始價格與FX'!B106)</f>
        <v/>
      </c>
      <c r="C119" s="28">
        <f>LN('②原始價格與FX'!C107/'②原始價格與FX'!C106)</f>
        <v/>
      </c>
      <c r="D119" s="28">
        <f>LN('②原始價格與FX'!D107/'②原始價格與FX'!D106)</f>
        <v/>
      </c>
      <c r="E119" s="28">
        <f>LN('②原始價格與FX'!G107/'②原始價格與FX'!G106)</f>
        <v/>
      </c>
      <c r="F119" s="28">
        <f>LN('②原始價格與FX'!H107/'②原始價格與FX'!H106)</f>
        <v/>
      </c>
      <c r="G119" s="28">
        <f>B119</f>
        <v/>
      </c>
      <c r="H119" s="29">
        <f>C119+E119</f>
        <v/>
      </c>
      <c r="I119" s="29">
        <f>D119+F119</f>
        <v/>
      </c>
      <c r="J119" s="30">
        <f>G119*'①基本設定'!$G$5+H119*'①基本設定'!$G$6+I119*'①基本設定'!$G$7</f>
        <v/>
      </c>
    </row>
    <row r="120">
      <c r="A120" s="5" t="inlineStr">
        <is>
          <t>2024-06-11</t>
        </is>
      </c>
      <c r="B120" s="28">
        <f>LN('②原始價格與FX'!B108/'②原始價格與FX'!B107)</f>
        <v/>
      </c>
      <c r="C120" s="28">
        <f>LN('②原始價格與FX'!C108/'②原始價格與FX'!C107)</f>
        <v/>
      </c>
      <c r="D120" s="28">
        <f>LN('②原始價格與FX'!D108/'②原始價格與FX'!D107)</f>
        <v/>
      </c>
      <c r="E120" s="28">
        <f>LN('②原始價格與FX'!G108/'②原始價格與FX'!G107)</f>
        <v/>
      </c>
      <c r="F120" s="28">
        <f>LN('②原始價格與FX'!H108/'②原始價格與FX'!H107)</f>
        <v/>
      </c>
      <c r="G120" s="28">
        <f>B120</f>
        <v/>
      </c>
      <c r="H120" s="29">
        <f>C120+E120</f>
        <v/>
      </c>
      <c r="I120" s="29">
        <f>D120+F120</f>
        <v/>
      </c>
      <c r="J120" s="30">
        <f>G120*'①基本設定'!$G$5+H120*'①基本設定'!$G$6+I120*'①基本設定'!$G$7</f>
        <v/>
      </c>
    </row>
    <row r="121">
      <c r="A121" s="5" t="inlineStr">
        <is>
          <t>2024-06-12</t>
        </is>
      </c>
      <c r="B121" s="28">
        <f>LN('②原始價格與FX'!B109/'②原始價格與FX'!B108)</f>
        <v/>
      </c>
      <c r="C121" s="28">
        <f>LN('②原始價格與FX'!C109/'②原始價格與FX'!C108)</f>
        <v/>
      </c>
      <c r="D121" s="28">
        <f>LN('②原始價格與FX'!D109/'②原始價格與FX'!D108)</f>
        <v/>
      </c>
      <c r="E121" s="28">
        <f>LN('②原始價格與FX'!G109/'②原始價格與FX'!G108)</f>
        <v/>
      </c>
      <c r="F121" s="28">
        <f>LN('②原始價格與FX'!H109/'②原始價格與FX'!H108)</f>
        <v/>
      </c>
      <c r="G121" s="28">
        <f>B121</f>
        <v/>
      </c>
      <c r="H121" s="29">
        <f>C121+E121</f>
        <v/>
      </c>
      <c r="I121" s="29">
        <f>D121+F121</f>
        <v/>
      </c>
      <c r="J121" s="31">
        <f>G121*'①基本設定'!$G$5+H121*'①基本設定'!$G$6+I121*'①基本設定'!$G$7</f>
        <v/>
      </c>
    </row>
    <row r="122">
      <c r="A122" s="5" t="inlineStr">
        <is>
          <t>2024-06-13</t>
        </is>
      </c>
      <c r="B122" s="28">
        <f>LN('②原始價格與FX'!B110/'②原始價格與FX'!B109)</f>
        <v/>
      </c>
      <c r="C122" s="28">
        <f>LN('②原始價格與FX'!C110/'②原始價格與FX'!C109)</f>
        <v/>
      </c>
      <c r="D122" s="28">
        <f>LN('②原始價格與FX'!D110/'②原始價格與FX'!D109)</f>
        <v/>
      </c>
      <c r="E122" s="28">
        <f>LN('②原始價格與FX'!G110/'②原始價格與FX'!G109)</f>
        <v/>
      </c>
      <c r="F122" s="28">
        <f>LN('②原始價格與FX'!H110/'②原始價格與FX'!H109)</f>
        <v/>
      </c>
      <c r="G122" s="28">
        <f>B122</f>
        <v/>
      </c>
      <c r="H122" s="29">
        <f>C122+E122</f>
        <v/>
      </c>
      <c r="I122" s="29">
        <f>D122+F122</f>
        <v/>
      </c>
      <c r="J122" s="31">
        <f>G122*'①基本設定'!$G$5+H122*'①基本設定'!$G$6+I122*'①基本設定'!$G$7</f>
        <v/>
      </c>
    </row>
    <row r="123">
      <c r="A123" s="5" t="inlineStr">
        <is>
          <t>2024-06-14</t>
        </is>
      </c>
      <c r="B123" s="28">
        <f>LN('②原始價格與FX'!B111/'②原始價格與FX'!B110)</f>
        <v/>
      </c>
      <c r="C123" s="28">
        <f>LN('②原始價格與FX'!C111/'②原始價格與FX'!C110)</f>
        <v/>
      </c>
      <c r="D123" s="28">
        <f>LN('②原始價格與FX'!D111/'②原始價格與FX'!D110)</f>
        <v/>
      </c>
      <c r="E123" s="28">
        <f>LN('②原始價格與FX'!G111/'②原始價格與FX'!G110)</f>
        <v/>
      </c>
      <c r="F123" s="28">
        <f>LN('②原始價格與FX'!H111/'②原始價格與FX'!H110)</f>
        <v/>
      </c>
      <c r="G123" s="28">
        <f>B123</f>
        <v/>
      </c>
      <c r="H123" s="29">
        <f>C123+E123</f>
        <v/>
      </c>
      <c r="I123" s="29">
        <f>D123+F123</f>
        <v/>
      </c>
      <c r="J123" s="30">
        <f>G123*'①基本設定'!$G$5+H123*'①基本設定'!$G$6+I123*'①基本設定'!$G$7</f>
        <v/>
      </c>
    </row>
    <row r="124">
      <c r="A124" s="5" t="inlineStr">
        <is>
          <t>2024-06-17</t>
        </is>
      </c>
      <c r="B124" s="28">
        <f>LN('②原始價格與FX'!B112/'②原始價格與FX'!B111)</f>
        <v/>
      </c>
      <c r="C124" s="28">
        <f>LN('②原始價格與FX'!C112/'②原始價格與FX'!C111)</f>
        <v/>
      </c>
      <c r="D124" s="28">
        <f>LN('②原始價格與FX'!D112/'②原始價格與FX'!D111)</f>
        <v/>
      </c>
      <c r="E124" s="28">
        <f>LN('②原始價格與FX'!G112/'②原始價格與FX'!G111)</f>
        <v/>
      </c>
      <c r="F124" s="28">
        <f>LN('②原始價格與FX'!H112/'②原始價格與FX'!H111)</f>
        <v/>
      </c>
      <c r="G124" s="28">
        <f>B124</f>
        <v/>
      </c>
      <c r="H124" s="29">
        <f>C124+E124</f>
        <v/>
      </c>
      <c r="I124" s="29">
        <f>D124+F124</f>
        <v/>
      </c>
      <c r="J124" s="31">
        <f>G124*'①基本設定'!$G$5+H124*'①基本設定'!$G$6+I124*'①基本設定'!$G$7</f>
        <v/>
      </c>
    </row>
    <row r="125">
      <c r="A125" s="5" t="inlineStr">
        <is>
          <t>2024-06-18</t>
        </is>
      </c>
      <c r="B125" s="28">
        <f>LN('②原始價格與FX'!B113/'②原始價格與FX'!B112)</f>
        <v/>
      </c>
      <c r="C125" s="28">
        <f>LN('②原始價格與FX'!C113/'②原始價格與FX'!C112)</f>
        <v/>
      </c>
      <c r="D125" s="28">
        <f>LN('②原始價格與FX'!D113/'②原始價格與FX'!D112)</f>
        <v/>
      </c>
      <c r="E125" s="28">
        <f>LN('②原始價格與FX'!G113/'②原始價格與FX'!G112)</f>
        <v/>
      </c>
      <c r="F125" s="28">
        <f>LN('②原始價格與FX'!H113/'②原始價格與FX'!H112)</f>
        <v/>
      </c>
      <c r="G125" s="28">
        <f>B125</f>
        <v/>
      </c>
      <c r="H125" s="29">
        <f>C125+E125</f>
        <v/>
      </c>
      <c r="I125" s="29">
        <f>D125+F125</f>
        <v/>
      </c>
      <c r="J125" s="30">
        <f>G125*'①基本設定'!$G$5+H125*'①基本設定'!$G$6+I125*'①基本設定'!$G$7</f>
        <v/>
      </c>
    </row>
    <row r="126">
      <c r="A126" s="5" t="inlineStr">
        <is>
          <t>2024-06-19</t>
        </is>
      </c>
      <c r="B126" s="28">
        <f>LN('②原始價格與FX'!B114/'②原始價格與FX'!B113)</f>
        <v/>
      </c>
      <c r="C126" s="28">
        <f>LN('②原始價格與FX'!C114/'②原始價格與FX'!C113)</f>
        <v/>
      </c>
      <c r="D126" s="28">
        <f>LN('②原始價格與FX'!D114/'②原始價格與FX'!D113)</f>
        <v/>
      </c>
      <c r="E126" s="28">
        <f>LN('②原始價格與FX'!G114/'②原始價格與FX'!G113)</f>
        <v/>
      </c>
      <c r="F126" s="28">
        <f>LN('②原始價格與FX'!H114/'②原始價格與FX'!H113)</f>
        <v/>
      </c>
      <c r="G126" s="28">
        <f>B126</f>
        <v/>
      </c>
      <c r="H126" s="29">
        <f>C126+E126</f>
        <v/>
      </c>
      <c r="I126" s="29">
        <f>D126+F126</f>
        <v/>
      </c>
      <c r="J126" s="31">
        <f>G126*'①基本設定'!$G$5+H126*'①基本設定'!$G$6+I126*'①基本設定'!$G$7</f>
        <v/>
      </c>
    </row>
    <row r="127">
      <c r="A127" s="5" t="inlineStr">
        <is>
          <t>2024-06-20</t>
        </is>
      </c>
      <c r="B127" s="28">
        <f>LN('②原始價格與FX'!B115/'②原始價格與FX'!B114)</f>
        <v/>
      </c>
      <c r="C127" s="28">
        <f>LN('②原始價格與FX'!C115/'②原始價格與FX'!C114)</f>
        <v/>
      </c>
      <c r="D127" s="28">
        <f>LN('②原始價格與FX'!D115/'②原始價格與FX'!D114)</f>
        <v/>
      </c>
      <c r="E127" s="28">
        <f>LN('②原始價格與FX'!G115/'②原始價格與FX'!G114)</f>
        <v/>
      </c>
      <c r="F127" s="28">
        <f>LN('②原始價格與FX'!H115/'②原始價格與FX'!H114)</f>
        <v/>
      </c>
      <c r="G127" s="28">
        <f>B127</f>
        <v/>
      </c>
      <c r="H127" s="29">
        <f>C127+E127</f>
        <v/>
      </c>
      <c r="I127" s="29">
        <f>D127+F127</f>
        <v/>
      </c>
      <c r="J127" s="31">
        <f>G127*'①基本設定'!$G$5+H127*'①基本設定'!$G$6+I127*'①基本設定'!$G$7</f>
        <v/>
      </c>
    </row>
    <row r="128">
      <c r="A128" s="5" t="inlineStr">
        <is>
          <t>2024-06-21</t>
        </is>
      </c>
      <c r="B128" s="28">
        <f>LN('②原始價格與FX'!B116/'②原始價格與FX'!B115)</f>
        <v/>
      </c>
      <c r="C128" s="28">
        <f>LN('②原始價格與FX'!C116/'②原始價格與FX'!C115)</f>
        <v/>
      </c>
      <c r="D128" s="28">
        <f>LN('②原始價格與FX'!D116/'②原始價格與FX'!D115)</f>
        <v/>
      </c>
      <c r="E128" s="28">
        <f>LN('②原始價格與FX'!G116/'②原始價格與FX'!G115)</f>
        <v/>
      </c>
      <c r="F128" s="28">
        <f>LN('②原始價格與FX'!H116/'②原始價格與FX'!H115)</f>
        <v/>
      </c>
      <c r="G128" s="28">
        <f>B128</f>
        <v/>
      </c>
      <c r="H128" s="29">
        <f>C128+E128</f>
        <v/>
      </c>
      <c r="I128" s="29">
        <f>D128+F128</f>
        <v/>
      </c>
      <c r="J128" s="31">
        <f>G128*'①基本設定'!$G$5+H128*'①基本設定'!$G$6+I128*'①基本設定'!$G$7</f>
        <v/>
      </c>
    </row>
    <row r="129">
      <c r="A129" s="5" t="inlineStr">
        <is>
          <t>2024-06-24</t>
        </is>
      </c>
      <c r="B129" s="28">
        <f>LN('②原始價格與FX'!B117/'②原始價格與FX'!B116)</f>
        <v/>
      </c>
      <c r="C129" s="28">
        <f>LN('②原始價格與FX'!C117/'②原始價格與FX'!C116)</f>
        <v/>
      </c>
      <c r="D129" s="28">
        <f>LN('②原始價格與FX'!D117/'②原始價格與FX'!D116)</f>
        <v/>
      </c>
      <c r="E129" s="28">
        <f>LN('②原始價格與FX'!G117/'②原始價格與FX'!G116)</f>
        <v/>
      </c>
      <c r="F129" s="28">
        <f>LN('②原始價格與FX'!H117/'②原始價格與FX'!H116)</f>
        <v/>
      </c>
      <c r="G129" s="28">
        <f>B129</f>
        <v/>
      </c>
      <c r="H129" s="29">
        <f>C129+E129</f>
        <v/>
      </c>
      <c r="I129" s="29">
        <f>D129+F129</f>
        <v/>
      </c>
      <c r="J129" s="31">
        <f>G129*'①基本設定'!$G$5+H129*'①基本設定'!$G$6+I129*'①基本設定'!$G$7</f>
        <v/>
      </c>
    </row>
    <row r="130">
      <c r="A130" s="5" t="inlineStr">
        <is>
          <t>2024-06-25</t>
        </is>
      </c>
      <c r="B130" s="28">
        <f>LN('②原始價格與FX'!B118/'②原始價格與FX'!B117)</f>
        <v/>
      </c>
      <c r="C130" s="28">
        <f>LN('②原始價格與FX'!C118/'②原始價格與FX'!C117)</f>
        <v/>
      </c>
      <c r="D130" s="28">
        <f>LN('②原始價格與FX'!D118/'②原始價格與FX'!D117)</f>
        <v/>
      </c>
      <c r="E130" s="28">
        <f>LN('②原始價格與FX'!G118/'②原始價格與FX'!G117)</f>
        <v/>
      </c>
      <c r="F130" s="28">
        <f>LN('②原始價格與FX'!H118/'②原始價格與FX'!H117)</f>
        <v/>
      </c>
      <c r="G130" s="28">
        <f>B130</f>
        <v/>
      </c>
      <c r="H130" s="29">
        <f>C130+E130</f>
        <v/>
      </c>
      <c r="I130" s="29">
        <f>D130+F130</f>
        <v/>
      </c>
      <c r="J130" s="31">
        <f>G130*'①基本設定'!$G$5+H130*'①基本設定'!$G$6+I130*'①基本設定'!$G$7</f>
        <v/>
      </c>
    </row>
    <row r="131">
      <c r="A131" s="5" t="inlineStr">
        <is>
          <t>2024-06-26</t>
        </is>
      </c>
      <c r="B131" s="28">
        <f>LN('②原始價格與FX'!B119/'②原始價格與FX'!B118)</f>
        <v/>
      </c>
      <c r="C131" s="28">
        <f>LN('②原始價格與FX'!C119/'②原始價格與FX'!C118)</f>
        <v/>
      </c>
      <c r="D131" s="28">
        <f>LN('②原始價格與FX'!D119/'②原始價格與FX'!D118)</f>
        <v/>
      </c>
      <c r="E131" s="28">
        <f>LN('②原始價格與FX'!G119/'②原始價格與FX'!G118)</f>
        <v/>
      </c>
      <c r="F131" s="28">
        <f>LN('②原始價格與FX'!H119/'②原始價格與FX'!H118)</f>
        <v/>
      </c>
      <c r="G131" s="28">
        <f>B131</f>
        <v/>
      </c>
      <c r="H131" s="29">
        <f>C131+E131</f>
        <v/>
      </c>
      <c r="I131" s="29">
        <f>D131+F131</f>
        <v/>
      </c>
      <c r="J131" s="30">
        <f>G131*'①基本設定'!$G$5+H131*'①基本設定'!$G$6+I131*'①基本設定'!$G$7</f>
        <v/>
      </c>
    </row>
    <row r="132">
      <c r="A132" s="5" t="inlineStr">
        <is>
          <t>2024-06-27</t>
        </is>
      </c>
      <c r="B132" s="28">
        <f>LN('②原始價格與FX'!B120/'②原始價格與FX'!B119)</f>
        <v/>
      </c>
      <c r="C132" s="28">
        <f>LN('②原始價格與FX'!C120/'②原始價格與FX'!C119)</f>
        <v/>
      </c>
      <c r="D132" s="28">
        <f>LN('②原始價格與FX'!D120/'②原始價格與FX'!D119)</f>
        <v/>
      </c>
      <c r="E132" s="28">
        <f>LN('②原始價格與FX'!G120/'②原始價格與FX'!G119)</f>
        <v/>
      </c>
      <c r="F132" s="28">
        <f>LN('②原始價格與FX'!H120/'②原始價格與FX'!H119)</f>
        <v/>
      </c>
      <c r="G132" s="28">
        <f>B132</f>
        <v/>
      </c>
      <c r="H132" s="29">
        <f>C132+E132</f>
        <v/>
      </c>
      <c r="I132" s="29">
        <f>D132+F132</f>
        <v/>
      </c>
      <c r="J132" s="30">
        <f>G132*'①基本設定'!$G$5+H132*'①基本設定'!$G$6+I132*'①基本設定'!$G$7</f>
        <v/>
      </c>
    </row>
    <row r="133">
      <c r="A133" s="5" t="inlineStr">
        <is>
          <t>2024-06-28</t>
        </is>
      </c>
      <c r="B133" s="28">
        <f>LN('②原始價格與FX'!B121/'②原始價格與FX'!B120)</f>
        <v/>
      </c>
      <c r="C133" s="28">
        <f>LN('②原始價格與FX'!C121/'②原始價格與FX'!C120)</f>
        <v/>
      </c>
      <c r="D133" s="28">
        <f>LN('②原始價格與FX'!D121/'②原始價格與FX'!D120)</f>
        <v/>
      </c>
      <c r="E133" s="28">
        <f>LN('②原始價格與FX'!G121/'②原始價格與FX'!G120)</f>
        <v/>
      </c>
      <c r="F133" s="28">
        <f>LN('②原始價格與FX'!H121/'②原始價格與FX'!H120)</f>
        <v/>
      </c>
      <c r="G133" s="28">
        <f>B133</f>
        <v/>
      </c>
      <c r="H133" s="29">
        <f>C133+E133</f>
        <v/>
      </c>
      <c r="I133" s="29">
        <f>D133+F133</f>
        <v/>
      </c>
      <c r="J133" s="31">
        <f>G133*'①基本設定'!$G$5+H133*'①基本設定'!$G$6+I133*'①基本設定'!$G$7</f>
        <v/>
      </c>
    </row>
    <row r="134">
      <c r="A134" s="5" t="inlineStr">
        <is>
          <t>2024-07-01</t>
        </is>
      </c>
      <c r="B134" s="28">
        <f>LN('②原始價格與FX'!B122/'②原始價格與FX'!B121)</f>
        <v/>
      </c>
      <c r="C134" s="28">
        <f>LN('②原始價格與FX'!C122/'②原始價格與FX'!C121)</f>
        <v/>
      </c>
      <c r="D134" s="28">
        <f>LN('②原始價格與FX'!D122/'②原始價格與FX'!D121)</f>
        <v/>
      </c>
      <c r="E134" s="28">
        <f>LN('②原始價格與FX'!G122/'②原始價格與FX'!G121)</f>
        <v/>
      </c>
      <c r="F134" s="28">
        <f>LN('②原始價格與FX'!H122/'②原始價格與FX'!H121)</f>
        <v/>
      </c>
      <c r="G134" s="28">
        <f>B134</f>
        <v/>
      </c>
      <c r="H134" s="29">
        <f>C134+E134</f>
        <v/>
      </c>
      <c r="I134" s="29">
        <f>D134+F134</f>
        <v/>
      </c>
      <c r="J134" s="31">
        <f>G134*'①基本設定'!$G$5+H134*'①基本設定'!$G$6+I134*'①基本設定'!$G$7</f>
        <v/>
      </c>
    </row>
    <row r="135">
      <c r="A135" s="5" t="inlineStr">
        <is>
          <t>2024-07-02</t>
        </is>
      </c>
      <c r="B135" s="28">
        <f>LN('②原始價格與FX'!B123/'②原始價格與FX'!B122)</f>
        <v/>
      </c>
      <c r="C135" s="28">
        <f>LN('②原始價格與FX'!C123/'②原始價格與FX'!C122)</f>
        <v/>
      </c>
      <c r="D135" s="28">
        <f>LN('②原始價格與FX'!D123/'②原始價格與FX'!D122)</f>
        <v/>
      </c>
      <c r="E135" s="28">
        <f>LN('②原始價格與FX'!G123/'②原始價格與FX'!G122)</f>
        <v/>
      </c>
      <c r="F135" s="28">
        <f>LN('②原始價格與FX'!H123/'②原始價格與FX'!H122)</f>
        <v/>
      </c>
      <c r="G135" s="28">
        <f>B135</f>
        <v/>
      </c>
      <c r="H135" s="29">
        <f>C135+E135</f>
        <v/>
      </c>
      <c r="I135" s="29">
        <f>D135+F135</f>
        <v/>
      </c>
      <c r="J135" s="31">
        <f>G135*'①基本設定'!$G$5+H135*'①基本設定'!$G$6+I135*'①基本設定'!$G$7</f>
        <v/>
      </c>
    </row>
    <row r="136">
      <c r="A136" s="5" t="inlineStr">
        <is>
          <t>2024-07-03</t>
        </is>
      </c>
      <c r="B136" s="28">
        <f>LN('②原始價格與FX'!B124/'②原始價格與FX'!B123)</f>
        <v/>
      </c>
      <c r="C136" s="28">
        <f>LN('②原始價格與FX'!C124/'②原始價格與FX'!C123)</f>
        <v/>
      </c>
      <c r="D136" s="28">
        <f>LN('②原始價格與FX'!D124/'②原始價格與FX'!D123)</f>
        <v/>
      </c>
      <c r="E136" s="28">
        <f>LN('②原始價格與FX'!G124/'②原始價格與FX'!G123)</f>
        <v/>
      </c>
      <c r="F136" s="28">
        <f>LN('②原始價格與FX'!H124/'②原始價格與FX'!H123)</f>
        <v/>
      </c>
      <c r="G136" s="28">
        <f>B136</f>
        <v/>
      </c>
      <c r="H136" s="29">
        <f>C136+E136</f>
        <v/>
      </c>
      <c r="I136" s="29">
        <f>D136+F136</f>
        <v/>
      </c>
      <c r="J136" s="31">
        <f>G136*'①基本設定'!$G$5+H136*'①基本設定'!$G$6+I136*'①基本設定'!$G$7</f>
        <v/>
      </c>
    </row>
    <row r="137">
      <c r="A137" s="5" t="inlineStr">
        <is>
          <t>2024-07-04</t>
        </is>
      </c>
      <c r="B137" s="28">
        <f>LN('②原始價格與FX'!B125/'②原始價格與FX'!B124)</f>
        <v/>
      </c>
      <c r="C137" s="28">
        <f>LN('②原始價格與FX'!C125/'②原始價格與FX'!C124)</f>
        <v/>
      </c>
      <c r="D137" s="28">
        <f>LN('②原始價格與FX'!D125/'②原始價格與FX'!D124)</f>
        <v/>
      </c>
      <c r="E137" s="28">
        <f>LN('②原始價格與FX'!G125/'②原始價格與FX'!G124)</f>
        <v/>
      </c>
      <c r="F137" s="28">
        <f>LN('②原始價格與FX'!H125/'②原始價格與FX'!H124)</f>
        <v/>
      </c>
      <c r="G137" s="28">
        <f>B137</f>
        <v/>
      </c>
      <c r="H137" s="29">
        <f>C137+E137</f>
        <v/>
      </c>
      <c r="I137" s="29">
        <f>D137+F137</f>
        <v/>
      </c>
      <c r="J137" s="31">
        <f>G137*'①基本設定'!$G$5+H137*'①基本設定'!$G$6+I137*'①基本設定'!$G$7</f>
        <v/>
      </c>
    </row>
    <row r="138">
      <c r="A138" s="5" t="inlineStr">
        <is>
          <t>2024-07-05</t>
        </is>
      </c>
      <c r="B138" s="28">
        <f>LN('②原始價格與FX'!B126/'②原始價格與FX'!B125)</f>
        <v/>
      </c>
      <c r="C138" s="28">
        <f>LN('②原始價格與FX'!C126/'②原始價格與FX'!C125)</f>
        <v/>
      </c>
      <c r="D138" s="28">
        <f>LN('②原始價格與FX'!D126/'②原始價格與FX'!D125)</f>
        <v/>
      </c>
      <c r="E138" s="28">
        <f>LN('②原始價格與FX'!G126/'②原始價格與FX'!G125)</f>
        <v/>
      </c>
      <c r="F138" s="28">
        <f>LN('②原始價格與FX'!H126/'②原始價格與FX'!H125)</f>
        <v/>
      </c>
      <c r="G138" s="28">
        <f>B138</f>
        <v/>
      </c>
      <c r="H138" s="29">
        <f>C138+E138</f>
        <v/>
      </c>
      <c r="I138" s="29">
        <f>D138+F138</f>
        <v/>
      </c>
      <c r="J138" s="30">
        <f>G138*'①基本設定'!$G$5+H138*'①基本設定'!$G$6+I138*'①基本設定'!$G$7</f>
        <v/>
      </c>
    </row>
    <row r="139">
      <c r="A139" s="5" t="inlineStr">
        <is>
          <t>2024-07-08</t>
        </is>
      </c>
      <c r="B139" s="28">
        <f>LN('②原始價格與FX'!B127/'②原始價格與FX'!B126)</f>
        <v/>
      </c>
      <c r="C139" s="28">
        <f>LN('②原始價格與FX'!C127/'②原始價格與FX'!C126)</f>
        <v/>
      </c>
      <c r="D139" s="28">
        <f>LN('②原始價格與FX'!D127/'②原始價格與FX'!D126)</f>
        <v/>
      </c>
      <c r="E139" s="28">
        <f>LN('②原始價格與FX'!G127/'②原始價格與FX'!G126)</f>
        <v/>
      </c>
      <c r="F139" s="28">
        <f>LN('②原始價格與FX'!H127/'②原始價格與FX'!H126)</f>
        <v/>
      </c>
      <c r="G139" s="28">
        <f>B139</f>
        <v/>
      </c>
      <c r="H139" s="29">
        <f>C139+E139</f>
        <v/>
      </c>
      <c r="I139" s="29">
        <f>D139+F139</f>
        <v/>
      </c>
      <c r="J139" s="31">
        <f>G139*'①基本設定'!$G$5+H139*'①基本設定'!$G$6+I139*'①基本設定'!$G$7</f>
        <v/>
      </c>
    </row>
    <row r="140">
      <c r="A140" s="5" t="inlineStr">
        <is>
          <t>2024-07-09</t>
        </is>
      </c>
      <c r="B140" s="28">
        <f>LN('②原始價格與FX'!B128/'②原始價格與FX'!B127)</f>
        <v/>
      </c>
      <c r="C140" s="28">
        <f>LN('②原始價格與FX'!C128/'②原始價格與FX'!C127)</f>
        <v/>
      </c>
      <c r="D140" s="28">
        <f>LN('②原始價格與FX'!D128/'②原始價格與FX'!D127)</f>
        <v/>
      </c>
      <c r="E140" s="28">
        <f>LN('②原始價格與FX'!G128/'②原始價格與FX'!G127)</f>
        <v/>
      </c>
      <c r="F140" s="28">
        <f>LN('②原始價格與FX'!H128/'②原始價格與FX'!H127)</f>
        <v/>
      </c>
      <c r="G140" s="28">
        <f>B140</f>
        <v/>
      </c>
      <c r="H140" s="29">
        <f>C140+E140</f>
        <v/>
      </c>
      <c r="I140" s="29">
        <f>D140+F140</f>
        <v/>
      </c>
      <c r="J140" s="30">
        <f>G140*'①基本設定'!$G$5+H140*'①基本設定'!$G$6+I140*'①基本設定'!$G$7</f>
        <v/>
      </c>
    </row>
    <row r="141">
      <c r="A141" s="5" t="inlineStr">
        <is>
          <t>2024-07-10</t>
        </is>
      </c>
      <c r="B141" s="28">
        <f>LN('②原始價格與FX'!B129/'②原始價格與FX'!B128)</f>
        <v/>
      </c>
      <c r="C141" s="28">
        <f>LN('②原始價格與FX'!C129/'②原始價格與FX'!C128)</f>
        <v/>
      </c>
      <c r="D141" s="28">
        <f>LN('②原始價格與FX'!D129/'②原始價格與FX'!D128)</f>
        <v/>
      </c>
      <c r="E141" s="28">
        <f>LN('②原始價格與FX'!G129/'②原始價格與FX'!G128)</f>
        <v/>
      </c>
      <c r="F141" s="28">
        <f>LN('②原始價格與FX'!H129/'②原始價格與FX'!H128)</f>
        <v/>
      </c>
      <c r="G141" s="28">
        <f>B141</f>
        <v/>
      </c>
      <c r="H141" s="29">
        <f>C141+E141</f>
        <v/>
      </c>
      <c r="I141" s="29">
        <f>D141+F141</f>
        <v/>
      </c>
      <c r="J141" s="31">
        <f>G141*'①基本設定'!$G$5+H141*'①基本設定'!$G$6+I141*'①基本設定'!$G$7</f>
        <v/>
      </c>
    </row>
    <row r="142">
      <c r="A142" s="5" t="inlineStr">
        <is>
          <t>2024-07-11</t>
        </is>
      </c>
      <c r="B142" s="28">
        <f>LN('②原始價格與FX'!B130/'②原始價格與FX'!B129)</f>
        <v/>
      </c>
      <c r="C142" s="28">
        <f>LN('②原始價格與FX'!C130/'②原始價格與FX'!C129)</f>
        <v/>
      </c>
      <c r="D142" s="28">
        <f>LN('②原始價格與FX'!D130/'②原始價格與FX'!D129)</f>
        <v/>
      </c>
      <c r="E142" s="28">
        <f>LN('②原始價格與FX'!G130/'②原始價格與FX'!G129)</f>
        <v/>
      </c>
      <c r="F142" s="28">
        <f>LN('②原始價格與FX'!H130/'②原始價格與FX'!H129)</f>
        <v/>
      </c>
      <c r="G142" s="28">
        <f>B142</f>
        <v/>
      </c>
      <c r="H142" s="29">
        <f>C142+E142</f>
        <v/>
      </c>
      <c r="I142" s="29">
        <f>D142+F142</f>
        <v/>
      </c>
      <c r="J142" s="31">
        <f>G142*'①基本設定'!$G$5+H142*'①基本設定'!$G$6+I142*'①基本設定'!$G$7</f>
        <v/>
      </c>
    </row>
    <row r="143">
      <c r="A143" s="5" t="inlineStr">
        <is>
          <t>2024-07-12</t>
        </is>
      </c>
      <c r="B143" s="28">
        <f>LN('②原始價格與FX'!B131/'②原始價格與FX'!B130)</f>
        <v/>
      </c>
      <c r="C143" s="28">
        <f>LN('②原始價格與FX'!C131/'②原始價格與FX'!C130)</f>
        <v/>
      </c>
      <c r="D143" s="28">
        <f>LN('②原始價格與FX'!D131/'②原始價格與FX'!D130)</f>
        <v/>
      </c>
      <c r="E143" s="28">
        <f>LN('②原始價格與FX'!G131/'②原始價格與FX'!G130)</f>
        <v/>
      </c>
      <c r="F143" s="28">
        <f>LN('②原始價格與FX'!H131/'②原始價格與FX'!H130)</f>
        <v/>
      </c>
      <c r="G143" s="28">
        <f>B143</f>
        <v/>
      </c>
      <c r="H143" s="29">
        <f>C143+E143</f>
        <v/>
      </c>
      <c r="I143" s="29">
        <f>D143+F143</f>
        <v/>
      </c>
      <c r="J143" s="30">
        <f>G143*'①基本設定'!$G$5+H143*'①基本設定'!$G$6+I143*'①基本設定'!$G$7</f>
        <v/>
      </c>
    </row>
    <row r="144">
      <c r="A144" s="5" t="inlineStr">
        <is>
          <t>2024-07-15</t>
        </is>
      </c>
      <c r="B144" s="28">
        <f>LN('②原始價格與FX'!B132/'②原始價格與FX'!B131)</f>
        <v/>
      </c>
      <c r="C144" s="28">
        <f>LN('②原始價格與FX'!C132/'②原始價格與FX'!C131)</f>
        <v/>
      </c>
      <c r="D144" s="28">
        <f>LN('②原始價格與FX'!D132/'②原始價格與FX'!D131)</f>
        <v/>
      </c>
      <c r="E144" s="28">
        <f>LN('②原始價格與FX'!G132/'②原始價格與FX'!G131)</f>
        <v/>
      </c>
      <c r="F144" s="28">
        <f>LN('②原始價格與FX'!H132/'②原始價格與FX'!H131)</f>
        <v/>
      </c>
      <c r="G144" s="28">
        <f>B144</f>
        <v/>
      </c>
      <c r="H144" s="29">
        <f>C144+E144</f>
        <v/>
      </c>
      <c r="I144" s="29">
        <f>D144+F144</f>
        <v/>
      </c>
      <c r="J144" s="30">
        <f>G144*'①基本設定'!$G$5+H144*'①基本設定'!$G$6+I144*'①基本設定'!$G$7</f>
        <v/>
      </c>
    </row>
    <row r="145">
      <c r="A145" s="5" t="inlineStr">
        <is>
          <t>2024-07-16</t>
        </is>
      </c>
      <c r="B145" s="28">
        <f>LN('②原始價格與FX'!B133/'②原始價格與FX'!B132)</f>
        <v/>
      </c>
      <c r="C145" s="28">
        <f>LN('②原始價格與FX'!C133/'②原始價格與FX'!C132)</f>
        <v/>
      </c>
      <c r="D145" s="28">
        <f>LN('②原始價格與FX'!D133/'②原始價格與FX'!D132)</f>
        <v/>
      </c>
      <c r="E145" s="28">
        <f>LN('②原始價格與FX'!G133/'②原始價格與FX'!G132)</f>
        <v/>
      </c>
      <c r="F145" s="28">
        <f>LN('②原始價格與FX'!H133/'②原始價格與FX'!H132)</f>
        <v/>
      </c>
      <c r="G145" s="28">
        <f>B145</f>
        <v/>
      </c>
      <c r="H145" s="29">
        <f>C145+E145</f>
        <v/>
      </c>
      <c r="I145" s="29">
        <f>D145+F145</f>
        <v/>
      </c>
      <c r="J145" s="30">
        <f>G145*'①基本設定'!$G$5+H145*'①基本設定'!$G$6+I145*'①基本設定'!$G$7</f>
        <v/>
      </c>
    </row>
    <row r="146">
      <c r="A146" s="5" t="inlineStr">
        <is>
          <t>2024-07-17</t>
        </is>
      </c>
      <c r="B146" s="28">
        <f>LN('②原始價格與FX'!B134/'②原始價格與FX'!B133)</f>
        <v/>
      </c>
      <c r="C146" s="28">
        <f>LN('②原始價格與FX'!C134/'②原始價格與FX'!C133)</f>
        <v/>
      </c>
      <c r="D146" s="28">
        <f>LN('②原始價格與FX'!D134/'②原始價格與FX'!D133)</f>
        <v/>
      </c>
      <c r="E146" s="28">
        <f>LN('②原始價格與FX'!G134/'②原始價格與FX'!G133)</f>
        <v/>
      </c>
      <c r="F146" s="28">
        <f>LN('②原始價格與FX'!H134/'②原始價格與FX'!H133)</f>
        <v/>
      </c>
      <c r="G146" s="28">
        <f>B146</f>
        <v/>
      </c>
      <c r="H146" s="29">
        <f>C146+E146</f>
        <v/>
      </c>
      <c r="I146" s="29">
        <f>D146+F146</f>
        <v/>
      </c>
      <c r="J146" s="30">
        <f>G146*'①基本設定'!$G$5+H146*'①基本設定'!$G$6+I146*'①基本設定'!$G$7</f>
        <v/>
      </c>
    </row>
    <row r="147">
      <c r="A147" s="5" t="inlineStr">
        <is>
          <t>2024-07-18</t>
        </is>
      </c>
      <c r="B147" s="28">
        <f>LN('②原始價格與FX'!B135/'②原始價格與FX'!B134)</f>
        <v/>
      </c>
      <c r="C147" s="28">
        <f>LN('②原始價格與FX'!C135/'②原始價格與FX'!C134)</f>
        <v/>
      </c>
      <c r="D147" s="28">
        <f>LN('②原始價格與FX'!D135/'②原始價格與FX'!D134)</f>
        <v/>
      </c>
      <c r="E147" s="28">
        <f>LN('②原始價格與FX'!G135/'②原始價格與FX'!G134)</f>
        <v/>
      </c>
      <c r="F147" s="28">
        <f>LN('②原始價格與FX'!H135/'②原始價格與FX'!H134)</f>
        <v/>
      </c>
      <c r="G147" s="28">
        <f>B147</f>
        <v/>
      </c>
      <c r="H147" s="29">
        <f>C147+E147</f>
        <v/>
      </c>
      <c r="I147" s="29">
        <f>D147+F147</f>
        <v/>
      </c>
      <c r="J147" s="31">
        <f>G147*'①基本設定'!$G$5+H147*'①基本設定'!$G$6+I147*'①基本設定'!$G$7</f>
        <v/>
      </c>
    </row>
    <row r="148">
      <c r="A148" s="5" t="inlineStr">
        <is>
          <t>2024-07-19</t>
        </is>
      </c>
      <c r="B148" s="28">
        <f>LN('②原始價格與FX'!B136/'②原始價格與FX'!B135)</f>
        <v/>
      </c>
      <c r="C148" s="28">
        <f>LN('②原始價格與FX'!C136/'②原始價格與FX'!C135)</f>
        <v/>
      </c>
      <c r="D148" s="28">
        <f>LN('②原始價格與FX'!D136/'②原始價格與FX'!D135)</f>
        <v/>
      </c>
      <c r="E148" s="28">
        <f>LN('②原始價格與FX'!G136/'②原始價格與FX'!G135)</f>
        <v/>
      </c>
      <c r="F148" s="28">
        <f>LN('②原始價格與FX'!H136/'②原始價格與FX'!H135)</f>
        <v/>
      </c>
      <c r="G148" s="28">
        <f>B148</f>
        <v/>
      </c>
      <c r="H148" s="29">
        <f>C148+E148</f>
        <v/>
      </c>
      <c r="I148" s="29">
        <f>D148+F148</f>
        <v/>
      </c>
      <c r="J148" s="30">
        <f>G148*'①基本設定'!$G$5+H148*'①基本設定'!$G$6+I148*'①基本設定'!$G$7</f>
        <v/>
      </c>
    </row>
    <row r="149">
      <c r="A149" s="5" t="inlineStr">
        <is>
          <t>2024-07-22</t>
        </is>
      </c>
      <c r="B149" s="28">
        <f>LN('②原始價格與FX'!B137/'②原始價格與FX'!B136)</f>
        <v/>
      </c>
      <c r="C149" s="28">
        <f>LN('②原始價格與FX'!C137/'②原始價格與FX'!C136)</f>
        <v/>
      </c>
      <c r="D149" s="28">
        <f>LN('②原始價格與FX'!D137/'②原始價格與FX'!D136)</f>
        <v/>
      </c>
      <c r="E149" s="28">
        <f>LN('②原始價格與FX'!G137/'②原始價格與FX'!G136)</f>
        <v/>
      </c>
      <c r="F149" s="28">
        <f>LN('②原始價格與FX'!H137/'②原始價格與FX'!H136)</f>
        <v/>
      </c>
      <c r="G149" s="28">
        <f>B149</f>
        <v/>
      </c>
      <c r="H149" s="29">
        <f>C149+E149</f>
        <v/>
      </c>
      <c r="I149" s="29">
        <f>D149+F149</f>
        <v/>
      </c>
      <c r="J149" s="30">
        <f>G149*'①基本設定'!$G$5+H149*'①基本設定'!$G$6+I149*'①基本設定'!$G$7</f>
        <v/>
      </c>
    </row>
    <row r="150">
      <c r="A150" s="5" t="inlineStr">
        <is>
          <t>2024-07-23</t>
        </is>
      </c>
      <c r="B150" s="28">
        <f>LN('②原始價格與FX'!B138/'②原始價格與FX'!B137)</f>
        <v/>
      </c>
      <c r="C150" s="28">
        <f>LN('②原始價格與FX'!C138/'②原始價格與FX'!C137)</f>
        <v/>
      </c>
      <c r="D150" s="28">
        <f>LN('②原始價格與FX'!D138/'②原始價格與FX'!D137)</f>
        <v/>
      </c>
      <c r="E150" s="28">
        <f>LN('②原始價格與FX'!G138/'②原始價格與FX'!G137)</f>
        <v/>
      </c>
      <c r="F150" s="28">
        <f>LN('②原始價格與FX'!H138/'②原始價格與FX'!H137)</f>
        <v/>
      </c>
      <c r="G150" s="28">
        <f>B150</f>
        <v/>
      </c>
      <c r="H150" s="29">
        <f>C150+E150</f>
        <v/>
      </c>
      <c r="I150" s="29">
        <f>D150+F150</f>
        <v/>
      </c>
      <c r="J150" s="30">
        <f>G150*'①基本設定'!$G$5+H150*'①基本設定'!$G$6+I150*'①基本設定'!$G$7</f>
        <v/>
      </c>
    </row>
    <row r="151">
      <c r="A151" s="5" t="inlineStr">
        <is>
          <t>2024-07-24</t>
        </is>
      </c>
      <c r="B151" s="28">
        <f>LN('②原始價格與FX'!B139/'②原始價格與FX'!B138)</f>
        <v/>
      </c>
      <c r="C151" s="28">
        <f>LN('②原始價格與FX'!C139/'②原始價格與FX'!C138)</f>
        <v/>
      </c>
      <c r="D151" s="28">
        <f>LN('②原始價格與FX'!D139/'②原始價格與FX'!D138)</f>
        <v/>
      </c>
      <c r="E151" s="28">
        <f>LN('②原始價格與FX'!G139/'②原始價格與FX'!G138)</f>
        <v/>
      </c>
      <c r="F151" s="28">
        <f>LN('②原始價格與FX'!H139/'②原始價格與FX'!H138)</f>
        <v/>
      </c>
      <c r="G151" s="28">
        <f>B151</f>
        <v/>
      </c>
      <c r="H151" s="29">
        <f>C151+E151</f>
        <v/>
      </c>
      <c r="I151" s="29">
        <f>D151+F151</f>
        <v/>
      </c>
      <c r="J151" s="30">
        <f>G151*'①基本設定'!$G$5+H151*'①基本設定'!$G$6+I151*'①基本設定'!$G$7</f>
        <v/>
      </c>
    </row>
    <row r="152">
      <c r="A152" s="5" t="inlineStr">
        <is>
          <t>2024-07-25</t>
        </is>
      </c>
      <c r="B152" s="28">
        <f>LN('②原始價格與FX'!B140/'②原始價格與FX'!B139)</f>
        <v/>
      </c>
      <c r="C152" s="28">
        <f>LN('②原始價格與FX'!C140/'②原始價格與FX'!C139)</f>
        <v/>
      </c>
      <c r="D152" s="28">
        <f>LN('②原始價格與FX'!D140/'②原始價格與FX'!D139)</f>
        <v/>
      </c>
      <c r="E152" s="28">
        <f>LN('②原始價格與FX'!G140/'②原始價格與FX'!G139)</f>
        <v/>
      </c>
      <c r="F152" s="28">
        <f>LN('②原始價格與FX'!H140/'②原始價格與FX'!H139)</f>
        <v/>
      </c>
      <c r="G152" s="28">
        <f>B152</f>
        <v/>
      </c>
      <c r="H152" s="29">
        <f>C152+E152</f>
        <v/>
      </c>
      <c r="I152" s="29">
        <f>D152+F152</f>
        <v/>
      </c>
      <c r="J152" s="30">
        <f>G152*'①基本設定'!$G$5+H152*'①基本設定'!$G$6+I152*'①基本設定'!$G$7</f>
        <v/>
      </c>
    </row>
    <row r="153">
      <c r="A153" s="5" t="inlineStr">
        <is>
          <t>2024-07-26</t>
        </is>
      </c>
      <c r="B153" s="28">
        <f>LN('②原始價格與FX'!B141/'②原始價格與FX'!B140)</f>
        <v/>
      </c>
      <c r="C153" s="28">
        <f>LN('②原始價格與FX'!C141/'②原始價格與FX'!C140)</f>
        <v/>
      </c>
      <c r="D153" s="28">
        <f>LN('②原始價格與FX'!D141/'②原始價格與FX'!D140)</f>
        <v/>
      </c>
      <c r="E153" s="28">
        <f>LN('②原始價格與FX'!G141/'②原始價格與FX'!G140)</f>
        <v/>
      </c>
      <c r="F153" s="28">
        <f>LN('②原始價格與FX'!H141/'②原始價格與FX'!H140)</f>
        <v/>
      </c>
      <c r="G153" s="28">
        <f>B153</f>
        <v/>
      </c>
      <c r="H153" s="29">
        <f>C153+E153</f>
        <v/>
      </c>
      <c r="I153" s="29">
        <f>D153+F153</f>
        <v/>
      </c>
      <c r="J153" s="30">
        <f>G153*'①基本設定'!$G$5+H153*'①基本設定'!$G$6+I153*'①基本設定'!$G$7</f>
        <v/>
      </c>
    </row>
    <row r="154">
      <c r="A154" s="5" t="inlineStr">
        <is>
          <t>2024-07-29</t>
        </is>
      </c>
      <c r="B154" s="28">
        <f>LN('②原始價格與FX'!B142/'②原始價格與FX'!B141)</f>
        <v/>
      </c>
      <c r="C154" s="28">
        <f>LN('②原始價格與FX'!C142/'②原始價格與FX'!C141)</f>
        <v/>
      </c>
      <c r="D154" s="28">
        <f>LN('②原始價格與FX'!D142/'②原始價格與FX'!D141)</f>
        <v/>
      </c>
      <c r="E154" s="28">
        <f>LN('②原始價格與FX'!G142/'②原始價格與FX'!G141)</f>
        <v/>
      </c>
      <c r="F154" s="28">
        <f>LN('②原始價格與FX'!H142/'②原始價格與FX'!H141)</f>
        <v/>
      </c>
      <c r="G154" s="28">
        <f>B154</f>
        <v/>
      </c>
      <c r="H154" s="29">
        <f>C154+E154</f>
        <v/>
      </c>
      <c r="I154" s="29">
        <f>D154+F154</f>
        <v/>
      </c>
      <c r="J154" s="30">
        <f>G154*'①基本設定'!$G$5+H154*'①基本設定'!$G$6+I154*'①基本設定'!$G$7</f>
        <v/>
      </c>
    </row>
    <row r="155">
      <c r="A155" s="5" t="inlineStr">
        <is>
          <t>2024-07-30</t>
        </is>
      </c>
      <c r="B155" s="28">
        <f>LN('②原始價格與FX'!B143/'②原始價格與FX'!B142)</f>
        <v/>
      </c>
      <c r="C155" s="28">
        <f>LN('②原始價格與FX'!C143/'②原始價格與FX'!C142)</f>
        <v/>
      </c>
      <c r="D155" s="28">
        <f>LN('②原始價格與FX'!D143/'②原始價格與FX'!D142)</f>
        <v/>
      </c>
      <c r="E155" s="28">
        <f>LN('②原始價格與FX'!G143/'②原始價格與FX'!G142)</f>
        <v/>
      </c>
      <c r="F155" s="28">
        <f>LN('②原始價格與FX'!H143/'②原始價格與FX'!H142)</f>
        <v/>
      </c>
      <c r="G155" s="28">
        <f>B155</f>
        <v/>
      </c>
      <c r="H155" s="29">
        <f>C155+E155</f>
        <v/>
      </c>
      <c r="I155" s="29">
        <f>D155+F155</f>
        <v/>
      </c>
      <c r="J155" s="30">
        <f>G155*'①基本設定'!$G$5+H155*'①基本設定'!$G$6+I155*'①基本設定'!$G$7</f>
        <v/>
      </c>
    </row>
    <row r="156">
      <c r="A156" s="5" t="inlineStr">
        <is>
          <t>2024-07-31</t>
        </is>
      </c>
      <c r="B156" s="28">
        <f>LN('②原始價格與FX'!B144/'②原始價格與FX'!B143)</f>
        <v/>
      </c>
      <c r="C156" s="28">
        <f>LN('②原始價格與FX'!C144/'②原始價格與FX'!C143)</f>
        <v/>
      </c>
      <c r="D156" s="28">
        <f>LN('②原始價格與FX'!D144/'②原始價格與FX'!D143)</f>
        <v/>
      </c>
      <c r="E156" s="28">
        <f>LN('②原始價格與FX'!G144/'②原始價格與FX'!G143)</f>
        <v/>
      </c>
      <c r="F156" s="28">
        <f>LN('②原始價格與FX'!H144/'②原始價格與FX'!H143)</f>
        <v/>
      </c>
      <c r="G156" s="28">
        <f>B156</f>
        <v/>
      </c>
      <c r="H156" s="29">
        <f>C156+E156</f>
        <v/>
      </c>
      <c r="I156" s="29">
        <f>D156+F156</f>
        <v/>
      </c>
      <c r="J156" s="31">
        <f>G156*'①基本設定'!$G$5+H156*'①基本設定'!$G$6+I156*'①基本設定'!$G$7</f>
        <v/>
      </c>
    </row>
    <row r="157">
      <c r="A157" s="5" t="inlineStr">
        <is>
          <t>2024-08-01</t>
        </is>
      </c>
      <c r="B157" s="28">
        <f>LN('②原始價格與FX'!B145/'②原始價格與FX'!B144)</f>
        <v/>
      </c>
      <c r="C157" s="28">
        <f>LN('②原始價格與FX'!C145/'②原始價格與FX'!C144)</f>
        <v/>
      </c>
      <c r="D157" s="28">
        <f>LN('②原始價格與FX'!D145/'②原始價格與FX'!D144)</f>
        <v/>
      </c>
      <c r="E157" s="28">
        <f>LN('②原始價格與FX'!G145/'②原始價格與FX'!G144)</f>
        <v/>
      </c>
      <c r="F157" s="28">
        <f>LN('②原始價格與FX'!H145/'②原始價格與FX'!H144)</f>
        <v/>
      </c>
      <c r="G157" s="28">
        <f>B157</f>
        <v/>
      </c>
      <c r="H157" s="29">
        <f>C157+E157</f>
        <v/>
      </c>
      <c r="I157" s="29">
        <f>D157+F157</f>
        <v/>
      </c>
      <c r="J157" s="30">
        <f>G157*'①基本設定'!$G$5+H157*'①基本設定'!$G$6+I157*'①基本設定'!$G$7</f>
        <v/>
      </c>
    </row>
    <row r="158">
      <c r="A158" s="5" t="inlineStr">
        <is>
          <t>2024-08-02</t>
        </is>
      </c>
      <c r="B158" s="28">
        <f>LN('②原始價格與FX'!B146/'②原始價格與FX'!B145)</f>
        <v/>
      </c>
      <c r="C158" s="28">
        <f>LN('②原始價格與FX'!C146/'②原始價格與FX'!C145)</f>
        <v/>
      </c>
      <c r="D158" s="28">
        <f>LN('②原始價格與FX'!D146/'②原始價格與FX'!D145)</f>
        <v/>
      </c>
      <c r="E158" s="28">
        <f>LN('②原始價格與FX'!G146/'②原始價格與FX'!G145)</f>
        <v/>
      </c>
      <c r="F158" s="28">
        <f>LN('②原始價格與FX'!H146/'②原始價格與FX'!H145)</f>
        <v/>
      </c>
      <c r="G158" s="28">
        <f>B158</f>
        <v/>
      </c>
      <c r="H158" s="29">
        <f>C158+E158</f>
        <v/>
      </c>
      <c r="I158" s="29">
        <f>D158+F158</f>
        <v/>
      </c>
      <c r="J158" s="30">
        <f>G158*'①基本設定'!$G$5+H158*'①基本設定'!$G$6+I158*'①基本設定'!$G$7</f>
        <v/>
      </c>
    </row>
    <row r="159">
      <c r="A159" s="5" t="inlineStr">
        <is>
          <t>2024-08-05</t>
        </is>
      </c>
      <c r="B159" s="28">
        <f>LN('②原始價格與FX'!B147/'②原始價格與FX'!B146)</f>
        <v/>
      </c>
      <c r="C159" s="28">
        <f>LN('②原始價格與FX'!C147/'②原始價格與FX'!C146)</f>
        <v/>
      </c>
      <c r="D159" s="28">
        <f>LN('②原始價格與FX'!D147/'②原始價格與FX'!D146)</f>
        <v/>
      </c>
      <c r="E159" s="28">
        <f>LN('②原始價格與FX'!G147/'②原始價格與FX'!G146)</f>
        <v/>
      </c>
      <c r="F159" s="28">
        <f>LN('②原始價格與FX'!H147/'②原始價格與FX'!H146)</f>
        <v/>
      </c>
      <c r="G159" s="28">
        <f>B159</f>
        <v/>
      </c>
      <c r="H159" s="29">
        <f>C159+E159</f>
        <v/>
      </c>
      <c r="I159" s="29">
        <f>D159+F159</f>
        <v/>
      </c>
      <c r="J159" s="31">
        <f>G159*'①基本設定'!$G$5+H159*'①基本設定'!$G$6+I159*'①基本設定'!$G$7</f>
        <v/>
      </c>
    </row>
    <row r="160">
      <c r="A160" s="5" t="inlineStr">
        <is>
          <t>2024-08-06</t>
        </is>
      </c>
      <c r="B160" s="28">
        <f>LN('②原始價格與FX'!B148/'②原始價格與FX'!B147)</f>
        <v/>
      </c>
      <c r="C160" s="28">
        <f>LN('②原始價格與FX'!C148/'②原始價格與FX'!C147)</f>
        <v/>
      </c>
      <c r="D160" s="28">
        <f>LN('②原始價格與FX'!D148/'②原始價格與FX'!D147)</f>
        <v/>
      </c>
      <c r="E160" s="28">
        <f>LN('②原始價格與FX'!G148/'②原始價格與FX'!G147)</f>
        <v/>
      </c>
      <c r="F160" s="28">
        <f>LN('②原始價格與FX'!H148/'②原始價格與FX'!H147)</f>
        <v/>
      </c>
      <c r="G160" s="28">
        <f>B160</f>
        <v/>
      </c>
      <c r="H160" s="29">
        <f>C160+E160</f>
        <v/>
      </c>
      <c r="I160" s="29">
        <f>D160+F160</f>
        <v/>
      </c>
      <c r="J160" s="31">
        <f>G160*'①基本設定'!$G$5+H160*'①基本設定'!$G$6+I160*'①基本設定'!$G$7</f>
        <v/>
      </c>
    </row>
    <row r="161">
      <c r="A161" s="5" t="inlineStr">
        <is>
          <t>2024-08-07</t>
        </is>
      </c>
      <c r="B161" s="28">
        <f>LN('②原始價格與FX'!B149/'②原始價格與FX'!B148)</f>
        <v/>
      </c>
      <c r="C161" s="28">
        <f>LN('②原始價格與FX'!C149/'②原始價格與FX'!C148)</f>
        <v/>
      </c>
      <c r="D161" s="28">
        <f>LN('②原始價格與FX'!D149/'②原始價格與FX'!D148)</f>
        <v/>
      </c>
      <c r="E161" s="28">
        <f>LN('②原始價格與FX'!G149/'②原始價格與FX'!G148)</f>
        <v/>
      </c>
      <c r="F161" s="28">
        <f>LN('②原始價格與FX'!H149/'②原始價格與FX'!H148)</f>
        <v/>
      </c>
      <c r="G161" s="28">
        <f>B161</f>
        <v/>
      </c>
      <c r="H161" s="29">
        <f>C161+E161</f>
        <v/>
      </c>
      <c r="I161" s="29">
        <f>D161+F161</f>
        <v/>
      </c>
      <c r="J161" s="31">
        <f>G161*'①基本設定'!$G$5+H161*'①基本設定'!$G$6+I161*'①基本設定'!$G$7</f>
        <v/>
      </c>
    </row>
    <row r="162">
      <c r="A162" s="5" t="inlineStr">
        <is>
          <t>2024-08-08</t>
        </is>
      </c>
      <c r="B162" s="28">
        <f>LN('②原始價格與FX'!B150/'②原始價格與FX'!B149)</f>
        <v/>
      </c>
      <c r="C162" s="28">
        <f>LN('②原始價格與FX'!C150/'②原始價格與FX'!C149)</f>
        <v/>
      </c>
      <c r="D162" s="28">
        <f>LN('②原始價格與FX'!D150/'②原始價格與FX'!D149)</f>
        <v/>
      </c>
      <c r="E162" s="28">
        <f>LN('②原始價格與FX'!G150/'②原始價格與FX'!G149)</f>
        <v/>
      </c>
      <c r="F162" s="28">
        <f>LN('②原始價格與FX'!H150/'②原始價格與FX'!H149)</f>
        <v/>
      </c>
      <c r="G162" s="28">
        <f>B162</f>
        <v/>
      </c>
      <c r="H162" s="29">
        <f>C162+E162</f>
        <v/>
      </c>
      <c r="I162" s="29">
        <f>D162+F162</f>
        <v/>
      </c>
      <c r="J162" s="30">
        <f>G162*'①基本設定'!$G$5+H162*'①基本設定'!$G$6+I162*'①基本設定'!$G$7</f>
        <v/>
      </c>
    </row>
    <row r="163">
      <c r="A163" s="5" t="inlineStr">
        <is>
          <t>2024-08-09</t>
        </is>
      </c>
      <c r="B163" s="28">
        <f>LN('②原始價格與FX'!B151/'②原始價格與FX'!B150)</f>
        <v/>
      </c>
      <c r="C163" s="28">
        <f>LN('②原始價格與FX'!C151/'②原始價格與FX'!C150)</f>
        <v/>
      </c>
      <c r="D163" s="28">
        <f>LN('②原始價格與FX'!D151/'②原始價格與FX'!D150)</f>
        <v/>
      </c>
      <c r="E163" s="28">
        <f>LN('②原始價格與FX'!G151/'②原始價格與FX'!G150)</f>
        <v/>
      </c>
      <c r="F163" s="28">
        <f>LN('②原始價格與FX'!H151/'②原始價格與FX'!H150)</f>
        <v/>
      </c>
      <c r="G163" s="28">
        <f>B163</f>
        <v/>
      </c>
      <c r="H163" s="29">
        <f>C163+E163</f>
        <v/>
      </c>
      <c r="I163" s="29">
        <f>D163+F163</f>
        <v/>
      </c>
      <c r="J163" s="30">
        <f>G163*'①基本設定'!$G$5+H163*'①基本設定'!$G$6+I163*'①基本設定'!$G$7</f>
        <v/>
      </c>
    </row>
    <row r="164">
      <c r="A164" s="5" t="inlineStr">
        <is>
          <t>2024-08-12</t>
        </is>
      </c>
      <c r="B164" s="28">
        <f>LN('②原始價格與FX'!B152/'②原始價格與FX'!B151)</f>
        <v/>
      </c>
      <c r="C164" s="28">
        <f>LN('②原始價格與FX'!C152/'②原始價格與FX'!C151)</f>
        <v/>
      </c>
      <c r="D164" s="28">
        <f>LN('②原始價格與FX'!D152/'②原始價格與FX'!D151)</f>
        <v/>
      </c>
      <c r="E164" s="28">
        <f>LN('②原始價格與FX'!G152/'②原始價格與FX'!G151)</f>
        <v/>
      </c>
      <c r="F164" s="28">
        <f>LN('②原始價格與FX'!H152/'②原始價格與FX'!H151)</f>
        <v/>
      </c>
      <c r="G164" s="28">
        <f>B164</f>
        <v/>
      </c>
      <c r="H164" s="29">
        <f>C164+E164</f>
        <v/>
      </c>
      <c r="I164" s="29">
        <f>D164+F164</f>
        <v/>
      </c>
      <c r="J164" s="31">
        <f>G164*'①基本設定'!$G$5+H164*'①基本設定'!$G$6+I164*'①基本設定'!$G$7</f>
        <v/>
      </c>
    </row>
    <row r="165">
      <c r="A165" s="5" t="inlineStr">
        <is>
          <t>2024-08-13</t>
        </is>
      </c>
      <c r="B165" s="28">
        <f>LN('②原始價格與FX'!B153/'②原始價格與FX'!B152)</f>
        <v/>
      </c>
      <c r="C165" s="28">
        <f>LN('②原始價格與FX'!C153/'②原始價格與FX'!C152)</f>
        <v/>
      </c>
      <c r="D165" s="28">
        <f>LN('②原始價格與FX'!D153/'②原始價格與FX'!D152)</f>
        <v/>
      </c>
      <c r="E165" s="28">
        <f>LN('②原始價格與FX'!G153/'②原始價格與FX'!G152)</f>
        <v/>
      </c>
      <c r="F165" s="28">
        <f>LN('②原始價格與FX'!H153/'②原始價格與FX'!H152)</f>
        <v/>
      </c>
      <c r="G165" s="28">
        <f>B165</f>
        <v/>
      </c>
      <c r="H165" s="29">
        <f>C165+E165</f>
        <v/>
      </c>
      <c r="I165" s="29">
        <f>D165+F165</f>
        <v/>
      </c>
      <c r="J165" s="31">
        <f>G165*'①基本設定'!$G$5+H165*'①基本設定'!$G$6+I165*'①基本設定'!$G$7</f>
        <v/>
      </c>
    </row>
    <row r="166">
      <c r="A166" s="5" t="inlineStr">
        <is>
          <t>2024-08-14</t>
        </is>
      </c>
      <c r="B166" s="28">
        <f>LN('②原始價格與FX'!B154/'②原始價格與FX'!B153)</f>
        <v/>
      </c>
      <c r="C166" s="28">
        <f>LN('②原始價格與FX'!C154/'②原始價格與FX'!C153)</f>
        <v/>
      </c>
      <c r="D166" s="28">
        <f>LN('②原始價格與FX'!D154/'②原始價格與FX'!D153)</f>
        <v/>
      </c>
      <c r="E166" s="28">
        <f>LN('②原始價格與FX'!G154/'②原始價格與FX'!G153)</f>
        <v/>
      </c>
      <c r="F166" s="28">
        <f>LN('②原始價格與FX'!H154/'②原始價格與FX'!H153)</f>
        <v/>
      </c>
      <c r="G166" s="28">
        <f>B166</f>
        <v/>
      </c>
      <c r="H166" s="29">
        <f>C166+E166</f>
        <v/>
      </c>
      <c r="I166" s="29">
        <f>D166+F166</f>
        <v/>
      </c>
      <c r="J166" s="30">
        <f>G166*'①基本設定'!$G$5+H166*'①基本設定'!$G$6+I166*'①基本設定'!$G$7</f>
        <v/>
      </c>
    </row>
    <row r="167">
      <c r="A167" s="5" t="inlineStr">
        <is>
          <t>2024-08-15</t>
        </is>
      </c>
      <c r="B167" s="28">
        <f>LN('②原始價格與FX'!B155/'②原始價格與FX'!B154)</f>
        <v/>
      </c>
      <c r="C167" s="28">
        <f>LN('②原始價格與FX'!C155/'②原始價格與FX'!C154)</f>
        <v/>
      </c>
      <c r="D167" s="28">
        <f>LN('②原始價格與FX'!D155/'②原始價格與FX'!D154)</f>
        <v/>
      </c>
      <c r="E167" s="28">
        <f>LN('②原始價格與FX'!G155/'②原始價格與FX'!G154)</f>
        <v/>
      </c>
      <c r="F167" s="28">
        <f>LN('②原始價格與FX'!H155/'②原始價格與FX'!H154)</f>
        <v/>
      </c>
      <c r="G167" s="28">
        <f>B167</f>
        <v/>
      </c>
      <c r="H167" s="29">
        <f>C167+E167</f>
        <v/>
      </c>
      <c r="I167" s="29">
        <f>D167+F167</f>
        <v/>
      </c>
      <c r="J167" s="30">
        <f>G167*'①基本設定'!$G$5+H167*'①基本設定'!$G$6+I167*'①基本設定'!$G$7</f>
        <v/>
      </c>
    </row>
    <row r="168">
      <c r="A168" s="5" t="inlineStr">
        <is>
          <t>2024-08-16</t>
        </is>
      </c>
      <c r="B168" s="28">
        <f>LN('②原始價格與FX'!B156/'②原始價格與FX'!B155)</f>
        <v/>
      </c>
      <c r="C168" s="28">
        <f>LN('②原始價格與FX'!C156/'②原始價格與FX'!C155)</f>
        <v/>
      </c>
      <c r="D168" s="28">
        <f>LN('②原始價格與FX'!D156/'②原始價格與FX'!D155)</f>
        <v/>
      </c>
      <c r="E168" s="28">
        <f>LN('②原始價格與FX'!G156/'②原始價格與FX'!G155)</f>
        <v/>
      </c>
      <c r="F168" s="28">
        <f>LN('②原始價格與FX'!H156/'②原始價格與FX'!H155)</f>
        <v/>
      </c>
      <c r="G168" s="28">
        <f>B168</f>
        <v/>
      </c>
      <c r="H168" s="29">
        <f>C168+E168</f>
        <v/>
      </c>
      <c r="I168" s="29">
        <f>D168+F168</f>
        <v/>
      </c>
      <c r="J168" s="30">
        <f>G168*'①基本設定'!$G$5+H168*'①基本設定'!$G$6+I168*'①基本設定'!$G$7</f>
        <v/>
      </c>
    </row>
    <row r="169">
      <c r="A169" s="5" t="inlineStr">
        <is>
          <t>2024-08-19</t>
        </is>
      </c>
      <c r="B169" s="28">
        <f>LN('②原始價格與FX'!B157/'②原始價格與FX'!B156)</f>
        <v/>
      </c>
      <c r="C169" s="28">
        <f>LN('②原始價格與FX'!C157/'②原始價格與FX'!C156)</f>
        <v/>
      </c>
      <c r="D169" s="28">
        <f>LN('②原始價格與FX'!D157/'②原始價格與FX'!D156)</f>
        <v/>
      </c>
      <c r="E169" s="28">
        <f>LN('②原始價格與FX'!G157/'②原始價格與FX'!G156)</f>
        <v/>
      </c>
      <c r="F169" s="28">
        <f>LN('②原始價格與FX'!H157/'②原始價格與FX'!H156)</f>
        <v/>
      </c>
      <c r="G169" s="28">
        <f>B169</f>
        <v/>
      </c>
      <c r="H169" s="29">
        <f>C169+E169</f>
        <v/>
      </c>
      <c r="I169" s="29">
        <f>D169+F169</f>
        <v/>
      </c>
      <c r="J169" s="31">
        <f>G169*'①基本設定'!$G$5+H169*'①基本設定'!$G$6+I169*'①基本設定'!$G$7</f>
        <v/>
      </c>
    </row>
    <row r="170">
      <c r="A170" s="5" t="inlineStr">
        <is>
          <t>2024-08-20</t>
        </is>
      </c>
      <c r="B170" s="28">
        <f>LN('②原始價格與FX'!B158/'②原始價格與FX'!B157)</f>
        <v/>
      </c>
      <c r="C170" s="28">
        <f>LN('②原始價格與FX'!C158/'②原始價格與FX'!C157)</f>
        <v/>
      </c>
      <c r="D170" s="28">
        <f>LN('②原始價格與FX'!D158/'②原始價格與FX'!D157)</f>
        <v/>
      </c>
      <c r="E170" s="28">
        <f>LN('②原始價格與FX'!G158/'②原始價格與FX'!G157)</f>
        <v/>
      </c>
      <c r="F170" s="28">
        <f>LN('②原始價格與FX'!H158/'②原始價格與FX'!H157)</f>
        <v/>
      </c>
      <c r="G170" s="28">
        <f>B170</f>
        <v/>
      </c>
      <c r="H170" s="29">
        <f>C170+E170</f>
        <v/>
      </c>
      <c r="I170" s="29">
        <f>D170+F170</f>
        <v/>
      </c>
      <c r="J170" s="30">
        <f>G170*'①基本設定'!$G$5+H170*'①基本設定'!$G$6+I170*'①基本設定'!$G$7</f>
        <v/>
      </c>
    </row>
    <row r="171">
      <c r="A171" s="5" t="inlineStr">
        <is>
          <t>2024-08-21</t>
        </is>
      </c>
      <c r="B171" s="28">
        <f>LN('②原始價格與FX'!B159/'②原始價格與FX'!B158)</f>
        <v/>
      </c>
      <c r="C171" s="28">
        <f>LN('②原始價格與FX'!C159/'②原始價格與FX'!C158)</f>
        <v/>
      </c>
      <c r="D171" s="28">
        <f>LN('②原始價格與FX'!D159/'②原始價格與FX'!D158)</f>
        <v/>
      </c>
      <c r="E171" s="28">
        <f>LN('②原始價格與FX'!G159/'②原始價格與FX'!G158)</f>
        <v/>
      </c>
      <c r="F171" s="28">
        <f>LN('②原始價格與FX'!H159/'②原始價格與FX'!H158)</f>
        <v/>
      </c>
      <c r="G171" s="28">
        <f>B171</f>
        <v/>
      </c>
      <c r="H171" s="29">
        <f>C171+E171</f>
        <v/>
      </c>
      <c r="I171" s="29">
        <f>D171+F171</f>
        <v/>
      </c>
      <c r="J171" s="30">
        <f>G171*'①基本設定'!$G$5+H171*'①基本設定'!$G$6+I171*'①基本設定'!$G$7</f>
        <v/>
      </c>
    </row>
    <row r="172">
      <c r="A172" s="5" t="inlineStr">
        <is>
          <t>2024-08-22</t>
        </is>
      </c>
      <c r="B172" s="28">
        <f>LN('②原始價格與FX'!B160/'②原始價格與FX'!B159)</f>
        <v/>
      </c>
      <c r="C172" s="28">
        <f>LN('②原始價格與FX'!C160/'②原始價格與FX'!C159)</f>
        <v/>
      </c>
      <c r="D172" s="28">
        <f>LN('②原始價格與FX'!D160/'②原始價格與FX'!D159)</f>
        <v/>
      </c>
      <c r="E172" s="28">
        <f>LN('②原始價格與FX'!G160/'②原始價格與FX'!G159)</f>
        <v/>
      </c>
      <c r="F172" s="28">
        <f>LN('②原始價格與FX'!H160/'②原始價格與FX'!H159)</f>
        <v/>
      </c>
      <c r="G172" s="28">
        <f>B172</f>
        <v/>
      </c>
      <c r="H172" s="29">
        <f>C172+E172</f>
        <v/>
      </c>
      <c r="I172" s="29">
        <f>D172+F172</f>
        <v/>
      </c>
      <c r="J172" s="31">
        <f>G172*'①基本設定'!$G$5+H172*'①基本設定'!$G$6+I172*'①基本設定'!$G$7</f>
        <v/>
      </c>
    </row>
    <row r="173">
      <c r="A173" s="5" t="inlineStr">
        <is>
          <t>2024-08-23</t>
        </is>
      </c>
      <c r="B173" s="28">
        <f>LN('②原始價格與FX'!B161/'②原始價格與FX'!B160)</f>
        <v/>
      </c>
      <c r="C173" s="28">
        <f>LN('②原始價格與FX'!C161/'②原始價格與FX'!C160)</f>
        <v/>
      </c>
      <c r="D173" s="28">
        <f>LN('②原始價格與FX'!D161/'②原始價格與FX'!D160)</f>
        <v/>
      </c>
      <c r="E173" s="28">
        <f>LN('②原始價格與FX'!G161/'②原始價格與FX'!G160)</f>
        <v/>
      </c>
      <c r="F173" s="28">
        <f>LN('②原始價格與FX'!H161/'②原始價格與FX'!H160)</f>
        <v/>
      </c>
      <c r="G173" s="28">
        <f>B173</f>
        <v/>
      </c>
      <c r="H173" s="29">
        <f>C173+E173</f>
        <v/>
      </c>
      <c r="I173" s="29">
        <f>D173+F173</f>
        <v/>
      </c>
      <c r="J173" s="31">
        <f>G173*'①基本設定'!$G$5+H173*'①基本設定'!$G$6+I173*'①基本設定'!$G$7</f>
        <v/>
      </c>
    </row>
    <row r="174">
      <c r="A174" s="5" t="inlineStr">
        <is>
          <t>2024-08-26</t>
        </is>
      </c>
      <c r="B174" s="28">
        <f>LN('②原始價格與FX'!B162/'②原始價格與FX'!B161)</f>
        <v/>
      </c>
      <c r="C174" s="28">
        <f>LN('②原始價格與FX'!C162/'②原始價格與FX'!C161)</f>
        <v/>
      </c>
      <c r="D174" s="28">
        <f>LN('②原始價格與FX'!D162/'②原始價格與FX'!D161)</f>
        <v/>
      </c>
      <c r="E174" s="28">
        <f>LN('②原始價格與FX'!G162/'②原始價格與FX'!G161)</f>
        <v/>
      </c>
      <c r="F174" s="28">
        <f>LN('②原始價格與FX'!H162/'②原始價格與FX'!H161)</f>
        <v/>
      </c>
      <c r="G174" s="28">
        <f>B174</f>
        <v/>
      </c>
      <c r="H174" s="29">
        <f>C174+E174</f>
        <v/>
      </c>
      <c r="I174" s="29">
        <f>D174+F174</f>
        <v/>
      </c>
      <c r="J174" s="30">
        <f>G174*'①基本設定'!$G$5+H174*'①基本設定'!$G$6+I174*'①基本設定'!$G$7</f>
        <v/>
      </c>
    </row>
    <row r="175">
      <c r="A175" s="5" t="inlineStr">
        <is>
          <t>2024-08-27</t>
        </is>
      </c>
      <c r="B175" s="28">
        <f>LN('②原始價格與FX'!B163/'②原始價格與FX'!B162)</f>
        <v/>
      </c>
      <c r="C175" s="28">
        <f>LN('②原始價格與FX'!C163/'②原始價格與FX'!C162)</f>
        <v/>
      </c>
      <c r="D175" s="28">
        <f>LN('②原始價格與FX'!D163/'②原始價格與FX'!D162)</f>
        <v/>
      </c>
      <c r="E175" s="28">
        <f>LN('②原始價格與FX'!G163/'②原始價格與FX'!G162)</f>
        <v/>
      </c>
      <c r="F175" s="28">
        <f>LN('②原始價格與FX'!H163/'②原始價格與FX'!H162)</f>
        <v/>
      </c>
      <c r="G175" s="28">
        <f>B175</f>
        <v/>
      </c>
      <c r="H175" s="29">
        <f>C175+E175</f>
        <v/>
      </c>
      <c r="I175" s="29">
        <f>D175+F175</f>
        <v/>
      </c>
      <c r="J175" s="30">
        <f>G175*'①基本設定'!$G$5+H175*'①基本設定'!$G$6+I175*'①基本設定'!$G$7</f>
        <v/>
      </c>
    </row>
    <row r="176">
      <c r="A176" s="5" t="inlineStr">
        <is>
          <t>2024-08-28</t>
        </is>
      </c>
      <c r="B176" s="28">
        <f>LN('②原始價格與FX'!B164/'②原始價格與FX'!B163)</f>
        <v/>
      </c>
      <c r="C176" s="28">
        <f>LN('②原始價格與FX'!C164/'②原始價格與FX'!C163)</f>
        <v/>
      </c>
      <c r="D176" s="28">
        <f>LN('②原始價格與FX'!D164/'②原始價格與FX'!D163)</f>
        <v/>
      </c>
      <c r="E176" s="28">
        <f>LN('②原始價格與FX'!G164/'②原始價格與FX'!G163)</f>
        <v/>
      </c>
      <c r="F176" s="28">
        <f>LN('②原始價格與FX'!H164/'②原始價格與FX'!H163)</f>
        <v/>
      </c>
      <c r="G176" s="28">
        <f>B176</f>
        <v/>
      </c>
      <c r="H176" s="29">
        <f>C176+E176</f>
        <v/>
      </c>
      <c r="I176" s="29">
        <f>D176+F176</f>
        <v/>
      </c>
      <c r="J176" s="31">
        <f>G176*'①基本設定'!$G$5+H176*'①基本設定'!$G$6+I176*'①基本設定'!$G$7</f>
        <v/>
      </c>
    </row>
    <row r="177">
      <c r="A177" s="5" t="inlineStr">
        <is>
          <t>2024-08-29</t>
        </is>
      </c>
      <c r="B177" s="28">
        <f>LN('②原始價格與FX'!B165/'②原始價格與FX'!B164)</f>
        <v/>
      </c>
      <c r="C177" s="28">
        <f>LN('②原始價格與FX'!C165/'②原始價格與FX'!C164)</f>
        <v/>
      </c>
      <c r="D177" s="28">
        <f>LN('②原始價格與FX'!D165/'②原始價格與FX'!D164)</f>
        <v/>
      </c>
      <c r="E177" s="28">
        <f>LN('②原始價格與FX'!G165/'②原始價格與FX'!G164)</f>
        <v/>
      </c>
      <c r="F177" s="28">
        <f>LN('②原始價格與FX'!H165/'②原始價格與FX'!H164)</f>
        <v/>
      </c>
      <c r="G177" s="28">
        <f>B177</f>
        <v/>
      </c>
      <c r="H177" s="29">
        <f>C177+E177</f>
        <v/>
      </c>
      <c r="I177" s="29">
        <f>D177+F177</f>
        <v/>
      </c>
      <c r="J177" s="30">
        <f>G177*'①基本設定'!$G$5+H177*'①基本設定'!$G$6+I177*'①基本設定'!$G$7</f>
        <v/>
      </c>
    </row>
    <row r="178">
      <c r="A178" s="5" t="inlineStr">
        <is>
          <t>2024-08-30</t>
        </is>
      </c>
      <c r="B178" s="28">
        <f>LN('②原始價格與FX'!B166/'②原始價格與FX'!B165)</f>
        <v/>
      </c>
      <c r="C178" s="28">
        <f>LN('②原始價格與FX'!C166/'②原始價格與FX'!C165)</f>
        <v/>
      </c>
      <c r="D178" s="28">
        <f>LN('②原始價格與FX'!D166/'②原始價格與FX'!D165)</f>
        <v/>
      </c>
      <c r="E178" s="28">
        <f>LN('②原始價格與FX'!G166/'②原始價格與FX'!G165)</f>
        <v/>
      </c>
      <c r="F178" s="28">
        <f>LN('②原始價格與FX'!H166/'②原始價格與FX'!H165)</f>
        <v/>
      </c>
      <c r="G178" s="28">
        <f>B178</f>
        <v/>
      </c>
      <c r="H178" s="29">
        <f>C178+E178</f>
        <v/>
      </c>
      <c r="I178" s="29">
        <f>D178+F178</f>
        <v/>
      </c>
      <c r="J178" s="30">
        <f>G178*'①基本設定'!$G$5+H178*'①基本設定'!$G$6+I178*'①基本設定'!$G$7</f>
        <v/>
      </c>
    </row>
    <row r="179">
      <c r="A179" s="5" t="inlineStr">
        <is>
          <t>2024-09-02</t>
        </is>
      </c>
      <c r="B179" s="28">
        <f>LN('②原始價格與FX'!B167/'②原始價格與FX'!B166)</f>
        <v/>
      </c>
      <c r="C179" s="28">
        <f>LN('②原始價格與FX'!C167/'②原始價格與FX'!C166)</f>
        <v/>
      </c>
      <c r="D179" s="28">
        <f>LN('②原始價格與FX'!D167/'②原始價格與FX'!D166)</f>
        <v/>
      </c>
      <c r="E179" s="28">
        <f>LN('②原始價格與FX'!G167/'②原始價格與FX'!G166)</f>
        <v/>
      </c>
      <c r="F179" s="28">
        <f>LN('②原始價格與FX'!H167/'②原始價格與FX'!H166)</f>
        <v/>
      </c>
      <c r="G179" s="28">
        <f>B179</f>
        <v/>
      </c>
      <c r="H179" s="29">
        <f>C179+E179</f>
        <v/>
      </c>
      <c r="I179" s="29">
        <f>D179+F179</f>
        <v/>
      </c>
      <c r="J179" s="31">
        <f>G179*'①基本設定'!$G$5+H179*'①基本設定'!$G$6+I179*'①基本設定'!$G$7</f>
        <v/>
      </c>
    </row>
    <row r="180">
      <c r="A180" s="5" t="inlineStr">
        <is>
          <t>2024-09-03</t>
        </is>
      </c>
      <c r="B180" s="28">
        <f>LN('②原始價格與FX'!B168/'②原始價格與FX'!B167)</f>
        <v/>
      </c>
      <c r="C180" s="28">
        <f>LN('②原始價格與FX'!C168/'②原始價格與FX'!C167)</f>
        <v/>
      </c>
      <c r="D180" s="28">
        <f>LN('②原始價格與FX'!D168/'②原始價格與FX'!D167)</f>
        <v/>
      </c>
      <c r="E180" s="28">
        <f>LN('②原始價格與FX'!G168/'②原始價格與FX'!G167)</f>
        <v/>
      </c>
      <c r="F180" s="28">
        <f>LN('②原始價格與FX'!H168/'②原始價格與FX'!H167)</f>
        <v/>
      </c>
      <c r="G180" s="28">
        <f>B180</f>
        <v/>
      </c>
      <c r="H180" s="29">
        <f>C180+E180</f>
        <v/>
      </c>
      <c r="I180" s="29">
        <f>D180+F180</f>
        <v/>
      </c>
      <c r="J180" s="31">
        <f>G180*'①基本設定'!$G$5+H180*'①基本設定'!$G$6+I180*'①基本設定'!$G$7</f>
        <v/>
      </c>
    </row>
    <row r="181">
      <c r="A181" s="5" t="inlineStr">
        <is>
          <t>2024-09-04</t>
        </is>
      </c>
      <c r="B181" s="28">
        <f>LN('②原始價格與FX'!B169/'②原始價格與FX'!B168)</f>
        <v/>
      </c>
      <c r="C181" s="28">
        <f>LN('②原始價格與FX'!C169/'②原始價格與FX'!C168)</f>
        <v/>
      </c>
      <c r="D181" s="28">
        <f>LN('②原始價格與FX'!D169/'②原始價格與FX'!D168)</f>
        <v/>
      </c>
      <c r="E181" s="28">
        <f>LN('②原始價格與FX'!G169/'②原始價格與FX'!G168)</f>
        <v/>
      </c>
      <c r="F181" s="28">
        <f>LN('②原始價格與FX'!H169/'②原始價格與FX'!H168)</f>
        <v/>
      </c>
      <c r="G181" s="28">
        <f>B181</f>
        <v/>
      </c>
      <c r="H181" s="29">
        <f>C181+E181</f>
        <v/>
      </c>
      <c r="I181" s="29">
        <f>D181+F181</f>
        <v/>
      </c>
      <c r="J181" s="30">
        <f>G181*'①基本設定'!$G$5+H181*'①基本設定'!$G$6+I181*'①基本設定'!$G$7</f>
        <v/>
      </c>
    </row>
    <row r="182">
      <c r="A182" s="5" t="inlineStr">
        <is>
          <t>2024-09-05</t>
        </is>
      </c>
      <c r="B182" s="28">
        <f>LN('②原始價格與FX'!B170/'②原始價格與FX'!B169)</f>
        <v/>
      </c>
      <c r="C182" s="28">
        <f>LN('②原始價格與FX'!C170/'②原始價格與FX'!C169)</f>
        <v/>
      </c>
      <c r="D182" s="28">
        <f>LN('②原始價格與FX'!D170/'②原始價格與FX'!D169)</f>
        <v/>
      </c>
      <c r="E182" s="28">
        <f>LN('②原始價格與FX'!G170/'②原始價格與FX'!G169)</f>
        <v/>
      </c>
      <c r="F182" s="28">
        <f>LN('②原始價格與FX'!H170/'②原始價格與FX'!H169)</f>
        <v/>
      </c>
      <c r="G182" s="28">
        <f>B182</f>
        <v/>
      </c>
      <c r="H182" s="29">
        <f>C182+E182</f>
        <v/>
      </c>
      <c r="I182" s="29">
        <f>D182+F182</f>
        <v/>
      </c>
      <c r="J182" s="30">
        <f>G182*'①基本設定'!$G$5+H182*'①基本設定'!$G$6+I182*'①基本設定'!$G$7</f>
        <v/>
      </c>
    </row>
    <row r="183">
      <c r="A183" s="5" t="inlineStr">
        <is>
          <t>2024-09-06</t>
        </is>
      </c>
      <c r="B183" s="28">
        <f>LN('②原始價格與FX'!B171/'②原始價格與FX'!B170)</f>
        <v/>
      </c>
      <c r="C183" s="28">
        <f>LN('②原始價格與FX'!C171/'②原始價格與FX'!C170)</f>
        <v/>
      </c>
      <c r="D183" s="28">
        <f>LN('②原始價格與FX'!D171/'②原始價格與FX'!D170)</f>
        <v/>
      </c>
      <c r="E183" s="28">
        <f>LN('②原始價格與FX'!G171/'②原始價格與FX'!G170)</f>
        <v/>
      </c>
      <c r="F183" s="28">
        <f>LN('②原始價格與FX'!H171/'②原始價格與FX'!H170)</f>
        <v/>
      </c>
      <c r="G183" s="28">
        <f>B183</f>
        <v/>
      </c>
      <c r="H183" s="29">
        <f>C183+E183</f>
        <v/>
      </c>
      <c r="I183" s="29">
        <f>D183+F183</f>
        <v/>
      </c>
      <c r="J183" s="30">
        <f>G183*'①基本設定'!$G$5+H183*'①基本設定'!$G$6+I183*'①基本設定'!$G$7</f>
        <v/>
      </c>
    </row>
    <row r="184">
      <c r="A184" s="5" t="inlineStr">
        <is>
          <t>2024-09-09</t>
        </is>
      </c>
      <c r="B184" s="28">
        <f>LN('②原始價格與FX'!B172/'②原始價格與FX'!B171)</f>
        <v/>
      </c>
      <c r="C184" s="28">
        <f>LN('②原始價格與FX'!C172/'②原始價格與FX'!C171)</f>
        <v/>
      </c>
      <c r="D184" s="28">
        <f>LN('②原始價格與FX'!D172/'②原始價格與FX'!D171)</f>
        <v/>
      </c>
      <c r="E184" s="28">
        <f>LN('②原始價格與FX'!G172/'②原始價格與FX'!G171)</f>
        <v/>
      </c>
      <c r="F184" s="28">
        <f>LN('②原始價格與FX'!H172/'②原始價格與FX'!H171)</f>
        <v/>
      </c>
      <c r="G184" s="28">
        <f>B184</f>
        <v/>
      </c>
      <c r="H184" s="29">
        <f>C184+E184</f>
        <v/>
      </c>
      <c r="I184" s="29">
        <f>D184+F184</f>
        <v/>
      </c>
      <c r="J184" s="31">
        <f>G184*'①基本設定'!$G$5+H184*'①基本設定'!$G$6+I184*'①基本設定'!$G$7</f>
        <v/>
      </c>
    </row>
    <row r="185">
      <c r="A185" s="5" t="inlineStr">
        <is>
          <t>2024-09-10</t>
        </is>
      </c>
      <c r="B185" s="28">
        <f>LN('②原始價格與FX'!B173/'②原始價格與FX'!B172)</f>
        <v/>
      </c>
      <c r="C185" s="28">
        <f>LN('②原始價格與FX'!C173/'②原始價格與FX'!C172)</f>
        <v/>
      </c>
      <c r="D185" s="28">
        <f>LN('②原始價格與FX'!D173/'②原始價格與FX'!D172)</f>
        <v/>
      </c>
      <c r="E185" s="28">
        <f>LN('②原始價格與FX'!G173/'②原始價格與FX'!G172)</f>
        <v/>
      </c>
      <c r="F185" s="28">
        <f>LN('②原始價格與FX'!H173/'②原始價格與FX'!H172)</f>
        <v/>
      </c>
      <c r="G185" s="28">
        <f>B185</f>
        <v/>
      </c>
      <c r="H185" s="29">
        <f>C185+E185</f>
        <v/>
      </c>
      <c r="I185" s="29">
        <f>D185+F185</f>
        <v/>
      </c>
      <c r="J185" s="30">
        <f>G185*'①基本設定'!$G$5+H185*'①基本設定'!$G$6+I185*'①基本設定'!$G$7</f>
        <v/>
      </c>
    </row>
    <row r="186">
      <c r="A186" s="5" t="inlineStr">
        <is>
          <t>2024-09-11</t>
        </is>
      </c>
      <c r="B186" s="28">
        <f>LN('②原始價格與FX'!B174/'②原始價格與FX'!B173)</f>
        <v/>
      </c>
      <c r="C186" s="28">
        <f>LN('②原始價格與FX'!C174/'②原始價格與FX'!C173)</f>
        <v/>
      </c>
      <c r="D186" s="28">
        <f>LN('②原始價格與FX'!D174/'②原始價格與FX'!D173)</f>
        <v/>
      </c>
      <c r="E186" s="28">
        <f>LN('②原始價格與FX'!G174/'②原始價格與FX'!G173)</f>
        <v/>
      </c>
      <c r="F186" s="28">
        <f>LN('②原始價格與FX'!H174/'②原始價格與FX'!H173)</f>
        <v/>
      </c>
      <c r="G186" s="28">
        <f>B186</f>
        <v/>
      </c>
      <c r="H186" s="29">
        <f>C186+E186</f>
        <v/>
      </c>
      <c r="I186" s="29">
        <f>D186+F186</f>
        <v/>
      </c>
      <c r="J186" s="31">
        <f>G186*'①基本設定'!$G$5+H186*'①基本設定'!$G$6+I186*'①基本設定'!$G$7</f>
        <v/>
      </c>
    </row>
    <row r="187">
      <c r="A187" s="5" t="inlineStr">
        <is>
          <t>2024-09-12</t>
        </is>
      </c>
      <c r="B187" s="28">
        <f>LN('②原始價格與FX'!B175/'②原始價格與FX'!B174)</f>
        <v/>
      </c>
      <c r="C187" s="28">
        <f>LN('②原始價格與FX'!C175/'②原始價格與FX'!C174)</f>
        <v/>
      </c>
      <c r="D187" s="28">
        <f>LN('②原始價格與FX'!D175/'②原始價格與FX'!D174)</f>
        <v/>
      </c>
      <c r="E187" s="28">
        <f>LN('②原始價格與FX'!G175/'②原始價格與FX'!G174)</f>
        <v/>
      </c>
      <c r="F187" s="28">
        <f>LN('②原始價格與FX'!H175/'②原始價格與FX'!H174)</f>
        <v/>
      </c>
      <c r="G187" s="28">
        <f>B187</f>
        <v/>
      </c>
      <c r="H187" s="29">
        <f>C187+E187</f>
        <v/>
      </c>
      <c r="I187" s="29">
        <f>D187+F187</f>
        <v/>
      </c>
      <c r="J187" s="30">
        <f>G187*'①基本設定'!$G$5+H187*'①基本設定'!$G$6+I187*'①基本設定'!$G$7</f>
        <v/>
      </c>
    </row>
    <row r="188">
      <c r="A188" s="5" t="inlineStr">
        <is>
          <t>2024-09-13</t>
        </is>
      </c>
      <c r="B188" s="28">
        <f>LN('②原始價格與FX'!B176/'②原始價格與FX'!B175)</f>
        <v/>
      </c>
      <c r="C188" s="28">
        <f>LN('②原始價格與FX'!C176/'②原始價格與FX'!C175)</f>
        <v/>
      </c>
      <c r="D188" s="28">
        <f>LN('②原始價格與FX'!D176/'②原始價格與FX'!D175)</f>
        <v/>
      </c>
      <c r="E188" s="28">
        <f>LN('②原始價格與FX'!G176/'②原始價格與FX'!G175)</f>
        <v/>
      </c>
      <c r="F188" s="28">
        <f>LN('②原始價格與FX'!H176/'②原始價格與FX'!H175)</f>
        <v/>
      </c>
      <c r="G188" s="28">
        <f>B188</f>
        <v/>
      </c>
      <c r="H188" s="29">
        <f>C188+E188</f>
        <v/>
      </c>
      <c r="I188" s="29">
        <f>D188+F188</f>
        <v/>
      </c>
      <c r="J188" s="31">
        <f>G188*'①基本設定'!$G$5+H188*'①基本設定'!$G$6+I188*'①基本設定'!$G$7</f>
        <v/>
      </c>
    </row>
    <row r="189">
      <c r="A189" s="5" t="inlineStr">
        <is>
          <t>2024-09-16</t>
        </is>
      </c>
      <c r="B189" s="28">
        <f>LN('②原始價格與FX'!B177/'②原始價格與FX'!B176)</f>
        <v/>
      </c>
      <c r="C189" s="28">
        <f>LN('②原始價格與FX'!C177/'②原始價格與FX'!C176)</f>
        <v/>
      </c>
      <c r="D189" s="28">
        <f>LN('②原始價格與FX'!D177/'②原始價格與FX'!D176)</f>
        <v/>
      </c>
      <c r="E189" s="28">
        <f>LN('②原始價格與FX'!G177/'②原始價格與FX'!G176)</f>
        <v/>
      </c>
      <c r="F189" s="28">
        <f>LN('②原始價格與FX'!H177/'②原始價格與FX'!H176)</f>
        <v/>
      </c>
      <c r="G189" s="28">
        <f>B189</f>
        <v/>
      </c>
      <c r="H189" s="29">
        <f>C189+E189</f>
        <v/>
      </c>
      <c r="I189" s="29">
        <f>D189+F189</f>
        <v/>
      </c>
      <c r="J189" s="30">
        <f>G189*'①基本設定'!$G$5+H189*'①基本設定'!$G$6+I189*'①基本設定'!$G$7</f>
        <v/>
      </c>
    </row>
    <row r="190">
      <c r="A190" s="5" t="inlineStr">
        <is>
          <t>2024-09-17</t>
        </is>
      </c>
      <c r="B190" s="28">
        <f>LN('②原始價格與FX'!B178/'②原始價格與FX'!B177)</f>
        <v/>
      </c>
      <c r="C190" s="28">
        <f>LN('②原始價格與FX'!C178/'②原始價格與FX'!C177)</f>
        <v/>
      </c>
      <c r="D190" s="28">
        <f>LN('②原始價格與FX'!D178/'②原始價格與FX'!D177)</f>
        <v/>
      </c>
      <c r="E190" s="28">
        <f>LN('②原始價格與FX'!G178/'②原始價格與FX'!G177)</f>
        <v/>
      </c>
      <c r="F190" s="28">
        <f>LN('②原始價格與FX'!H178/'②原始價格與FX'!H177)</f>
        <v/>
      </c>
      <c r="G190" s="28">
        <f>B190</f>
        <v/>
      </c>
      <c r="H190" s="29">
        <f>C190+E190</f>
        <v/>
      </c>
      <c r="I190" s="29">
        <f>D190+F190</f>
        <v/>
      </c>
      <c r="J190" s="30">
        <f>G190*'①基本設定'!$G$5+H190*'①基本設定'!$G$6+I190*'①基本設定'!$G$7</f>
        <v/>
      </c>
    </row>
    <row r="191">
      <c r="A191" s="5" t="inlineStr">
        <is>
          <t>2024-09-18</t>
        </is>
      </c>
      <c r="B191" s="28">
        <f>LN('②原始價格與FX'!B179/'②原始價格與FX'!B178)</f>
        <v/>
      </c>
      <c r="C191" s="28">
        <f>LN('②原始價格與FX'!C179/'②原始價格與FX'!C178)</f>
        <v/>
      </c>
      <c r="D191" s="28">
        <f>LN('②原始價格與FX'!D179/'②原始價格與FX'!D178)</f>
        <v/>
      </c>
      <c r="E191" s="28">
        <f>LN('②原始價格與FX'!G179/'②原始價格與FX'!G178)</f>
        <v/>
      </c>
      <c r="F191" s="28">
        <f>LN('②原始價格與FX'!H179/'②原始價格與FX'!H178)</f>
        <v/>
      </c>
      <c r="G191" s="28">
        <f>B191</f>
        <v/>
      </c>
      <c r="H191" s="29">
        <f>C191+E191</f>
        <v/>
      </c>
      <c r="I191" s="29">
        <f>D191+F191</f>
        <v/>
      </c>
      <c r="J191" s="30">
        <f>G191*'①基本設定'!$G$5+H191*'①基本設定'!$G$6+I191*'①基本設定'!$G$7</f>
        <v/>
      </c>
    </row>
    <row r="192">
      <c r="A192" s="5" t="inlineStr">
        <is>
          <t>2024-09-19</t>
        </is>
      </c>
      <c r="B192" s="28">
        <f>LN('②原始價格與FX'!B180/'②原始價格與FX'!B179)</f>
        <v/>
      </c>
      <c r="C192" s="28">
        <f>LN('②原始價格與FX'!C180/'②原始價格與FX'!C179)</f>
        <v/>
      </c>
      <c r="D192" s="28">
        <f>LN('②原始價格與FX'!D180/'②原始價格與FX'!D179)</f>
        <v/>
      </c>
      <c r="E192" s="28">
        <f>LN('②原始價格與FX'!G180/'②原始價格與FX'!G179)</f>
        <v/>
      </c>
      <c r="F192" s="28">
        <f>LN('②原始價格與FX'!H180/'②原始價格與FX'!H179)</f>
        <v/>
      </c>
      <c r="G192" s="28">
        <f>B192</f>
        <v/>
      </c>
      <c r="H192" s="29">
        <f>C192+E192</f>
        <v/>
      </c>
      <c r="I192" s="29">
        <f>D192+F192</f>
        <v/>
      </c>
      <c r="J192" s="31">
        <f>G192*'①基本設定'!$G$5+H192*'①基本設定'!$G$6+I192*'①基本設定'!$G$7</f>
        <v/>
      </c>
    </row>
    <row r="193">
      <c r="A193" s="5" t="inlineStr">
        <is>
          <t>2024-09-20</t>
        </is>
      </c>
      <c r="B193" s="28">
        <f>LN('②原始價格與FX'!B181/'②原始價格與FX'!B180)</f>
        <v/>
      </c>
      <c r="C193" s="28">
        <f>LN('②原始價格與FX'!C181/'②原始價格與FX'!C180)</f>
        <v/>
      </c>
      <c r="D193" s="28">
        <f>LN('②原始價格與FX'!D181/'②原始價格與FX'!D180)</f>
        <v/>
      </c>
      <c r="E193" s="28">
        <f>LN('②原始價格與FX'!G181/'②原始價格與FX'!G180)</f>
        <v/>
      </c>
      <c r="F193" s="28">
        <f>LN('②原始價格與FX'!H181/'②原始價格與FX'!H180)</f>
        <v/>
      </c>
      <c r="G193" s="28">
        <f>B193</f>
        <v/>
      </c>
      <c r="H193" s="29">
        <f>C193+E193</f>
        <v/>
      </c>
      <c r="I193" s="29">
        <f>D193+F193</f>
        <v/>
      </c>
      <c r="J193" s="30">
        <f>G193*'①基本設定'!$G$5+H193*'①基本設定'!$G$6+I193*'①基本設定'!$G$7</f>
        <v/>
      </c>
    </row>
    <row r="194">
      <c r="A194" s="5" t="inlineStr">
        <is>
          <t>2024-09-23</t>
        </is>
      </c>
      <c r="B194" s="28">
        <f>LN('②原始價格與FX'!B182/'②原始價格與FX'!B181)</f>
        <v/>
      </c>
      <c r="C194" s="28">
        <f>LN('②原始價格與FX'!C182/'②原始價格與FX'!C181)</f>
        <v/>
      </c>
      <c r="D194" s="28">
        <f>LN('②原始價格與FX'!D182/'②原始價格與FX'!D181)</f>
        <v/>
      </c>
      <c r="E194" s="28">
        <f>LN('②原始價格與FX'!G182/'②原始價格與FX'!G181)</f>
        <v/>
      </c>
      <c r="F194" s="28">
        <f>LN('②原始價格與FX'!H182/'②原始價格與FX'!H181)</f>
        <v/>
      </c>
      <c r="G194" s="28">
        <f>B194</f>
        <v/>
      </c>
      <c r="H194" s="29">
        <f>C194+E194</f>
        <v/>
      </c>
      <c r="I194" s="29">
        <f>D194+F194</f>
        <v/>
      </c>
      <c r="J194" s="30">
        <f>G194*'①基本設定'!$G$5+H194*'①基本設定'!$G$6+I194*'①基本設定'!$G$7</f>
        <v/>
      </c>
    </row>
    <row r="195">
      <c r="A195" s="5" t="inlineStr">
        <is>
          <t>2024-09-24</t>
        </is>
      </c>
      <c r="B195" s="28">
        <f>LN('②原始價格與FX'!B183/'②原始價格與FX'!B182)</f>
        <v/>
      </c>
      <c r="C195" s="28">
        <f>LN('②原始價格與FX'!C183/'②原始價格與FX'!C182)</f>
        <v/>
      </c>
      <c r="D195" s="28">
        <f>LN('②原始價格與FX'!D183/'②原始價格與FX'!D182)</f>
        <v/>
      </c>
      <c r="E195" s="28">
        <f>LN('②原始價格與FX'!G183/'②原始價格與FX'!G182)</f>
        <v/>
      </c>
      <c r="F195" s="28">
        <f>LN('②原始價格與FX'!H183/'②原始價格與FX'!H182)</f>
        <v/>
      </c>
      <c r="G195" s="28">
        <f>B195</f>
        <v/>
      </c>
      <c r="H195" s="29">
        <f>C195+E195</f>
        <v/>
      </c>
      <c r="I195" s="29">
        <f>D195+F195</f>
        <v/>
      </c>
      <c r="J195" s="30">
        <f>G195*'①基本設定'!$G$5+H195*'①基本設定'!$G$6+I195*'①基本設定'!$G$7</f>
        <v/>
      </c>
    </row>
    <row r="196">
      <c r="A196" s="5" t="inlineStr">
        <is>
          <t>2024-09-25</t>
        </is>
      </c>
      <c r="B196" s="28">
        <f>LN('②原始價格與FX'!B184/'②原始價格與FX'!B183)</f>
        <v/>
      </c>
      <c r="C196" s="28">
        <f>LN('②原始價格與FX'!C184/'②原始價格與FX'!C183)</f>
        <v/>
      </c>
      <c r="D196" s="28">
        <f>LN('②原始價格與FX'!D184/'②原始價格與FX'!D183)</f>
        <v/>
      </c>
      <c r="E196" s="28">
        <f>LN('②原始價格與FX'!G184/'②原始價格與FX'!G183)</f>
        <v/>
      </c>
      <c r="F196" s="28">
        <f>LN('②原始價格與FX'!H184/'②原始價格與FX'!H183)</f>
        <v/>
      </c>
      <c r="G196" s="28">
        <f>B196</f>
        <v/>
      </c>
      <c r="H196" s="29">
        <f>C196+E196</f>
        <v/>
      </c>
      <c r="I196" s="29">
        <f>D196+F196</f>
        <v/>
      </c>
      <c r="J196" s="31">
        <f>G196*'①基本設定'!$G$5+H196*'①基本設定'!$G$6+I196*'①基本設定'!$G$7</f>
        <v/>
      </c>
    </row>
    <row r="197">
      <c r="A197" s="5" t="inlineStr">
        <is>
          <t>2024-09-26</t>
        </is>
      </c>
      <c r="B197" s="28">
        <f>LN('②原始價格與FX'!B185/'②原始價格與FX'!B184)</f>
        <v/>
      </c>
      <c r="C197" s="28">
        <f>LN('②原始價格與FX'!C185/'②原始價格與FX'!C184)</f>
        <v/>
      </c>
      <c r="D197" s="28">
        <f>LN('②原始價格與FX'!D185/'②原始價格與FX'!D184)</f>
        <v/>
      </c>
      <c r="E197" s="28">
        <f>LN('②原始價格與FX'!G185/'②原始價格與FX'!G184)</f>
        <v/>
      </c>
      <c r="F197" s="28">
        <f>LN('②原始價格與FX'!H185/'②原始價格與FX'!H184)</f>
        <v/>
      </c>
      <c r="G197" s="28">
        <f>B197</f>
        <v/>
      </c>
      <c r="H197" s="29">
        <f>C197+E197</f>
        <v/>
      </c>
      <c r="I197" s="29">
        <f>D197+F197</f>
        <v/>
      </c>
      <c r="J197" s="30">
        <f>G197*'①基本設定'!$G$5+H197*'①基本設定'!$G$6+I197*'①基本設定'!$G$7</f>
        <v/>
      </c>
    </row>
    <row r="198">
      <c r="A198" s="5" t="inlineStr">
        <is>
          <t>2024-09-27</t>
        </is>
      </c>
      <c r="B198" s="28">
        <f>LN('②原始價格與FX'!B186/'②原始價格與FX'!B185)</f>
        <v/>
      </c>
      <c r="C198" s="28">
        <f>LN('②原始價格與FX'!C186/'②原始價格與FX'!C185)</f>
        <v/>
      </c>
      <c r="D198" s="28">
        <f>LN('②原始價格與FX'!D186/'②原始價格與FX'!D185)</f>
        <v/>
      </c>
      <c r="E198" s="28">
        <f>LN('②原始價格與FX'!G186/'②原始價格與FX'!G185)</f>
        <v/>
      </c>
      <c r="F198" s="28">
        <f>LN('②原始價格與FX'!H186/'②原始價格與FX'!H185)</f>
        <v/>
      </c>
      <c r="G198" s="28">
        <f>B198</f>
        <v/>
      </c>
      <c r="H198" s="29">
        <f>C198+E198</f>
        <v/>
      </c>
      <c r="I198" s="29">
        <f>D198+F198</f>
        <v/>
      </c>
      <c r="J198" s="30">
        <f>G198*'①基本設定'!$G$5+H198*'①基本設定'!$G$6+I198*'①基本設定'!$G$7</f>
        <v/>
      </c>
    </row>
    <row r="199">
      <c r="A199" s="5" t="inlineStr">
        <is>
          <t>2024-09-30</t>
        </is>
      </c>
      <c r="B199" s="28">
        <f>LN('②原始價格與FX'!B187/'②原始價格與FX'!B186)</f>
        <v/>
      </c>
      <c r="C199" s="28">
        <f>LN('②原始價格與FX'!C187/'②原始價格與FX'!C186)</f>
        <v/>
      </c>
      <c r="D199" s="28">
        <f>LN('②原始價格與FX'!D187/'②原始價格與FX'!D186)</f>
        <v/>
      </c>
      <c r="E199" s="28">
        <f>LN('②原始價格與FX'!G187/'②原始價格與FX'!G186)</f>
        <v/>
      </c>
      <c r="F199" s="28">
        <f>LN('②原始價格與FX'!H187/'②原始價格與FX'!H186)</f>
        <v/>
      </c>
      <c r="G199" s="28">
        <f>B199</f>
        <v/>
      </c>
      <c r="H199" s="29">
        <f>C199+E199</f>
        <v/>
      </c>
      <c r="I199" s="29">
        <f>D199+F199</f>
        <v/>
      </c>
      <c r="J199" s="30">
        <f>G199*'①基本設定'!$G$5+H199*'①基本設定'!$G$6+I199*'①基本設定'!$G$7</f>
        <v/>
      </c>
    </row>
    <row r="200">
      <c r="A200" s="5" t="inlineStr">
        <is>
          <t>2024-10-01</t>
        </is>
      </c>
      <c r="B200" s="28">
        <f>LN('②原始價格與FX'!B188/'②原始價格與FX'!B187)</f>
        <v/>
      </c>
      <c r="C200" s="28">
        <f>LN('②原始價格與FX'!C188/'②原始價格與FX'!C187)</f>
        <v/>
      </c>
      <c r="D200" s="28">
        <f>LN('②原始價格與FX'!D188/'②原始價格與FX'!D187)</f>
        <v/>
      </c>
      <c r="E200" s="28">
        <f>LN('②原始價格與FX'!G188/'②原始價格與FX'!G187)</f>
        <v/>
      </c>
      <c r="F200" s="28">
        <f>LN('②原始價格與FX'!H188/'②原始價格與FX'!H187)</f>
        <v/>
      </c>
      <c r="G200" s="28">
        <f>B200</f>
        <v/>
      </c>
      <c r="H200" s="29">
        <f>C200+E200</f>
        <v/>
      </c>
      <c r="I200" s="29">
        <f>D200+F200</f>
        <v/>
      </c>
      <c r="J200" s="30">
        <f>G200*'①基本設定'!$G$5+H200*'①基本設定'!$G$6+I200*'①基本設定'!$G$7</f>
        <v/>
      </c>
    </row>
    <row r="201">
      <c r="A201" s="5" t="inlineStr">
        <is>
          <t>2024-10-02</t>
        </is>
      </c>
      <c r="B201" s="28">
        <f>LN('②原始價格與FX'!B189/'②原始價格與FX'!B188)</f>
        <v/>
      </c>
      <c r="C201" s="28">
        <f>LN('②原始價格與FX'!C189/'②原始價格與FX'!C188)</f>
        <v/>
      </c>
      <c r="D201" s="28">
        <f>LN('②原始價格與FX'!D189/'②原始價格與FX'!D188)</f>
        <v/>
      </c>
      <c r="E201" s="28">
        <f>LN('②原始價格與FX'!G189/'②原始價格與FX'!G188)</f>
        <v/>
      </c>
      <c r="F201" s="28">
        <f>LN('②原始價格與FX'!H189/'②原始價格與FX'!H188)</f>
        <v/>
      </c>
      <c r="G201" s="28">
        <f>B201</f>
        <v/>
      </c>
      <c r="H201" s="29">
        <f>C201+E201</f>
        <v/>
      </c>
      <c r="I201" s="29">
        <f>D201+F201</f>
        <v/>
      </c>
      <c r="J201" s="30">
        <f>G201*'①基本設定'!$G$5+H201*'①基本設定'!$G$6+I201*'①基本設定'!$G$7</f>
        <v/>
      </c>
    </row>
    <row r="202">
      <c r="A202" s="5" t="inlineStr">
        <is>
          <t>2024-10-03</t>
        </is>
      </c>
      <c r="B202" s="28">
        <f>LN('②原始價格與FX'!B190/'②原始價格與FX'!B189)</f>
        <v/>
      </c>
      <c r="C202" s="28">
        <f>LN('②原始價格與FX'!C190/'②原始價格與FX'!C189)</f>
        <v/>
      </c>
      <c r="D202" s="28">
        <f>LN('②原始價格與FX'!D190/'②原始價格與FX'!D189)</f>
        <v/>
      </c>
      <c r="E202" s="28">
        <f>LN('②原始價格與FX'!G190/'②原始價格與FX'!G189)</f>
        <v/>
      </c>
      <c r="F202" s="28">
        <f>LN('②原始價格與FX'!H190/'②原始價格與FX'!H189)</f>
        <v/>
      </c>
      <c r="G202" s="28">
        <f>B202</f>
        <v/>
      </c>
      <c r="H202" s="29">
        <f>C202+E202</f>
        <v/>
      </c>
      <c r="I202" s="29">
        <f>D202+F202</f>
        <v/>
      </c>
      <c r="J202" s="30">
        <f>G202*'①基本設定'!$G$5+H202*'①基本設定'!$G$6+I202*'①基本設定'!$G$7</f>
        <v/>
      </c>
    </row>
    <row r="203">
      <c r="A203" s="5" t="inlineStr">
        <is>
          <t>2024-10-04</t>
        </is>
      </c>
      <c r="B203" s="28">
        <f>LN('②原始價格與FX'!B191/'②原始價格與FX'!B190)</f>
        <v/>
      </c>
      <c r="C203" s="28">
        <f>LN('②原始價格與FX'!C191/'②原始價格與FX'!C190)</f>
        <v/>
      </c>
      <c r="D203" s="28">
        <f>LN('②原始價格與FX'!D191/'②原始價格與FX'!D190)</f>
        <v/>
      </c>
      <c r="E203" s="28">
        <f>LN('②原始價格與FX'!G191/'②原始價格與FX'!G190)</f>
        <v/>
      </c>
      <c r="F203" s="28">
        <f>LN('②原始價格與FX'!H191/'②原始價格與FX'!H190)</f>
        <v/>
      </c>
      <c r="G203" s="28">
        <f>B203</f>
        <v/>
      </c>
      <c r="H203" s="29">
        <f>C203+E203</f>
        <v/>
      </c>
      <c r="I203" s="29">
        <f>D203+F203</f>
        <v/>
      </c>
      <c r="J203" s="30">
        <f>G203*'①基本設定'!$G$5+H203*'①基本設定'!$G$6+I203*'①基本設定'!$G$7</f>
        <v/>
      </c>
    </row>
    <row r="204">
      <c r="A204" s="5" t="inlineStr">
        <is>
          <t>2024-10-07</t>
        </is>
      </c>
      <c r="B204" s="28">
        <f>LN('②原始價格與FX'!B192/'②原始價格與FX'!B191)</f>
        <v/>
      </c>
      <c r="C204" s="28">
        <f>LN('②原始價格與FX'!C192/'②原始價格與FX'!C191)</f>
        <v/>
      </c>
      <c r="D204" s="28">
        <f>LN('②原始價格與FX'!D192/'②原始價格與FX'!D191)</f>
        <v/>
      </c>
      <c r="E204" s="28">
        <f>LN('②原始價格與FX'!G192/'②原始價格與FX'!G191)</f>
        <v/>
      </c>
      <c r="F204" s="28">
        <f>LN('②原始價格與FX'!H192/'②原始價格與FX'!H191)</f>
        <v/>
      </c>
      <c r="G204" s="28">
        <f>B204</f>
        <v/>
      </c>
      <c r="H204" s="29">
        <f>C204+E204</f>
        <v/>
      </c>
      <c r="I204" s="29">
        <f>D204+F204</f>
        <v/>
      </c>
      <c r="J204" s="30">
        <f>G204*'①基本設定'!$G$5+H204*'①基本設定'!$G$6+I204*'①基本設定'!$G$7</f>
        <v/>
      </c>
    </row>
    <row r="205">
      <c r="A205" s="5" t="inlineStr">
        <is>
          <t>2024-10-08</t>
        </is>
      </c>
      <c r="B205" s="28">
        <f>LN('②原始價格與FX'!B193/'②原始價格與FX'!B192)</f>
        <v/>
      </c>
      <c r="C205" s="28">
        <f>LN('②原始價格與FX'!C193/'②原始價格與FX'!C192)</f>
        <v/>
      </c>
      <c r="D205" s="28">
        <f>LN('②原始價格與FX'!D193/'②原始價格與FX'!D192)</f>
        <v/>
      </c>
      <c r="E205" s="28">
        <f>LN('②原始價格與FX'!G193/'②原始價格與FX'!G192)</f>
        <v/>
      </c>
      <c r="F205" s="28">
        <f>LN('②原始價格與FX'!H193/'②原始價格與FX'!H192)</f>
        <v/>
      </c>
      <c r="G205" s="28">
        <f>B205</f>
        <v/>
      </c>
      <c r="H205" s="29">
        <f>C205+E205</f>
        <v/>
      </c>
      <c r="I205" s="29">
        <f>D205+F205</f>
        <v/>
      </c>
      <c r="J205" s="30">
        <f>G205*'①基本設定'!$G$5+H205*'①基本設定'!$G$6+I205*'①基本設定'!$G$7</f>
        <v/>
      </c>
    </row>
    <row r="206">
      <c r="A206" s="5" t="inlineStr">
        <is>
          <t>2024-10-09</t>
        </is>
      </c>
      <c r="B206" s="28">
        <f>LN('②原始價格與FX'!B194/'②原始價格與FX'!B193)</f>
        <v/>
      </c>
      <c r="C206" s="28">
        <f>LN('②原始價格與FX'!C194/'②原始價格與FX'!C193)</f>
        <v/>
      </c>
      <c r="D206" s="28">
        <f>LN('②原始價格與FX'!D194/'②原始價格與FX'!D193)</f>
        <v/>
      </c>
      <c r="E206" s="28">
        <f>LN('②原始價格與FX'!G194/'②原始價格與FX'!G193)</f>
        <v/>
      </c>
      <c r="F206" s="28">
        <f>LN('②原始價格與FX'!H194/'②原始價格與FX'!H193)</f>
        <v/>
      </c>
      <c r="G206" s="28">
        <f>B206</f>
        <v/>
      </c>
      <c r="H206" s="29">
        <f>C206+E206</f>
        <v/>
      </c>
      <c r="I206" s="29">
        <f>D206+F206</f>
        <v/>
      </c>
      <c r="J206" s="30">
        <f>G206*'①基本設定'!$G$5+H206*'①基本設定'!$G$6+I206*'①基本設定'!$G$7</f>
        <v/>
      </c>
    </row>
    <row r="207">
      <c r="A207" s="5" t="inlineStr">
        <is>
          <t>2024-10-10</t>
        </is>
      </c>
      <c r="B207" s="28">
        <f>LN('②原始價格與FX'!B195/'②原始價格與FX'!B194)</f>
        <v/>
      </c>
      <c r="C207" s="28">
        <f>LN('②原始價格與FX'!C195/'②原始價格與FX'!C194)</f>
        <v/>
      </c>
      <c r="D207" s="28">
        <f>LN('②原始價格與FX'!D195/'②原始價格與FX'!D194)</f>
        <v/>
      </c>
      <c r="E207" s="28">
        <f>LN('②原始價格與FX'!G195/'②原始價格與FX'!G194)</f>
        <v/>
      </c>
      <c r="F207" s="28">
        <f>LN('②原始價格與FX'!H195/'②原始價格與FX'!H194)</f>
        <v/>
      </c>
      <c r="G207" s="28">
        <f>B207</f>
        <v/>
      </c>
      <c r="H207" s="29">
        <f>C207+E207</f>
        <v/>
      </c>
      <c r="I207" s="29">
        <f>D207+F207</f>
        <v/>
      </c>
      <c r="J207" s="31">
        <f>G207*'①基本設定'!$G$5+H207*'①基本設定'!$G$6+I207*'①基本設定'!$G$7</f>
        <v/>
      </c>
    </row>
    <row r="208">
      <c r="A208" s="5" t="inlineStr">
        <is>
          <t>2024-10-11</t>
        </is>
      </c>
      <c r="B208" s="28">
        <f>LN('②原始價格與FX'!B196/'②原始價格與FX'!B195)</f>
        <v/>
      </c>
      <c r="C208" s="28">
        <f>LN('②原始價格與FX'!C196/'②原始價格與FX'!C195)</f>
        <v/>
      </c>
      <c r="D208" s="28">
        <f>LN('②原始價格與FX'!D196/'②原始價格與FX'!D195)</f>
        <v/>
      </c>
      <c r="E208" s="28">
        <f>LN('②原始價格與FX'!G196/'②原始價格與FX'!G195)</f>
        <v/>
      </c>
      <c r="F208" s="28">
        <f>LN('②原始價格與FX'!H196/'②原始價格與FX'!H195)</f>
        <v/>
      </c>
      <c r="G208" s="28">
        <f>B208</f>
        <v/>
      </c>
      <c r="H208" s="29">
        <f>C208+E208</f>
        <v/>
      </c>
      <c r="I208" s="29">
        <f>D208+F208</f>
        <v/>
      </c>
      <c r="J208" s="30">
        <f>G208*'①基本設定'!$G$5+H208*'①基本設定'!$G$6+I208*'①基本設定'!$G$7</f>
        <v/>
      </c>
    </row>
    <row r="209">
      <c r="A209" s="5" t="inlineStr">
        <is>
          <t>2024-10-14</t>
        </is>
      </c>
      <c r="B209" s="28">
        <f>LN('②原始價格與FX'!B197/'②原始價格與FX'!B196)</f>
        <v/>
      </c>
      <c r="C209" s="28">
        <f>LN('②原始價格與FX'!C197/'②原始價格與FX'!C196)</f>
        <v/>
      </c>
      <c r="D209" s="28">
        <f>LN('②原始價格與FX'!D197/'②原始價格與FX'!D196)</f>
        <v/>
      </c>
      <c r="E209" s="28">
        <f>LN('②原始價格與FX'!G197/'②原始價格與FX'!G196)</f>
        <v/>
      </c>
      <c r="F209" s="28">
        <f>LN('②原始價格與FX'!H197/'②原始價格與FX'!H196)</f>
        <v/>
      </c>
      <c r="G209" s="28">
        <f>B209</f>
        <v/>
      </c>
      <c r="H209" s="29">
        <f>C209+E209</f>
        <v/>
      </c>
      <c r="I209" s="29">
        <f>D209+F209</f>
        <v/>
      </c>
      <c r="J209" s="31">
        <f>G209*'①基本設定'!$G$5+H209*'①基本設定'!$G$6+I209*'①基本設定'!$G$7</f>
        <v/>
      </c>
    </row>
    <row r="210">
      <c r="A210" s="5" t="inlineStr">
        <is>
          <t>2024-10-15</t>
        </is>
      </c>
      <c r="B210" s="28">
        <f>LN('②原始價格與FX'!B198/'②原始價格與FX'!B197)</f>
        <v/>
      </c>
      <c r="C210" s="28">
        <f>LN('②原始價格與FX'!C198/'②原始價格與FX'!C197)</f>
        <v/>
      </c>
      <c r="D210" s="28">
        <f>LN('②原始價格與FX'!D198/'②原始價格與FX'!D197)</f>
        <v/>
      </c>
      <c r="E210" s="28">
        <f>LN('②原始價格與FX'!G198/'②原始價格與FX'!G197)</f>
        <v/>
      </c>
      <c r="F210" s="28">
        <f>LN('②原始價格與FX'!H198/'②原始價格與FX'!H197)</f>
        <v/>
      </c>
      <c r="G210" s="28">
        <f>B210</f>
        <v/>
      </c>
      <c r="H210" s="29">
        <f>C210+E210</f>
        <v/>
      </c>
      <c r="I210" s="29">
        <f>D210+F210</f>
        <v/>
      </c>
      <c r="J210" s="30">
        <f>G210*'①基本設定'!$G$5+H210*'①基本設定'!$G$6+I210*'①基本設定'!$G$7</f>
        <v/>
      </c>
    </row>
    <row r="211">
      <c r="A211" s="5" t="inlineStr">
        <is>
          <t>2024-10-16</t>
        </is>
      </c>
      <c r="B211" s="28">
        <f>LN('②原始價格與FX'!B199/'②原始價格與FX'!B198)</f>
        <v/>
      </c>
      <c r="C211" s="28">
        <f>LN('②原始價格與FX'!C199/'②原始價格與FX'!C198)</f>
        <v/>
      </c>
      <c r="D211" s="28">
        <f>LN('②原始價格與FX'!D199/'②原始價格與FX'!D198)</f>
        <v/>
      </c>
      <c r="E211" s="28">
        <f>LN('②原始價格與FX'!G199/'②原始價格與FX'!G198)</f>
        <v/>
      </c>
      <c r="F211" s="28">
        <f>LN('②原始價格與FX'!H199/'②原始價格與FX'!H198)</f>
        <v/>
      </c>
      <c r="G211" s="28">
        <f>B211</f>
        <v/>
      </c>
      <c r="H211" s="29">
        <f>C211+E211</f>
        <v/>
      </c>
      <c r="I211" s="29">
        <f>D211+F211</f>
        <v/>
      </c>
      <c r="J211" s="31">
        <f>G211*'①基本設定'!$G$5+H211*'①基本設定'!$G$6+I211*'①基本設定'!$G$7</f>
        <v/>
      </c>
    </row>
    <row r="212">
      <c r="A212" s="5" t="inlineStr">
        <is>
          <t>2024-10-17</t>
        </is>
      </c>
      <c r="B212" s="28">
        <f>LN('②原始價格與FX'!B200/'②原始價格與FX'!B199)</f>
        <v/>
      </c>
      <c r="C212" s="28">
        <f>LN('②原始價格與FX'!C200/'②原始價格與FX'!C199)</f>
        <v/>
      </c>
      <c r="D212" s="28">
        <f>LN('②原始價格與FX'!D200/'②原始價格與FX'!D199)</f>
        <v/>
      </c>
      <c r="E212" s="28">
        <f>LN('②原始價格與FX'!G200/'②原始價格與FX'!G199)</f>
        <v/>
      </c>
      <c r="F212" s="28">
        <f>LN('②原始價格與FX'!H200/'②原始價格與FX'!H199)</f>
        <v/>
      </c>
      <c r="G212" s="28">
        <f>B212</f>
        <v/>
      </c>
      <c r="H212" s="29">
        <f>C212+E212</f>
        <v/>
      </c>
      <c r="I212" s="29">
        <f>D212+F212</f>
        <v/>
      </c>
      <c r="J212" s="30">
        <f>G212*'①基本設定'!$G$5+H212*'①基本設定'!$G$6+I212*'①基本設定'!$G$7</f>
        <v/>
      </c>
    </row>
    <row r="213">
      <c r="A213" s="5" t="inlineStr">
        <is>
          <t>2024-10-18</t>
        </is>
      </c>
      <c r="B213" s="28">
        <f>LN('②原始價格與FX'!B201/'②原始價格與FX'!B200)</f>
        <v/>
      </c>
      <c r="C213" s="28">
        <f>LN('②原始價格與FX'!C201/'②原始價格與FX'!C200)</f>
        <v/>
      </c>
      <c r="D213" s="28">
        <f>LN('②原始價格與FX'!D201/'②原始價格與FX'!D200)</f>
        <v/>
      </c>
      <c r="E213" s="28">
        <f>LN('②原始價格與FX'!G201/'②原始價格與FX'!G200)</f>
        <v/>
      </c>
      <c r="F213" s="28">
        <f>LN('②原始價格與FX'!H201/'②原始價格與FX'!H200)</f>
        <v/>
      </c>
      <c r="G213" s="28">
        <f>B213</f>
        <v/>
      </c>
      <c r="H213" s="29">
        <f>C213+E213</f>
        <v/>
      </c>
      <c r="I213" s="29">
        <f>D213+F213</f>
        <v/>
      </c>
      <c r="J213" s="30">
        <f>G213*'①基本設定'!$G$5+H213*'①基本設定'!$G$6+I213*'①基本設定'!$G$7</f>
        <v/>
      </c>
    </row>
    <row r="214">
      <c r="A214" s="5" t="inlineStr">
        <is>
          <t>2024-10-21</t>
        </is>
      </c>
      <c r="B214" s="28">
        <f>LN('②原始價格與FX'!B202/'②原始價格與FX'!B201)</f>
        <v/>
      </c>
      <c r="C214" s="28">
        <f>LN('②原始價格與FX'!C202/'②原始價格與FX'!C201)</f>
        <v/>
      </c>
      <c r="D214" s="28">
        <f>LN('②原始價格與FX'!D202/'②原始價格與FX'!D201)</f>
        <v/>
      </c>
      <c r="E214" s="28">
        <f>LN('②原始價格與FX'!G202/'②原始價格與FX'!G201)</f>
        <v/>
      </c>
      <c r="F214" s="28">
        <f>LN('②原始價格與FX'!H202/'②原始價格與FX'!H201)</f>
        <v/>
      </c>
      <c r="G214" s="28">
        <f>B214</f>
        <v/>
      </c>
      <c r="H214" s="29">
        <f>C214+E214</f>
        <v/>
      </c>
      <c r="I214" s="29">
        <f>D214+F214</f>
        <v/>
      </c>
      <c r="J214" s="31">
        <f>G214*'①基本設定'!$G$5+H214*'①基本設定'!$G$6+I214*'①基本設定'!$G$7</f>
        <v/>
      </c>
    </row>
    <row r="215">
      <c r="A215" s="5" t="inlineStr">
        <is>
          <t>2024-10-22</t>
        </is>
      </c>
      <c r="B215" s="28">
        <f>LN('②原始價格與FX'!B203/'②原始價格與FX'!B202)</f>
        <v/>
      </c>
      <c r="C215" s="28">
        <f>LN('②原始價格與FX'!C203/'②原始價格與FX'!C202)</f>
        <v/>
      </c>
      <c r="D215" s="28">
        <f>LN('②原始價格與FX'!D203/'②原始價格與FX'!D202)</f>
        <v/>
      </c>
      <c r="E215" s="28">
        <f>LN('②原始價格與FX'!G203/'②原始價格與FX'!G202)</f>
        <v/>
      </c>
      <c r="F215" s="28">
        <f>LN('②原始價格與FX'!H203/'②原始價格與FX'!H202)</f>
        <v/>
      </c>
      <c r="G215" s="28">
        <f>B215</f>
        <v/>
      </c>
      <c r="H215" s="29">
        <f>C215+E215</f>
        <v/>
      </c>
      <c r="I215" s="29">
        <f>D215+F215</f>
        <v/>
      </c>
      <c r="J215" s="31">
        <f>G215*'①基本設定'!$G$5+H215*'①基本設定'!$G$6+I215*'①基本設定'!$G$7</f>
        <v/>
      </c>
    </row>
    <row r="216">
      <c r="A216" s="5" t="inlineStr">
        <is>
          <t>2024-10-23</t>
        </is>
      </c>
      <c r="B216" s="28">
        <f>LN('②原始價格與FX'!B204/'②原始價格與FX'!B203)</f>
        <v/>
      </c>
      <c r="C216" s="28">
        <f>LN('②原始價格與FX'!C204/'②原始價格與FX'!C203)</f>
        <v/>
      </c>
      <c r="D216" s="28">
        <f>LN('②原始價格與FX'!D204/'②原始價格與FX'!D203)</f>
        <v/>
      </c>
      <c r="E216" s="28">
        <f>LN('②原始價格與FX'!G204/'②原始價格與FX'!G203)</f>
        <v/>
      </c>
      <c r="F216" s="28">
        <f>LN('②原始價格與FX'!H204/'②原始價格與FX'!H203)</f>
        <v/>
      </c>
      <c r="G216" s="28">
        <f>B216</f>
        <v/>
      </c>
      <c r="H216" s="29">
        <f>C216+E216</f>
        <v/>
      </c>
      <c r="I216" s="29">
        <f>D216+F216</f>
        <v/>
      </c>
      <c r="J216" s="30">
        <f>G216*'①基本設定'!$G$5+H216*'①基本設定'!$G$6+I216*'①基本設定'!$G$7</f>
        <v/>
      </c>
    </row>
    <row r="217">
      <c r="A217" s="5" t="inlineStr">
        <is>
          <t>2024-10-24</t>
        </is>
      </c>
      <c r="B217" s="28">
        <f>LN('②原始價格與FX'!B205/'②原始價格與FX'!B204)</f>
        <v/>
      </c>
      <c r="C217" s="28">
        <f>LN('②原始價格與FX'!C205/'②原始價格與FX'!C204)</f>
        <v/>
      </c>
      <c r="D217" s="28">
        <f>LN('②原始價格與FX'!D205/'②原始價格與FX'!D204)</f>
        <v/>
      </c>
      <c r="E217" s="28">
        <f>LN('②原始價格與FX'!G205/'②原始價格與FX'!G204)</f>
        <v/>
      </c>
      <c r="F217" s="28">
        <f>LN('②原始價格與FX'!H205/'②原始價格與FX'!H204)</f>
        <v/>
      </c>
      <c r="G217" s="28">
        <f>B217</f>
        <v/>
      </c>
      <c r="H217" s="29">
        <f>C217+E217</f>
        <v/>
      </c>
      <c r="I217" s="29">
        <f>D217+F217</f>
        <v/>
      </c>
      <c r="J217" s="31">
        <f>G217*'①基本設定'!$G$5+H217*'①基本設定'!$G$6+I217*'①基本設定'!$G$7</f>
        <v/>
      </c>
    </row>
    <row r="218">
      <c r="A218" s="5" t="inlineStr">
        <is>
          <t>2024-10-25</t>
        </is>
      </c>
      <c r="B218" s="28">
        <f>LN('②原始價格與FX'!B206/'②原始價格與FX'!B205)</f>
        <v/>
      </c>
      <c r="C218" s="28">
        <f>LN('②原始價格與FX'!C206/'②原始價格與FX'!C205)</f>
        <v/>
      </c>
      <c r="D218" s="28">
        <f>LN('②原始價格與FX'!D206/'②原始價格與FX'!D205)</f>
        <v/>
      </c>
      <c r="E218" s="28">
        <f>LN('②原始價格與FX'!G206/'②原始價格與FX'!G205)</f>
        <v/>
      </c>
      <c r="F218" s="28">
        <f>LN('②原始價格與FX'!H206/'②原始價格與FX'!H205)</f>
        <v/>
      </c>
      <c r="G218" s="28">
        <f>B218</f>
        <v/>
      </c>
      <c r="H218" s="29">
        <f>C218+E218</f>
        <v/>
      </c>
      <c r="I218" s="29">
        <f>D218+F218</f>
        <v/>
      </c>
      <c r="J218" s="30">
        <f>G218*'①基本設定'!$G$5+H218*'①基本設定'!$G$6+I218*'①基本設定'!$G$7</f>
        <v/>
      </c>
    </row>
    <row r="219">
      <c r="A219" s="5" t="inlineStr">
        <is>
          <t>2024-10-28</t>
        </is>
      </c>
      <c r="B219" s="28">
        <f>LN('②原始價格與FX'!B207/'②原始價格與FX'!B206)</f>
        <v/>
      </c>
      <c r="C219" s="28">
        <f>LN('②原始價格與FX'!C207/'②原始價格與FX'!C206)</f>
        <v/>
      </c>
      <c r="D219" s="28">
        <f>LN('②原始價格與FX'!D207/'②原始價格與FX'!D206)</f>
        <v/>
      </c>
      <c r="E219" s="28">
        <f>LN('②原始價格與FX'!G207/'②原始價格與FX'!G206)</f>
        <v/>
      </c>
      <c r="F219" s="28">
        <f>LN('②原始價格與FX'!H207/'②原始價格與FX'!H206)</f>
        <v/>
      </c>
      <c r="G219" s="28">
        <f>B219</f>
        <v/>
      </c>
      <c r="H219" s="29">
        <f>C219+E219</f>
        <v/>
      </c>
      <c r="I219" s="29">
        <f>D219+F219</f>
        <v/>
      </c>
      <c r="J219" s="30">
        <f>G219*'①基本設定'!$G$5+H219*'①基本設定'!$G$6+I219*'①基本設定'!$G$7</f>
        <v/>
      </c>
    </row>
    <row r="220">
      <c r="A220" s="5" t="inlineStr">
        <is>
          <t>2024-10-29</t>
        </is>
      </c>
      <c r="B220" s="28">
        <f>LN('②原始價格與FX'!B208/'②原始價格與FX'!B207)</f>
        <v/>
      </c>
      <c r="C220" s="28">
        <f>LN('②原始價格與FX'!C208/'②原始價格與FX'!C207)</f>
        <v/>
      </c>
      <c r="D220" s="28">
        <f>LN('②原始價格與FX'!D208/'②原始價格與FX'!D207)</f>
        <v/>
      </c>
      <c r="E220" s="28">
        <f>LN('②原始價格與FX'!G208/'②原始價格與FX'!G207)</f>
        <v/>
      </c>
      <c r="F220" s="28">
        <f>LN('②原始價格與FX'!H208/'②原始價格與FX'!H207)</f>
        <v/>
      </c>
      <c r="G220" s="28">
        <f>B220</f>
        <v/>
      </c>
      <c r="H220" s="29">
        <f>C220+E220</f>
        <v/>
      </c>
      <c r="I220" s="29">
        <f>D220+F220</f>
        <v/>
      </c>
      <c r="J220" s="31">
        <f>G220*'①基本設定'!$G$5+H220*'①基本設定'!$G$6+I220*'①基本設定'!$G$7</f>
        <v/>
      </c>
    </row>
    <row r="221">
      <c r="A221" s="5" t="inlineStr">
        <is>
          <t>2024-10-30</t>
        </is>
      </c>
      <c r="B221" s="28">
        <f>LN('②原始價格與FX'!B209/'②原始價格與FX'!B208)</f>
        <v/>
      </c>
      <c r="C221" s="28">
        <f>LN('②原始價格與FX'!C209/'②原始價格與FX'!C208)</f>
        <v/>
      </c>
      <c r="D221" s="28">
        <f>LN('②原始價格與FX'!D209/'②原始價格與FX'!D208)</f>
        <v/>
      </c>
      <c r="E221" s="28">
        <f>LN('②原始價格與FX'!G209/'②原始價格與FX'!G208)</f>
        <v/>
      </c>
      <c r="F221" s="28">
        <f>LN('②原始價格與FX'!H209/'②原始價格與FX'!H208)</f>
        <v/>
      </c>
      <c r="G221" s="28">
        <f>B221</f>
        <v/>
      </c>
      <c r="H221" s="29">
        <f>C221+E221</f>
        <v/>
      </c>
      <c r="I221" s="29">
        <f>D221+F221</f>
        <v/>
      </c>
      <c r="J221" s="30">
        <f>G221*'①基本設定'!$G$5+H221*'①基本設定'!$G$6+I221*'①基本設定'!$G$7</f>
        <v/>
      </c>
    </row>
    <row r="222">
      <c r="A222" s="5" t="inlineStr">
        <is>
          <t>2024-10-31</t>
        </is>
      </c>
      <c r="B222" s="28">
        <f>LN('②原始價格與FX'!B210/'②原始價格與FX'!B209)</f>
        <v/>
      </c>
      <c r="C222" s="28">
        <f>LN('②原始價格與FX'!C210/'②原始價格與FX'!C209)</f>
        <v/>
      </c>
      <c r="D222" s="28">
        <f>LN('②原始價格與FX'!D210/'②原始價格與FX'!D209)</f>
        <v/>
      </c>
      <c r="E222" s="28">
        <f>LN('②原始價格與FX'!G210/'②原始價格與FX'!G209)</f>
        <v/>
      </c>
      <c r="F222" s="28">
        <f>LN('②原始價格與FX'!H210/'②原始價格與FX'!H209)</f>
        <v/>
      </c>
      <c r="G222" s="28">
        <f>B222</f>
        <v/>
      </c>
      <c r="H222" s="29">
        <f>C222+E222</f>
        <v/>
      </c>
      <c r="I222" s="29">
        <f>D222+F222</f>
        <v/>
      </c>
      <c r="J222" s="30">
        <f>G222*'①基本設定'!$G$5+H222*'①基本設定'!$G$6+I222*'①基本設定'!$G$7</f>
        <v/>
      </c>
    </row>
    <row r="223">
      <c r="A223" s="5" t="inlineStr">
        <is>
          <t>2024-11-01</t>
        </is>
      </c>
      <c r="B223" s="28">
        <f>LN('②原始價格與FX'!B211/'②原始價格與FX'!B210)</f>
        <v/>
      </c>
      <c r="C223" s="28">
        <f>LN('②原始價格與FX'!C211/'②原始價格與FX'!C210)</f>
        <v/>
      </c>
      <c r="D223" s="28">
        <f>LN('②原始價格與FX'!D211/'②原始價格與FX'!D210)</f>
        <v/>
      </c>
      <c r="E223" s="28">
        <f>LN('②原始價格與FX'!G211/'②原始價格與FX'!G210)</f>
        <v/>
      </c>
      <c r="F223" s="28">
        <f>LN('②原始價格與FX'!H211/'②原始價格與FX'!H210)</f>
        <v/>
      </c>
      <c r="G223" s="28">
        <f>B223</f>
        <v/>
      </c>
      <c r="H223" s="29">
        <f>C223+E223</f>
        <v/>
      </c>
      <c r="I223" s="29">
        <f>D223+F223</f>
        <v/>
      </c>
      <c r="J223" s="31">
        <f>G223*'①基本設定'!$G$5+H223*'①基本設定'!$G$6+I223*'①基本設定'!$G$7</f>
        <v/>
      </c>
    </row>
    <row r="224">
      <c r="A224" s="5" t="inlineStr">
        <is>
          <t>2024-11-04</t>
        </is>
      </c>
      <c r="B224" s="28">
        <f>LN('②原始價格與FX'!B212/'②原始價格與FX'!B211)</f>
        <v/>
      </c>
      <c r="C224" s="28">
        <f>LN('②原始價格與FX'!C212/'②原始價格與FX'!C211)</f>
        <v/>
      </c>
      <c r="D224" s="28">
        <f>LN('②原始價格與FX'!D212/'②原始價格與FX'!D211)</f>
        <v/>
      </c>
      <c r="E224" s="28">
        <f>LN('②原始價格與FX'!G212/'②原始價格與FX'!G211)</f>
        <v/>
      </c>
      <c r="F224" s="28">
        <f>LN('②原始價格與FX'!H212/'②原始價格與FX'!H211)</f>
        <v/>
      </c>
      <c r="G224" s="28">
        <f>B224</f>
        <v/>
      </c>
      <c r="H224" s="29">
        <f>C224+E224</f>
        <v/>
      </c>
      <c r="I224" s="29">
        <f>D224+F224</f>
        <v/>
      </c>
      <c r="J224" s="30">
        <f>G224*'①基本設定'!$G$5+H224*'①基本設定'!$G$6+I224*'①基本設定'!$G$7</f>
        <v/>
      </c>
    </row>
    <row r="225">
      <c r="A225" s="5" t="inlineStr">
        <is>
          <t>2024-11-05</t>
        </is>
      </c>
      <c r="B225" s="28">
        <f>LN('②原始價格與FX'!B213/'②原始價格與FX'!B212)</f>
        <v/>
      </c>
      <c r="C225" s="28">
        <f>LN('②原始價格與FX'!C213/'②原始價格與FX'!C212)</f>
        <v/>
      </c>
      <c r="D225" s="28">
        <f>LN('②原始價格與FX'!D213/'②原始價格與FX'!D212)</f>
        <v/>
      </c>
      <c r="E225" s="28">
        <f>LN('②原始價格與FX'!G213/'②原始價格與FX'!G212)</f>
        <v/>
      </c>
      <c r="F225" s="28">
        <f>LN('②原始價格與FX'!H213/'②原始價格與FX'!H212)</f>
        <v/>
      </c>
      <c r="G225" s="28">
        <f>B225</f>
        <v/>
      </c>
      <c r="H225" s="29">
        <f>C225+E225</f>
        <v/>
      </c>
      <c r="I225" s="29">
        <f>D225+F225</f>
        <v/>
      </c>
      <c r="J225" s="31">
        <f>G225*'①基本設定'!$G$5+H225*'①基本設定'!$G$6+I225*'①基本設定'!$G$7</f>
        <v/>
      </c>
    </row>
    <row r="226">
      <c r="A226" s="5" t="inlineStr">
        <is>
          <t>2024-11-06</t>
        </is>
      </c>
      <c r="B226" s="28">
        <f>LN('②原始價格與FX'!B214/'②原始價格與FX'!B213)</f>
        <v/>
      </c>
      <c r="C226" s="28">
        <f>LN('②原始價格與FX'!C214/'②原始價格與FX'!C213)</f>
        <v/>
      </c>
      <c r="D226" s="28">
        <f>LN('②原始價格與FX'!D214/'②原始價格與FX'!D213)</f>
        <v/>
      </c>
      <c r="E226" s="28">
        <f>LN('②原始價格與FX'!G214/'②原始價格與FX'!G213)</f>
        <v/>
      </c>
      <c r="F226" s="28">
        <f>LN('②原始價格與FX'!H214/'②原始價格與FX'!H213)</f>
        <v/>
      </c>
      <c r="G226" s="28">
        <f>B226</f>
        <v/>
      </c>
      <c r="H226" s="29">
        <f>C226+E226</f>
        <v/>
      </c>
      <c r="I226" s="29">
        <f>D226+F226</f>
        <v/>
      </c>
      <c r="J226" s="31">
        <f>G226*'①基本設定'!$G$5+H226*'①基本設定'!$G$6+I226*'①基本設定'!$G$7</f>
        <v/>
      </c>
    </row>
    <row r="227">
      <c r="A227" s="5" t="inlineStr">
        <is>
          <t>2024-11-07</t>
        </is>
      </c>
      <c r="B227" s="28">
        <f>LN('②原始價格與FX'!B215/'②原始價格與FX'!B214)</f>
        <v/>
      </c>
      <c r="C227" s="28">
        <f>LN('②原始價格與FX'!C215/'②原始價格與FX'!C214)</f>
        <v/>
      </c>
      <c r="D227" s="28">
        <f>LN('②原始價格與FX'!D215/'②原始價格與FX'!D214)</f>
        <v/>
      </c>
      <c r="E227" s="28">
        <f>LN('②原始價格與FX'!G215/'②原始價格與FX'!G214)</f>
        <v/>
      </c>
      <c r="F227" s="28">
        <f>LN('②原始價格與FX'!H215/'②原始價格與FX'!H214)</f>
        <v/>
      </c>
      <c r="G227" s="28">
        <f>B227</f>
        <v/>
      </c>
      <c r="H227" s="29">
        <f>C227+E227</f>
        <v/>
      </c>
      <c r="I227" s="29">
        <f>D227+F227</f>
        <v/>
      </c>
      <c r="J227" s="30">
        <f>G227*'①基本設定'!$G$5+H227*'①基本設定'!$G$6+I227*'①基本設定'!$G$7</f>
        <v/>
      </c>
    </row>
    <row r="228">
      <c r="A228" s="5" t="inlineStr">
        <is>
          <t>2024-11-08</t>
        </is>
      </c>
      <c r="B228" s="28">
        <f>LN('②原始價格與FX'!B216/'②原始價格與FX'!B215)</f>
        <v/>
      </c>
      <c r="C228" s="28">
        <f>LN('②原始價格與FX'!C216/'②原始價格與FX'!C215)</f>
        <v/>
      </c>
      <c r="D228" s="28">
        <f>LN('②原始價格與FX'!D216/'②原始價格與FX'!D215)</f>
        <v/>
      </c>
      <c r="E228" s="28">
        <f>LN('②原始價格與FX'!G216/'②原始價格與FX'!G215)</f>
        <v/>
      </c>
      <c r="F228" s="28">
        <f>LN('②原始價格與FX'!H216/'②原始價格與FX'!H215)</f>
        <v/>
      </c>
      <c r="G228" s="28">
        <f>B228</f>
        <v/>
      </c>
      <c r="H228" s="29">
        <f>C228+E228</f>
        <v/>
      </c>
      <c r="I228" s="29">
        <f>D228+F228</f>
        <v/>
      </c>
      <c r="J228" s="31">
        <f>G228*'①基本設定'!$G$5+H228*'①基本設定'!$G$6+I228*'①基本設定'!$G$7</f>
        <v/>
      </c>
    </row>
    <row r="229">
      <c r="A229" s="5" t="inlineStr">
        <is>
          <t>2024-11-11</t>
        </is>
      </c>
      <c r="B229" s="28">
        <f>LN('②原始價格與FX'!B217/'②原始價格與FX'!B216)</f>
        <v/>
      </c>
      <c r="C229" s="28">
        <f>LN('②原始價格與FX'!C217/'②原始價格與FX'!C216)</f>
        <v/>
      </c>
      <c r="D229" s="28">
        <f>LN('②原始價格與FX'!D217/'②原始價格與FX'!D216)</f>
        <v/>
      </c>
      <c r="E229" s="28">
        <f>LN('②原始價格與FX'!G217/'②原始價格與FX'!G216)</f>
        <v/>
      </c>
      <c r="F229" s="28">
        <f>LN('②原始價格與FX'!H217/'②原始價格與FX'!H216)</f>
        <v/>
      </c>
      <c r="G229" s="28">
        <f>B229</f>
        <v/>
      </c>
      <c r="H229" s="29">
        <f>C229+E229</f>
        <v/>
      </c>
      <c r="I229" s="29">
        <f>D229+F229</f>
        <v/>
      </c>
      <c r="J229" s="30">
        <f>G229*'①基本設定'!$G$5+H229*'①基本設定'!$G$6+I229*'①基本設定'!$G$7</f>
        <v/>
      </c>
    </row>
    <row r="230">
      <c r="A230" s="5" t="inlineStr">
        <is>
          <t>2024-11-12</t>
        </is>
      </c>
      <c r="B230" s="28">
        <f>LN('②原始價格與FX'!B218/'②原始價格與FX'!B217)</f>
        <v/>
      </c>
      <c r="C230" s="28">
        <f>LN('②原始價格與FX'!C218/'②原始價格與FX'!C217)</f>
        <v/>
      </c>
      <c r="D230" s="28">
        <f>LN('②原始價格與FX'!D218/'②原始價格與FX'!D217)</f>
        <v/>
      </c>
      <c r="E230" s="28">
        <f>LN('②原始價格與FX'!G218/'②原始價格與FX'!G217)</f>
        <v/>
      </c>
      <c r="F230" s="28">
        <f>LN('②原始價格與FX'!H218/'②原始價格與FX'!H217)</f>
        <v/>
      </c>
      <c r="G230" s="28">
        <f>B230</f>
        <v/>
      </c>
      <c r="H230" s="29">
        <f>C230+E230</f>
        <v/>
      </c>
      <c r="I230" s="29">
        <f>D230+F230</f>
        <v/>
      </c>
      <c r="J230" s="30">
        <f>G230*'①基本設定'!$G$5+H230*'①基本設定'!$G$6+I230*'①基本設定'!$G$7</f>
        <v/>
      </c>
    </row>
    <row r="231">
      <c r="A231" s="5" t="inlineStr">
        <is>
          <t>2024-11-13</t>
        </is>
      </c>
      <c r="B231" s="28">
        <f>LN('②原始價格與FX'!B219/'②原始價格與FX'!B218)</f>
        <v/>
      </c>
      <c r="C231" s="28">
        <f>LN('②原始價格與FX'!C219/'②原始價格與FX'!C218)</f>
        <v/>
      </c>
      <c r="D231" s="28">
        <f>LN('②原始價格與FX'!D219/'②原始價格與FX'!D218)</f>
        <v/>
      </c>
      <c r="E231" s="28">
        <f>LN('②原始價格與FX'!G219/'②原始價格與FX'!G218)</f>
        <v/>
      </c>
      <c r="F231" s="28">
        <f>LN('②原始價格與FX'!H219/'②原始價格與FX'!H218)</f>
        <v/>
      </c>
      <c r="G231" s="28">
        <f>B231</f>
        <v/>
      </c>
      <c r="H231" s="29">
        <f>C231+E231</f>
        <v/>
      </c>
      <c r="I231" s="29">
        <f>D231+F231</f>
        <v/>
      </c>
      <c r="J231" s="31">
        <f>G231*'①基本設定'!$G$5+H231*'①基本設定'!$G$6+I231*'①基本設定'!$G$7</f>
        <v/>
      </c>
    </row>
    <row r="232">
      <c r="A232" s="5" t="inlineStr">
        <is>
          <t>2024-11-14</t>
        </is>
      </c>
      <c r="B232" s="28">
        <f>LN('②原始價格與FX'!B220/'②原始價格與FX'!B219)</f>
        <v/>
      </c>
      <c r="C232" s="28">
        <f>LN('②原始價格與FX'!C220/'②原始價格與FX'!C219)</f>
        <v/>
      </c>
      <c r="D232" s="28">
        <f>LN('②原始價格與FX'!D220/'②原始價格與FX'!D219)</f>
        <v/>
      </c>
      <c r="E232" s="28">
        <f>LN('②原始價格與FX'!G220/'②原始價格與FX'!G219)</f>
        <v/>
      </c>
      <c r="F232" s="28">
        <f>LN('②原始價格與FX'!H220/'②原始價格與FX'!H219)</f>
        <v/>
      </c>
      <c r="G232" s="28">
        <f>B232</f>
        <v/>
      </c>
      <c r="H232" s="29">
        <f>C232+E232</f>
        <v/>
      </c>
      <c r="I232" s="29">
        <f>D232+F232</f>
        <v/>
      </c>
      <c r="J232" s="31">
        <f>G232*'①基本設定'!$G$5+H232*'①基本設定'!$G$6+I232*'①基本設定'!$G$7</f>
        <v/>
      </c>
    </row>
    <row r="233">
      <c r="A233" s="5" t="inlineStr">
        <is>
          <t>2024-11-15</t>
        </is>
      </c>
      <c r="B233" s="28">
        <f>LN('②原始價格與FX'!B221/'②原始價格與FX'!B220)</f>
        <v/>
      </c>
      <c r="C233" s="28">
        <f>LN('②原始價格與FX'!C221/'②原始價格與FX'!C220)</f>
        <v/>
      </c>
      <c r="D233" s="28">
        <f>LN('②原始價格與FX'!D221/'②原始價格與FX'!D220)</f>
        <v/>
      </c>
      <c r="E233" s="28">
        <f>LN('②原始價格與FX'!G221/'②原始價格與FX'!G220)</f>
        <v/>
      </c>
      <c r="F233" s="28">
        <f>LN('②原始價格與FX'!H221/'②原始價格與FX'!H220)</f>
        <v/>
      </c>
      <c r="G233" s="28">
        <f>B233</f>
        <v/>
      </c>
      <c r="H233" s="29">
        <f>C233+E233</f>
        <v/>
      </c>
      <c r="I233" s="29">
        <f>D233+F233</f>
        <v/>
      </c>
      <c r="J233" s="30">
        <f>G233*'①基本設定'!$G$5+H233*'①基本設定'!$G$6+I233*'①基本設定'!$G$7</f>
        <v/>
      </c>
    </row>
    <row r="234">
      <c r="A234" s="5" t="inlineStr">
        <is>
          <t>2024-11-18</t>
        </is>
      </c>
      <c r="B234" s="28">
        <f>LN('②原始價格與FX'!B222/'②原始價格與FX'!B221)</f>
        <v/>
      </c>
      <c r="C234" s="28">
        <f>LN('②原始價格與FX'!C222/'②原始價格與FX'!C221)</f>
        <v/>
      </c>
      <c r="D234" s="28">
        <f>LN('②原始價格與FX'!D222/'②原始價格與FX'!D221)</f>
        <v/>
      </c>
      <c r="E234" s="28">
        <f>LN('②原始價格與FX'!G222/'②原始價格與FX'!G221)</f>
        <v/>
      </c>
      <c r="F234" s="28">
        <f>LN('②原始價格與FX'!H222/'②原始價格與FX'!H221)</f>
        <v/>
      </c>
      <c r="G234" s="28">
        <f>B234</f>
        <v/>
      </c>
      <c r="H234" s="29">
        <f>C234+E234</f>
        <v/>
      </c>
      <c r="I234" s="29">
        <f>D234+F234</f>
        <v/>
      </c>
      <c r="J234" s="30">
        <f>G234*'①基本設定'!$G$5+H234*'①基本設定'!$G$6+I234*'①基本設定'!$G$7</f>
        <v/>
      </c>
    </row>
    <row r="235">
      <c r="A235" s="5" t="inlineStr">
        <is>
          <t>2024-11-19</t>
        </is>
      </c>
      <c r="B235" s="28">
        <f>LN('②原始價格與FX'!B223/'②原始價格與FX'!B222)</f>
        <v/>
      </c>
      <c r="C235" s="28">
        <f>LN('②原始價格與FX'!C223/'②原始價格與FX'!C222)</f>
        <v/>
      </c>
      <c r="D235" s="28">
        <f>LN('②原始價格與FX'!D223/'②原始價格與FX'!D222)</f>
        <v/>
      </c>
      <c r="E235" s="28">
        <f>LN('②原始價格與FX'!G223/'②原始價格與FX'!G222)</f>
        <v/>
      </c>
      <c r="F235" s="28">
        <f>LN('②原始價格與FX'!H223/'②原始價格與FX'!H222)</f>
        <v/>
      </c>
      <c r="G235" s="28">
        <f>B235</f>
        <v/>
      </c>
      <c r="H235" s="29">
        <f>C235+E235</f>
        <v/>
      </c>
      <c r="I235" s="29">
        <f>D235+F235</f>
        <v/>
      </c>
      <c r="J235" s="30">
        <f>G235*'①基本設定'!$G$5+H235*'①基本設定'!$G$6+I235*'①基本設定'!$G$7</f>
        <v/>
      </c>
    </row>
    <row r="236">
      <c r="A236" s="5" t="inlineStr">
        <is>
          <t>2024-11-20</t>
        </is>
      </c>
      <c r="B236" s="28">
        <f>LN('②原始價格與FX'!B224/'②原始價格與FX'!B223)</f>
        <v/>
      </c>
      <c r="C236" s="28">
        <f>LN('②原始價格與FX'!C224/'②原始價格與FX'!C223)</f>
        <v/>
      </c>
      <c r="D236" s="28">
        <f>LN('②原始價格與FX'!D224/'②原始價格與FX'!D223)</f>
        <v/>
      </c>
      <c r="E236" s="28">
        <f>LN('②原始價格與FX'!G224/'②原始價格與FX'!G223)</f>
        <v/>
      </c>
      <c r="F236" s="28">
        <f>LN('②原始價格與FX'!H224/'②原始價格與FX'!H223)</f>
        <v/>
      </c>
      <c r="G236" s="28">
        <f>B236</f>
        <v/>
      </c>
      <c r="H236" s="29">
        <f>C236+E236</f>
        <v/>
      </c>
      <c r="I236" s="29">
        <f>D236+F236</f>
        <v/>
      </c>
      <c r="J236" s="30">
        <f>G236*'①基本設定'!$G$5+H236*'①基本設定'!$G$6+I236*'①基本設定'!$G$7</f>
        <v/>
      </c>
    </row>
    <row r="237">
      <c r="A237" s="5" t="inlineStr">
        <is>
          <t>2024-11-21</t>
        </is>
      </c>
      <c r="B237" s="28">
        <f>LN('②原始價格與FX'!B225/'②原始價格與FX'!B224)</f>
        <v/>
      </c>
      <c r="C237" s="28">
        <f>LN('②原始價格與FX'!C225/'②原始價格與FX'!C224)</f>
        <v/>
      </c>
      <c r="D237" s="28">
        <f>LN('②原始價格與FX'!D225/'②原始價格與FX'!D224)</f>
        <v/>
      </c>
      <c r="E237" s="28">
        <f>LN('②原始價格與FX'!G225/'②原始價格與FX'!G224)</f>
        <v/>
      </c>
      <c r="F237" s="28">
        <f>LN('②原始價格與FX'!H225/'②原始價格與FX'!H224)</f>
        <v/>
      </c>
      <c r="G237" s="28">
        <f>B237</f>
        <v/>
      </c>
      <c r="H237" s="29">
        <f>C237+E237</f>
        <v/>
      </c>
      <c r="I237" s="29">
        <f>D237+F237</f>
        <v/>
      </c>
      <c r="J237" s="30">
        <f>G237*'①基本設定'!$G$5+H237*'①基本設定'!$G$6+I237*'①基本設定'!$G$7</f>
        <v/>
      </c>
    </row>
    <row r="238">
      <c r="A238" s="5" t="inlineStr">
        <is>
          <t>2024-11-22</t>
        </is>
      </c>
      <c r="B238" s="28">
        <f>LN('②原始價格與FX'!B226/'②原始價格與FX'!B225)</f>
        <v/>
      </c>
      <c r="C238" s="28">
        <f>LN('②原始價格與FX'!C226/'②原始價格與FX'!C225)</f>
        <v/>
      </c>
      <c r="D238" s="28">
        <f>LN('②原始價格與FX'!D226/'②原始價格與FX'!D225)</f>
        <v/>
      </c>
      <c r="E238" s="28">
        <f>LN('②原始價格與FX'!G226/'②原始價格與FX'!G225)</f>
        <v/>
      </c>
      <c r="F238" s="28">
        <f>LN('②原始價格與FX'!H226/'②原始價格與FX'!H225)</f>
        <v/>
      </c>
      <c r="G238" s="28">
        <f>B238</f>
        <v/>
      </c>
      <c r="H238" s="29">
        <f>C238+E238</f>
        <v/>
      </c>
      <c r="I238" s="29">
        <f>D238+F238</f>
        <v/>
      </c>
      <c r="J238" s="31">
        <f>G238*'①基本設定'!$G$5+H238*'①基本設定'!$G$6+I238*'①基本設定'!$G$7</f>
        <v/>
      </c>
    </row>
    <row r="239">
      <c r="A239" s="5" t="inlineStr">
        <is>
          <t>2024-11-25</t>
        </is>
      </c>
      <c r="B239" s="28">
        <f>LN('②原始價格與FX'!B227/'②原始價格與FX'!B226)</f>
        <v/>
      </c>
      <c r="C239" s="28">
        <f>LN('②原始價格與FX'!C227/'②原始價格與FX'!C226)</f>
        <v/>
      </c>
      <c r="D239" s="28">
        <f>LN('②原始價格與FX'!D227/'②原始價格與FX'!D226)</f>
        <v/>
      </c>
      <c r="E239" s="28">
        <f>LN('②原始價格與FX'!G227/'②原始價格與FX'!G226)</f>
        <v/>
      </c>
      <c r="F239" s="28">
        <f>LN('②原始價格與FX'!H227/'②原始價格與FX'!H226)</f>
        <v/>
      </c>
      <c r="G239" s="28">
        <f>B239</f>
        <v/>
      </c>
      <c r="H239" s="29">
        <f>C239+E239</f>
        <v/>
      </c>
      <c r="I239" s="29">
        <f>D239+F239</f>
        <v/>
      </c>
      <c r="J239" s="31">
        <f>G239*'①基本設定'!$G$5+H239*'①基本設定'!$G$6+I239*'①基本設定'!$G$7</f>
        <v/>
      </c>
    </row>
    <row r="240">
      <c r="A240" s="5" t="inlineStr">
        <is>
          <t>2024-11-26</t>
        </is>
      </c>
      <c r="B240" s="28">
        <f>LN('②原始價格與FX'!B228/'②原始價格與FX'!B227)</f>
        <v/>
      </c>
      <c r="C240" s="28">
        <f>LN('②原始價格與FX'!C228/'②原始價格與FX'!C227)</f>
        <v/>
      </c>
      <c r="D240" s="28">
        <f>LN('②原始價格與FX'!D228/'②原始價格與FX'!D227)</f>
        <v/>
      </c>
      <c r="E240" s="28">
        <f>LN('②原始價格與FX'!G228/'②原始價格與FX'!G227)</f>
        <v/>
      </c>
      <c r="F240" s="28">
        <f>LN('②原始價格與FX'!H228/'②原始價格與FX'!H227)</f>
        <v/>
      </c>
      <c r="G240" s="28">
        <f>B240</f>
        <v/>
      </c>
      <c r="H240" s="29">
        <f>C240+E240</f>
        <v/>
      </c>
      <c r="I240" s="29">
        <f>D240+F240</f>
        <v/>
      </c>
      <c r="J240" s="31">
        <f>G240*'①基本設定'!$G$5+H240*'①基本設定'!$G$6+I240*'①基本設定'!$G$7</f>
        <v/>
      </c>
    </row>
    <row r="241">
      <c r="A241" s="5" t="inlineStr">
        <is>
          <t>2024-11-27</t>
        </is>
      </c>
      <c r="B241" s="28">
        <f>LN('②原始價格與FX'!B229/'②原始價格與FX'!B228)</f>
        <v/>
      </c>
      <c r="C241" s="28">
        <f>LN('②原始價格與FX'!C229/'②原始價格與FX'!C228)</f>
        <v/>
      </c>
      <c r="D241" s="28">
        <f>LN('②原始價格與FX'!D229/'②原始價格與FX'!D228)</f>
        <v/>
      </c>
      <c r="E241" s="28">
        <f>LN('②原始價格與FX'!G229/'②原始價格與FX'!G228)</f>
        <v/>
      </c>
      <c r="F241" s="28">
        <f>LN('②原始價格與FX'!H229/'②原始價格與FX'!H228)</f>
        <v/>
      </c>
      <c r="G241" s="28">
        <f>B241</f>
        <v/>
      </c>
      <c r="H241" s="29">
        <f>C241+E241</f>
        <v/>
      </c>
      <c r="I241" s="29">
        <f>D241+F241</f>
        <v/>
      </c>
      <c r="J241" s="31">
        <f>G241*'①基本設定'!$G$5+H241*'①基本設定'!$G$6+I241*'①基本設定'!$G$7</f>
        <v/>
      </c>
    </row>
    <row r="242">
      <c r="A242" s="5" t="inlineStr">
        <is>
          <t>2024-11-28</t>
        </is>
      </c>
      <c r="B242" s="28">
        <f>LN('②原始價格與FX'!B230/'②原始價格與FX'!B229)</f>
        <v/>
      </c>
      <c r="C242" s="28">
        <f>LN('②原始價格與FX'!C230/'②原始價格與FX'!C229)</f>
        <v/>
      </c>
      <c r="D242" s="28">
        <f>LN('②原始價格與FX'!D230/'②原始價格與FX'!D229)</f>
        <v/>
      </c>
      <c r="E242" s="28">
        <f>LN('②原始價格與FX'!G230/'②原始價格與FX'!G229)</f>
        <v/>
      </c>
      <c r="F242" s="28">
        <f>LN('②原始價格與FX'!H230/'②原始價格與FX'!H229)</f>
        <v/>
      </c>
      <c r="G242" s="28">
        <f>B242</f>
        <v/>
      </c>
      <c r="H242" s="29">
        <f>C242+E242</f>
        <v/>
      </c>
      <c r="I242" s="29">
        <f>D242+F242</f>
        <v/>
      </c>
      <c r="J242" s="31">
        <f>G242*'①基本設定'!$G$5+H242*'①基本設定'!$G$6+I242*'①基本設定'!$G$7</f>
        <v/>
      </c>
    </row>
    <row r="243">
      <c r="A243" s="5" t="inlineStr">
        <is>
          <t>2024-11-29</t>
        </is>
      </c>
      <c r="B243" s="28">
        <f>LN('②原始價格與FX'!B231/'②原始價格與FX'!B230)</f>
        <v/>
      </c>
      <c r="C243" s="28">
        <f>LN('②原始價格與FX'!C231/'②原始價格與FX'!C230)</f>
        <v/>
      </c>
      <c r="D243" s="28">
        <f>LN('②原始價格與FX'!D231/'②原始價格與FX'!D230)</f>
        <v/>
      </c>
      <c r="E243" s="28">
        <f>LN('②原始價格與FX'!G231/'②原始價格與FX'!G230)</f>
        <v/>
      </c>
      <c r="F243" s="28">
        <f>LN('②原始價格與FX'!H231/'②原始價格與FX'!H230)</f>
        <v/>
      </c>
      <c r="G243" s="28">
        <f>B243</f>
        <v/>
      </c>
      <c r="H243" s="29">
        <f>C243+E243</f>
        <v/>
      </c>
      <c r="I243" s="29">
        <f>D243+F243</f>
        <v/>
      </c>
      <c r="J243" s="30">
        <f>G243*'①基本設定'!$G$5+H243*'①基本設定'!$G$6+I243*'①基本設定'!$G$7</f>
        <v/>
      </c>
    </row>
    <row r="244">
      <c r="A244" s="5" t="inlineStr">
        <is>
          <t>2024-12-02</t>
        </is>
      </c>
      <c r="B244" s="28">
        <f>LN('②原始價格與FX'!B232/'②原始價格與FX'!B231)</f>
        <v/>
      </c>
      <c r="C244" s="28">
        <f>LN('②原始價格與FX'!C232/'②原始價格與FX'!C231)</f>
        <v/>
      </c>
      <c r="D244" s="28">
        <f>LN('②原始價格與FX'!D232/'②原始價格與FX'!D231)</f>
        <v/>
      </c>
      <c r="E244" s="28">
        <f>LN('②原始價格與FX'!G232/'②原始價格與FX'!G231)</f>
        <v/>
      </c>
      <c r="F244" s="28">
        <f>LN('②原始價格與FX'!H232/'②原始價格與FX'!H231)</f>
        <v/>
      </c>
      <c r="G244" s="28">
        <f>B244</f>
        <v/>
      </c>
      <c r="H244" s="29">
        <f>C244+E244</f>
        <v/>
      </c>
      <c r="I244" s="29">
        <f>D244+F244</f>
        <v/>
      </c>
      <c r="J244" s="31">
        <f>G244*'①基本設定'!$G$5+H244*'①基本設定'!$G$6+I244*'①基本設定'!$G$7</f>
        <v/>
      </c>
    </row>
    <row r="245">
      <c r="A245" s="5" t="inlineStr">
        <is>
          <t>2024-12-03</t>
        </is>
      </c>
      <c r="B245" s="28">
        <f>LN('②原始價格與FX'!B233/'②原始價格與FX'!B232)</f>
        <v/>
      </c>
      <c r="C245" s="28">
        <f>LN('②原始價格與FX'!C233/'②原始價格與FX'!C232)</f>
        <v/>
      </c>
      <c r="D245" s="28">
        <f>LN('②原始價格與FX'!D233/'②原始價格與FX'!D232)</f>
        <v/>
      </c>
      <c r="E245" s="28">
        <f>LN('②原始價格與FX'!G233/'②原始價格與FX'!G232)</f>
        <v/>
      </c>
      <c r="F245" s="28">
        <f>LN('②原始價格與FX'!H233/'②原始價格與FX'!H232)</f>
        <v/>
      </c>
      <c r="G245" s="28">
        <f>B245</f>
        <v/>
      </c>
      <c r="H245" s="29">
        <f>C245+E245</f>
        <v/>
      </c>
      <c r="I245" s="29">
        <f>D245+F245</f>
        <v/>
      </c>
      <c r="J245" s="31">
        <f>G245*'①基本設定'!$G$5+H245*'①基本設定'!$G$6+I245*'①基本設定'!$G$7</f>
        <v/>
      </c>
    </row>
    <row r="246">
      <c r="A246" s="5" t="inlineStr">
        <is>
          <t>2024-12-04</t>
        </is>
      </c>
      <c r="B246" s="28">
        <f>LN('②原始價格與FX'!B234/'②原始價格與FX'!B233)</f>
        <v/>
      </c>
      <c r="C246" s="28">
        <f>LN('②原始價格與FX'!C234/'②原始價格與FX'!C233)</f>
        <v/>
      </c>
      <c r="D246" s="28">
        <f>LN('②原始價格與FX'!D234/'②原始價格與FX'!D233)</f>
        <v/>
      </c>
      <c r="E246" s="28">
        <f>LN('②原始價格與FX'!G234/'②原始價格與FX'!G233)</f>
        <v/>
      </c>
      <c r="F246" s="28">
        <f>LN('②原始價格與FX'!H234/'②原始價格與FX'!H233)</f>
        <v/>
      </c>
      <c r="G246" s="28">
        <f>B246</f>
        <v/>
      </c>
      <c r="H246" s="29">
        <f>C246+E246</f>
        <v/>
      </c>
      <c r="I246" s="29">
        <f>D246+F246</f>
        <v/>
      </c>
      <c r="J246" s="31">
        <f>G246*'①基本設定'!$G$5+H246*'①基本設定'!$G$6+I246*'①基本設定'!$G$7</f>
        <v/>
      </c>
    </row>
    <row r="247">
      <c r="A247" s="5" t="inlineStr">
        <is>
          <t>2024-12-05</t>
        </is>
      </c>
      <c r="B247" s="28">
        <f>LN('②原始價格與FX'!B235/'②原始價格與FX'!B234)</f>
        <v/>
      </c>
      <c r="C247" s="28">
        <f>LN('②原始價格與FX'!C235/'②原始價格與FX'!C234)</f>
        <v/>
      </c>
      <c r="D247" s="28">
        <f>LN('②原始價格與FX'!D235/'②原始價格與FX'!D234)</f>
        <v/>
      </c>
      <c r="E247" s="28">
        <f>LN('②原始價格與FX'!G235/'②原始價格與FX'!G234)</f>
        <v/>
      </c>
      <c r="F247" s="28">
        <f>LN('②原始價格與FX'!H235/'②原始價格與FX'!H234)</f>
        <v/>
      </c>
      <c r="G247" s="28">
        <f>B247</f>
        <v/>
      </c>
      <c r="H247" s="29">
        <f>C247+E247</f>
        <v/>
      </c>
      <c r="I247" s="29">
        <f>D247+F247</f>
        <v/>
      </c>
      <c r="J247" s="31">
        <f>G247*'①基本設定'!$G$5+H247*'①基本設定'!$G$6+I247*'①基本設定'!$G$7</f>
        <v/>
      </c>
    </row>
    <row r="248">
      <c r="A248" s="5" t="inlineStr">
        <is>
          <t>2024-12-06</t>
        </is>
      </c>
      <c r="B248" s="28">
        <f>LN('②原始價格與FX'!B236/'②原始價格與FX'!B235)</f>
        <v/>
      </c>
      <c r="C248" s="28">
        <f>LN('②原始價格與FX'!C236/'②原始價格與FX'!C235)</f>
        <v/>
      </c>
      <c r="D248" s="28">
        <f>LN('②原始價格與FX'!D236/'②原始價格與FX'!D235)</f>
        <v/>
      </c>
      <c r="E248" s="28">
        <f>LN('②原始價格與FX'!G236/'②原始價格與FX'!G235)</f>
        <v/>
      </c>
      <c r="F248" s="28">
        <f>LN('②原始價格與FX'!H236/'②原始價格與FX'!H235)</f>
        <v/>
      </c>
      <c r="G248" s="28">
        <f>B248</f>
        <v/>
      </c>
      <c r="H248" s="29">
        <f>C248+E248</f>
        <v/>
      </c>
      <c r="I248" s="29">
        <f>D248+F248</f>
        <v/>
      </c>
      <c r="J248" s="30">
        <f>G248*'①基本設定'!$G$5+H248*'①基本設定'!$G$6+I248*'①基本設定'!$G$7</f>
        <v/>
      </c>
    </row>
    <row r="249">
      <c r="A249" s="5" t="inlineStr">
        <is>
          <t>2024-12-09</t>
        </is>
      </c>
      <c r="B249" s="28">
        <f>LN('②原始價格與FX'!B237/'②原始價格與FX'!B236)</f>
        <v/>
      </c>
      <c r="C249" s="28">
        <f>LN('②原始價格與FX'!C237/'②原始價格與FX'!C236)</f>
        <v/>
      </c>
      <c r="D249" s="28">
        <f>LN('②原始價格與FX'!D237/'②原始價格與FX'!D236)</f>
        <v/>
      </c>
      <c r="E249" s="28">
        <f>LN('②原始價格與FX'!G237/'②原始價格與FX'!G236)</f>
        <v/>
      </c>
      <c r="F249" s="28">
        <f>LN('②原始價格與FX'!H237/'②原始價格與FX'!H236)</f>
        <v/>
      </c>
      <c r="G249" s="28">
        <f>B249</f>
        <v/>
      </c>
      <c r="H249" s="29">
        <f>C249+E249</f>
        <v/>
      </c>
      <c r="I249" s="29">
        <f>D249+F249</f>
        <v/>
      </c>
      <c r="J249" s="31">
        <f>G249*'①基本設定'!$G$5+H249*'①基本設定'!$G$6+I249*'①基本設定'!$G$7</f>
        <v/>
      </c>
    </row>
    <row r="250">
      <c r="A250" s="5" t="inlineStr">
        <is>
          <t>2024-12-10</t>
        </is>
      </c>
      <c r="B250" s="28">
        <f>LN('②原始價格與FX'!B238/'②原始價格與FX'!B237)</f>
        <v/>
      </c>
      <c r="C250" s="28">
        <f>LN('②原始價格與FX'!C238/'②原始價格與FX'!C237)</f>
        <v/>
      </c>
      <c r="D250" s="28">
        <f>LN('②原始價格與FX'!D238/'②原始價格與FX'!D237)</f>
        <v/>
      </c>
      <c r="E250" s="28">
        <f>LN('②原始價格與FX'!G238/'②原始價格與FX'!G237)</f>
        <v/>
      </c>
      <c r="F250" s="28">
        <f>LN('②原始價格與FX'!H238/'②原始價格與FX'!H237)</f>
        <v/>
      </c>
      <c r="G250" s="28">
        <f>B250</f>
        <v/>
      </c>
      <c r="H250" s="29">
        <f>C250+E250</f>
        <v/>
      </c>
      <c r="I250" s="29">
        <f>D250+F250</f>
        <v/>
      </c>
      <c r="J250" s="31">
        <f>G250*'①基本設定'!$G$5+H250*'①基本設定'!$G$6+I250*'①基本設定'!$G$7</f>
        <v/>
      </c>
    </row>
    <row r="251">
      <c r="A251" s="5" t="inlineStr">
        <is>
          <t>2024-12-11</t>
        </is>
      </c>
      <c r="B251" s="28">
        <f>LN('②原始價格與FX'!B239/'②原始價格與FX'!B238)</f>
        <v/>
      </c>
      <c r="C251" s="28">
        <f>LN('②原始價格與FX'!C239/'②原始價格與FX'!C238)</f>
        <v/>
      </c>
      <c r="D251" s="28">
        <f>LN('②原始價格與FX'!D239/'②原始價格與FX'!D238)</f>
        <v/>
      </c>
      <c r="E251" s="28">
        <f>LN('②原始價格與FX'!G239/'②原始價格與FX'!G238)</f>
        <v/>
      </c>
      <c r="F251" s="28">
        <f>LN('②原始價格與FX'!H239/'②原始價格與FX'!H238)</f>
        <v/>
      </c>
      <c r="G251" s="28">
        <f>B251</f>
        <v/>
      </c>
      <c r="H251" s="29">
        <f>C251+E251</f>
        <v/>
      </c>
      <c r="I251" s="29">
        <f>D251+F251</f>
        <v/>
      </c>
      <c r="J251" s="30">
        <f>G251*'①基本設定'!$G$5+H251*'①基本設定'!$G$6+I251*'①基本設定'!$G$7</f>
        <v/>
      </c>
    </row>
    <row r="252">
      <c r="A252" s="5" t="inlineStr">
        <is>
          <t>2024-12-12</t>
        </is>
      </c>
      <c r="B252" s="28">
        <f>LN('②原始價格與FX'!B240/'②原始價格與FX'!B239)</f>
        <v/>
      </c>
      <c r="C252" s="28">
        <f>LN('②原始價格與FX'!C240/'②原始價格與FX'!C239)</f>
        <v/>
      </c>
      <c r="D252" s="28">
        <f>LN('②原始價格與FX'!D240/'②原始價格與FX'!D239)</f>
        <v/>
      </c>
      <c r="E252" s="28">
        <f>LN('②原始價格與FX'!G240/'②原始價格與FX'!G239)</f>
        <v/>
      </c>
      <c r="F252" s="28">
        <f>LN('②原始價格與FX'!H240/'②原始價格與FX'!H239)</f>
        <v/>
      </c>
      <c r="G252" s="28">
        <f>B252</f>
        <v/>
      </c>
      <c r="H252" s="29">
        <f>C252+E252</f>
        <v/>
      </c>
      <c r="I252" s="29">
        <f>D252+F252</f>
        <v/>
      </c>
      <c r="J252" s="31">
        <f>G252*'①基本設定'!$G$5+H252*'①基本設定'!$G$6+I252*'①基本設定'!$G$7</f>
        <v/>
      </c>
    </row>
    <row r="253">
      <c r="A253" s="5" t="inlineStr">
        <is>
          <t>2024-12-13</t>
        </is>
      </c>
      <c r="B253" s="28">
        <f>LN('②原始價格與FX'!B241/'②原始價格與FX'!B240)</f>
        <v/>
      </c>
      <c r="C253" s="28">
        <f>LN('②原始價格與FX'!C241/'②原始價格與FX'!C240)</f>
        <v/>
      </c>
      <c r="D253" s="28">
        <f>LN('②原始價格與FX'!D241/'②原始價格與FX'!D240)</f>
        <v/>
      </c>
      <c r="E253" s="28">
        <f>LN('②原始價格與FX'!G241/'②原始價格與FX'!G240)</f>
        <v/>
      </c>
      <c r="F253" s="28">
        <f>LN('②原始價格與FX'!H241/'②原始價格與FX'!H240)</f>
        <v/>
      </c>
      <c r="G253" s="28">
        <f>B253</f>
        <v/>
      </c>
      <c r="H253" s="29">
        <f>C253+E253</f>
        <v/>
      </c>
      <c r="I253" s="29">
        <f>D253+F253</f>
        <v/>
      </c>
      <c r="J253" s="31">
        <f>G253*'①基本設定'!$G$5+H253*'①基本設定'!$G$6+I253*'①基本設定'!$G$7</f>
        <v/>
      </c>
    </row>
    <row r="254">
      <c r="A254" s="5" t="inlineStr">
        <is>
          <t>2024-12-16</t>
        </is>
      </c>
      <c r="B254" s="28">
        <f>LN('②原始價格與FX'!B242/'②原始價格與FX'!B241)</f>
        <v/>
      </c>
      <c r="C254" s="28">
        <f>LN('②原始價格與FX'!C242/'②原始價格與FX'!C241)</f>
        <v/>
      </c>
      <c r="D254" s="28">
        <f>LN('②原始價格與FX'!D242/'②原始價格與FX'!D241)</f>
        <v/>
      </c>
      <c r="E254" s="28">
        <f>LN('②原始價格與FX'!G242/'②原始價格與FX'!G241)</f>
        <v/>
      </c>
      <c r="F254" s="28">
        <f>LN('②原始價格與FX'!H242/'②原始價格與FX'!H241)</f>
        <v/>
      </c>
      <c r="G254" s="28">
        <f>B254</f>
        <v/>
      </c>
      <c r="H254" s="29">
        <f>C254+E254</f>
        <v/>
      </c>
      <c r="I254" s="29">
        <f>D254+F254</f>
        <v/>
      </c>
      <c r="J254" s="30">
        <f>G254*'①基本設定'!$G$5+H254*'①基本設定'!$G$6+I254*'①基本設定'!$G$7</f>
        <v/>
      </c>
    </row>
    <row r="255">
      <c r="A255" s="5" t="inlineStr">
        <is>
          <t>2024-12-17</t>
        </is>
      </c>
      <c r="B255" s="28">
        <f>LN('②原始價格與FX'!B243/'②原始價格與FX'!B242)</f>
        <v/>
      </c>
      <c r="C255" s="28">
        <f>LN('②原始價格與FX'!C243/'②原始價格與FX'!C242)</f>
        <v/>
      </c>
      <c r="D255" s="28">
        <f>LN('②原始價格與FX'!D243/'②原始價格與FX'!D242)</f>
        <v/>
      </c>
      <c r="E255" s="28">
        <f>LN('②原始價格與FX'!G243/'②原始價格與FX'!G242)</f>
        <v/>
      </c>
      <c r="F255" s="28">
        <f>LN('②原始價格與FX'!H243/'②原始價格與FX'!H242)</f>
        <v/>
      </c>
      <c r="G255" s="28">
        <f>B255</f>
        <v/>
      </c>
      <c r="H255" s="29">
        <f>C255+E255</f>
        <v/>
      </c>
      <c r="I255" s="29">
        <f>D255+F255</f>
        <v/>
      </c>
      <c r="J255" s="31">
        <f>G255*'①基本設定'!$G$5+H255*'①基本設定'!$G$6+I255*'①基本設定'!$G$7</f>
        <v/>
      </c>
    </row>
    <row r="256">
      <c r="A256" s="5" t="inlineStr">
        <is>
          <t>2024-12-18</t>
        </is>
      </c>
      <c r="B256" s="28">
        <f>LN('②原始價格與FX'!B244/'②原始價格與FX'!B243)</f>
        <v/>
      </c>
      <c r="C256" s="28">
        <f>LN('②原始價格與FX'!C244/'②原始價格與FX'!C243)</f>
        <v/>
      </c>
      <c r="D256" s="28">
        <f>LN('②原始價格與FX'!D244/'②原始價格與FX'!D243)</f>
        <v/>
      </c>
      <c r="E256" s="28">
        <f>LN('②原始價格與FX'!G244/'②原始價格與FX'!G243)</f>
        <v/>
      </c>
      <c r="F256" s="28">
        <f>LN('②原始價格與FX'!H244/'②原始價格與FX'!H243)</f>
        <v/>
      </c>
      <c r="G256" s="28">
        <f>B256</f>
        <v/>
      </c>
      <c r="H256" s="29">
        <f>C256+E256</f>
        <v/>
      </c>
      <c r="I256" s="29">
        <f>D256+F256</f>
        <v/>
      </c>
      <c r="J256" s="31">
        <f>G256*'①基本設定'!$G$5+H256*'①基本設定'!$G$6+I256*'①基本設定'!$G$7</f>
        <v/>
      </c>
    </row>
    <row r="257">
      <c r="A257" s="5" t="inlineStr">
        <is>
          <t>2024-12-19</t>
        </is>
      </c>
      <c r="B257" s="28">
        <f>LN('②原始價格與FX'!B245/'②原始價格與FX'!B244)</f>
        <v/>
      </c>
      <c r="C257" s="28">
        <f>LN('②原始價格與FX'!C245/'②原始價格與FX'!C244)</f>
        <v/>
      </c>
      <c r="D257" s="28">
        <f>LN('②原始價格與FX'!D245/'②原始價格與FX'!D244)</f>
        <v/>
      </c>
      <c r="E257" s="28">
        <f>LN('②原始價格與FX'!G245/'②原始價格與FX'!G244)</f>
        <v/>
      </c>
      <c r="F257" s="28">
        <f>LN('②原始價格與FX'!H245/'②原始價格與FX'!H244)</f>
        <v/>
      </c>
      <c r="G257" s="28">
        <f>B257</f>
        <v/>
      </c>
      <c r="H257" s="29">
        <f>C257+E257</f>
        <v/>
      </c>
      <c r="I257" s="29">
        <f>D257+F257</f>
        <v/>
      </c>
      <c r="J257" s="31">
        <f>G257*'①基本設定'!$G$5+H257*'①基本設定'!$G$6+I257*'①基本設定'!$G$7</f>
        <v/>
      </c>
    </row>
    <row r="258">
      <c r="A258" s="5" t="inlineStr">
        <is>
          <t>2024-12-20</t>
        </is>
      </c>
      <c r="B258" s="28">
        <f>LN('②原始價格與FX'!B246/'②原始價格與FX'!B245)</f>
        <v/>
      </c>
      <c r="C258" s="28">
        <f>LN('②原始價格與FX'!C246/'②原始價格與FX'!C245)</f>
        <v/>
      </c>
      <c r="D258" s="28">
        <f>LN('②原始價格與FX'!D246/'②原始價格與FX'!D245)</f>
        <v/>
      </c>
      <c r="E258" s="28">
        <f>LN('②原始價格與FX'!G246/'②原始價格與FX'!G245)</f>
        <v/>
      </c>
      <c r="F258" s="28">
        <f>LN('②原始價格與FX'!H246/'②原始價格與FX'!H245)</f>
        <v/>
      </c>
      <c r="G258" s="28">
        <f>B258</f>
        <v/>
      </c>
      <c r="H258" s="29">
        <f>C258+E258</f>
        <v/>
      </c>
      <c r="I258" s="29">
        <f>D258+F258</f>
        <v/>
      </c>
      <c r="J258" s="31">
        <f>G258*'①基本設定'!$G$5+H258*'①基本設定'!$G$6+I258*'①基本設定'!$G$7</f>
        <v/>
      </c>
    </row>
    <row r="259">
      <c r="A259" s="5" t="inlineStr">
        <is>
          <t>2024-12-23</t>
        </is>
      </c>
      <c r="B259" s="28">
        <f>LN('②原始價格與FX'!B247/'②原始價格與FX'!B246)</f>
        <v/>
      </c>
      <c r="C259" s="28">
        <f>LN('②原始價格與FX'!C247/'②原始價格與FX'!C246)</f>
        <v/>
      </c>
      <c r="D259" s="28">
        <f>LN('②原始價格與FX'!D247/'②原始價格與FX'!D246)</f>
        <v/>
      </c>
      <c r="E259" s="28">
        <f>LN('②原始價格與FX'!G247/'②原始價格與FX'!G246)</f>
        <v/>
      </c>
      <c r="F259" s="28">
        <f>LN('②原始價格與FX'!H247/'②原始價格與FX'!H246)</f>
        <v/>
      </c>
      <c r="G259" s="28">
        <f>B259</f>
        <v/>
      </c>
      <c r="H259" s="29">
        <f>C259+E259</f>
        <v/>
      </c>
      <c r="I259" s="29">
        <f>D259+F259</f>
        <v/>
      </c>
      <c r="J259" s="30">
        <f>G259*'①基本設定'!$G$5+H259*'①基本設定'!$G$6+I259*'①基本設定'!$G$7</f>
        <v/>
      </c>
    </row>
    <row r="260">
      <c r="A260" s="5" t="inlineStr">
        <is>
          <t>2024-12-24</t>
        </is>
      </c>
      <c r="B260" s="28">
        <f>LN('②原始價格與FX'!B248/'②原始價格與FX'!B247)</f>
        <v/>
      </c>
      <c r="C260" s="28">
        <f>LN('②原始價格與FX'!C248/'②原始價格與FX'!C247)</f>
        <v/>
      </c>
      <c r="D260" s="28">
        <f>LN('②原始價格與FX'!D248/'②原始價格與FX'!D247)</f>
        <v/>
      </c>
      <c r="E260" s="28">
        <f>LN('②原始價格與FX'!G248/'②原始價格與FX'!G247)</f>
        <v/>
      </c>
      <c r="F260" s="28">
        <f>LN('②原始價格與FX'!H248/'②原始價格與FX'!H247)</f>
        <v/>
      </c>
      <c r="G260" s="28">
        <f>B260</f>
        <v/>
      </c>
      <c r="H260" s="29">
        <f>C260+E260</f>
        <v/>
      </c>
      <c r="I260" s="29">
        <f>D260+F260</f>
        <v/>
      </c>
      <c r="J260" s="31">
        <f>G260*'①基本設定'!$G$5+H260*'①基本設定'!$G$6+I260*'①基本設定'!$G$7</f>
        <v/>
      </c>
    </row>
    <row r="261">
      <c r="A261" s="5" t="inlineStr">
        <is>
          <t>2024-12-25</t>
        </is>
      </c>
      <c r="B261" s="28">
        <f>LN('②原始價格與FX'!B249/'②原始價格與FX'!B248)</f>
        <v/>
      </c>
      <c r="C261" s="28">
        <f>LN('②原始價格與FX'!C249/'②原始價格與FX'!C248)</f>
        <v/>
      </c>
      <c r="D261" s="28">
        <f>LN('②原始價格與FX'!D249/'②原始價格與FX'!D248)</f>
        <v/>
      </c>
      <c r="E261" s="28">
        <f>LN('②原始價格與FX'!G249/'②原始價格與FX'!G248)</f>
        <v/>
      </c>
      <c r="F261" s="28">
        <f>LN('②原始價格與FX'!H249/'②原始價格與FX'!H248)</f>
        <v/>
      </c>
      <c r="G261" s="28">
        <f>B261</f>
        <v/>
      </c>
      <c r="H261" s="29">
        <f>C261+E261</f>
        <v/>
      </c>
      <c r="I261" s="29">
        <f>D261+F261</f>
        <v/>
      </c>
      <c r="J261" s="30">
        <f>G261*'①基本設定'!$G$5+H261*'①基本設定'!$G$6+I261*'①基本設定'!$G$7</f>
        <v/>
      </c>
    </row>
    <row r="262">
      <c r="A262" s="5" t="inlineStr">
        <is>
          <t>2024-12-26</t>
        </is>
      </c>
      <c r="B262" s="28">
        <f>LN('②原始價格與FX'!B250/'②原始價格與FX'!B249)</f>
        <v/>
      </c>
      <c r="C262" s="28">
        <f>LN('②原始價格與FX'!C250/'②原始價格與FX'!C249)</f>
        <v/>
      </c>
      <c r="D262" s="28">
        <f>LN('②原始價格與FX'!D250/'②原始價格與FX'!D249)</f>
        <v/>
      </c>
      <c r="E262" s="28">
        <f>LN('②原始價格與FX'!G250/'②原始價格與FX'!G249)</f>
        <v/>
      </c>
      <c r="F262" s="28">
        <f>LN('②原始價格與FX'!H250/'②原始價格與FX'!H249)</f>
        <v/>
      </c>
      <c r="G262" s="28">
        <f>B262</f>
        <v/>
      </c>
      <c r="H262" s="29">
        <f>C262+E262</f>
        <v/>
      </c>
      <c r="I262" s="29">
        <f>D262+F262</f>
        <v/>
      </c>
      <c r="J262" s="31">
        <f>G262*'①基本設定'!$G$5+H262*'①基本設定'!$G$6+I262*'①基本設定'!$G$7</f>
        <v/>
      </c>
    </row>
    <row r="263">
      <c r="A263" s="5" t="inlineStr">
        <is>
          <t>2024-12-27</t>
        </is>
      </c>
      <c r="B263" s="28">
        <f>LN('②原始價格與FX'!B251/'②原始價格與FX'!B250)</f>
        <v/>
      </c>
      <c r="C263" s="28">
        <f>LN('②原始價格與FX'!C251/'②原始價格與FX'!C250)</f>
        <v/>
      </c>
      <c r="D263" s="28">
        <f>LN('②原始價格與FX'!D251/'②原始價格與FX'!D250)</f>
        <v/>
      </c>
      <c r="E263" s="28">
        <f>LN('②原始價格與FX'!G251/'②原始價格與FX'!G250)</f>
        <v/>
      </c>
      <c r="F263" s="28">
        <f>LN('②原始價格與FX'!H251/'②原始價格與FX'!H250)</f>
        <v/>
      </c>
      <c r="G263" s="28">
        <f>B263</f>
        <v/>
      </c>
      <c r="H263" s="29">
        <f>C263+E263</f>
        <v/>
      </c>
      <c r="I263" s="29">
        <f>D263+F263</f>
        <v/>
      </c>
      <c r="J263" s="30">
        <f>G263*'①基本設定'!$G$5+H263*'①基本設定'!$G$6+I263*'①基本設定'!$G$7</f>
        <v/>
      </c>
    </row>
    <row r="264">
      <c r="A264" s="5" t="inlineStr">
        <is>
          <t>2024-12-30</t>
        </is>
      </c>
      <c r="B264" s="28">
        <f>LN('②原始價格與FX'!B252/'②原始價格與FX'!B251)</f>
        <v/>
      </c>
      <c r="C264" s="28">
        <f>LN('②原始價格與FX'!C252/'②原始價格與FX'!C251)</f>
        <v/>
      </c>
      <c r="D264" s="28">
        <f>LN('②原始價格與FX'!D252/'②原始價格與FX'!D251)</f>
        <v/>
      </c>
      <c r="E264" s="28">
        <f>LN('②原始價格與FX'!G252/'②原始價格與FX'!G251)</f>
        <v/>
      </c>
      <c r="F264" s="28">
        <f>LN('②原始價格與FX'!H252/'②原始價格與FX'!H251)</f>
        <v/>
      </c>
      <c r="G264" s="28">
        <f>B264</f>
        <v/>
      </c>
      <c r="H264" s="29">
        <f>C264+E264</f>
        <v/>
      </c>
      <c r="I264" s="29">
        <f>D264+F264</f>
        <v/>
      </c>
      <c r="J264" s="30">
        <f>G264*'①基本設定'!$G$5+H264*'①基本設定'!$G$6+I264*'①基本設定'!$G$7</f>
        <v/>
      </c>
    </row>
    <row r="265">
      <c r="A265" s="5" t="inlineStr">
        <is>
          <t>2024-12-31</t>
        </is>
      </c>
      <c r="B265" s="28">
        <f>LN('②原始價格與FX'!B253/'②原始價格與FX'!B252)</f>
        <v/>
      </c>
      <c r="C265" s="28">
        <f>LN('②原始價格與FX'!C253/'②原始價格與FX'!C252)</f>
        <v/>
      </c>
      <c r="D265" s="28">
        <f>LN('②原始價格與FX'!D253/'②原始價格與FX'!D252)</f>
        <v/>
      </c>
      <c r="E265" s="28">
        <f>LN('②原始價格與FX'!G253/'②原始價格與FX'!G252)</f>
        <v/>
      </c>
      <c r="F265" s="28">
        <f>LN('②原始價格與FX'!H253/'②原始價格與FX'!H252)</f>
        <v/>
      </c>
      <c r="G265" s="28">
        <f>B265</f>
        <v/>
      </c>
      <c r="H265" s="29">
        <f>C265+E265</f>
        <v/>
      </c>
      <c r="I265" s="29">
        <f>D265+F265</f>
        <v/>
      </c>
      <c r="J265" s="31">
        <f>G265*'①基本設定'!$G$5+H265*'①基本設定'!$G$6+I265*'①基本設定'!$G$7</f>
        <v/>
      </c>
    </row>
    <row r="266"/>
    <row r="267">
      <c r="A267" s="32" t="inlineStr">
        <is>
          <t>平均</t>
        </is>
      </c>
      <c r="G267" s="33">
        <f>AVERAGE(G16:G265)</f>
        <v/>
      </c>
      <c r="H267" s="33">
        <f>AVERAGE(H16:H265)</f>
        <v/>
      </c>
      <c r="I267" s="33">
        <f>AVERAGE(I16:I265)</f>
        <v/>
      </c>
      <c r="J267" s="33">
        <f>AVERAGE(J16:J265)</f>
        <v/>
      </c>
    </row>
    <row r="268">
      <c r="A268" s="32" t="inlineStr">
        <is>
          <t>標準差</t>
        </is>
      </c>
      <c r="G268" s="33">
        <f>STDEV(G16:G265)</f>
        <v/>
      </c>
      <c r="H268" s="33">
        <f>STDEV(H16:H265)</f>
        <v/>
      </c>
      <c r="I268" s="33">
        <f>STDEV(I16:I265)</f>
        <v/>
      </c>
      <c r="J268" s="33">
        <f>STDEV(J16:J265)</f>
        <v/>
      </c>
    </row>
    <row r="269"/>
    <row r="270">
      <c r="A270" s="14" t="inlineStr">
        <is>
          <t>藍色格（H, I）= FX 已疊加。P&amp;L 負值（紅色）共 112 筆。所有數值均為 Excel 公式，可點入儲存格確認計算鏈。</t>
        </is>
      </c>
    </row>
  </sheetData>
  <mergeCells count="14">
    <mergeCell ref="B7:J7"/>
    <mergeCell ref="A1:J1"/>
    <mergeCell ref="B11:J11"/>
    <mergeCell ref="B5:J5"/>
    <mergeCell ref="B10:J10"/>
    <mergeCell ref="A270:K270"/>
    <mergeCell ref="A14:L14"/>
    <mergeCell ref="B9:J9"/>
    <mergeCell ref="B8:J8"/>
    <mergeCell ref="B4:J4"/>
    <mergeCell ref="A3:L3"/>
    <mergeCell ref="B13:J13"/>
    <mergeCell ref="B6:J6"/>
    <mergeCell ref="B12:J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8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1.85" customWidth="1" min="3" max="3"/>
    <col width="8" customWidth="1" min="4" max="4"/>
    <col width="8" customWidth="1" min="5" max="5"/>
    <col width="30" customWidth="1" min="6" max="6"/>
    <col width="30" customWidth="1" min="7" max="7"/>
    <col width="16.1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inlineStr">
        <is>
          <t>步驟二（HS）：歷史模擬法 VaR 逐步計算</t>
        </is>
      </c>
    </row>
    <row r="2"/>
    <row r="3">
      <c r="A3" s="2" t="inlineStr">
        <is>
          <t>▌ 方法說明 &amp; 公式</t>
        </is>
      </c>
    </row>
    <row r="4">
      <c r="A4" s="34" t="inlineStr">
        <is>
          <t>Step 1</t>
        </is>
      </c>
      <c r="B4" s="26" t="inlineStr">
        <is>
          <t>取 T=250 個交易日的 FX 調整後組合損益（直接引用 Sheet 3 J 欄）</t>
        </is>
      </c>
    </row>
    <row r="5">
      <c r="A5" s="34" t="inlineStr">
        <is>
          <t>Step 2</t>
        </is>
      </c>
      <c r="B5" s="26" t="inlineStr">
        <is>
          <t>將 T 筆損益由小到大排序（B欄=時序，H欄=排序，使用 SMALL() 公式）</t>
        </is>
      </c>
    </row>
    <row r="6">
      <c r="A6" s="34" t="inlineStr">
        <is>
          <t>Step 3</t>
        </is>
      </c>
      <c r="B6" s="26" t="inlineStr">
        <is>
          <t>取第 3 小的損益作為 -VaR
   idx = floor((1-α)×T) = floor(0.01×250) = 2</t>
        </is>
      </c>
    </row>
    <row r="7">
      <c r="A7" s="34" t="inlineStr">
        <is>
          <t>Step 4</t>
        </is>
      </c>
      <c r="B7" s="26" t="inlineStr">
        <is>
          <t>VaR = -SMALL(P&amp;L, 3) ← 見結果區公式</t>
        </is>
      </c>
    </row>
    <row r="8">
      <c r="A8" s="34" t="inlineStr">
        <is>
          <t>Step 5</t>
        </is>
      </c>
      <c r="B8" s="26" t="inlineStr">
        <is>
          <t>CVaR = -AVERAGE(SMALL(P&amp;L,1),...,SMALL(P&amp;L,2)) ← 最差 2 筆均值</t>
        </is>
      </c>
    </row>
    <row r="9">
      <c r="A9" s="35" t="inlineStr">
        <is>
          <t>驗證</t>
        </is>
      </c>
      <c r="B9" s="26" t="inlineStr">
        <is>
          <t>點擊任意 H 欄（排序）或結果格，確認公式引用自 Sheet 3</t>
        </is>
      </c>
    </row>
    <row r="10"/>
    <row r="11">
      <c r="A11" s="2" t="inlineStr">
        <is>
          <t>▌ 組合損益序列 &amp; 排序（T=250，全為公式引用）</t>
        </is>
      </c>
    </row>
    <row r="12">
      <c r="A12" s="36" t="inlineStr">
        <is>
          <t>▶ 原始損益（時間序列，引用 Sheet 3 J 欄）</t>
        </is>
      </c>
      <c r="F12" s="37" t="inlineStr">
        <is>
          <t>▶ 排序後損益（由小到大，使用 SMALL() 公式）</t>
        </is>
      </c>
    </row>
    <row r="13">
      <c r="A13" s="3" t="inlineStr">
        <is>
          <t>排名</t>
        </is>
      </c>
      <c r="B13" s="3" t="inlineStr">
        <is>
          <t>日期</t>
        </is>
      </c>
      <c r="C13" s="3" t="inlineStr">
        <is>
          <t>原始P&amp;L（引用Sheet3）</t>
        </is>
      </c>
      <c r="D13" s="3" t="inlineStr"/>
      <c r="F13" s="38" t="inlineStr">
        <is>
          <t>排名</t>
        </is>
      </c>
      <c r="G13" s="38" t="inlineStr">
        <is>
          <t>排序P&amp;L＝SMALL()</t>
        </is>
      </c>
      <c r="H13" s="38" t="inlineStr">
        <is>
          <t>說明</t>
        </is>
      </c>
      <c r="I13" s="38" t="inlineStr"/>
    </row>
    <row r="14">
      <c r="A14" s="5" t="n">
        <v>1</v>
      </c>
      <c r="B14" s="5" t="inlineStr">
        <is>
          <t>2024-01-17</t>
        </is>
      </c>
      <c r="C14" s="30">
        <f>'③回報計算FX調整'!J16</f>
        <v/>
      </c>
      <c r="D14" s="11" t="n"/>
      <c r="F14" s="5" t="n">
        <v>1</v>
      </c>
      <c r="G14" s="31">
        <f>SMALL('③回報計算FX調整'!$J$16:$J$265,1)</f>
        <v/>
      </c>
      <c r="H14" s="39" t="inlineStr">
        <is>
          <t>← CVaR 範圍</t>
        </is>
      </c>
      <c r="I14" s="11" t="n"/>
    </row>
    <row r="15">
      <c r="A15" s="5" t="n">
        <v>2</v>
      </c>
      <c r="B15" s="5" t="inlineStr">
        <is>
          <t>2024-01-18</t>
        </is>
      </c>
      <c r="C15" s="31">
        <f>'③回報計算FX調整'!J17</f>
        <v/>
      </c>
      <c r="D15" s="11" t="n"/>
      <c r="F15" s="5" t="n">
        <v>2</v>
      </c>
      <c r="G15" s="31">
        <f>SMALL('③回報計算FX調整'!$J$16:$J$265,2)</f>
        <v/>
      </c>
      <c r="H15" s="39" t="inlineStr">
        <is>
          <t>← CVaR 範圍</t>
        </is>
      </c>
      <c r="I15" s="11" t="n"/>
    </row>
    <row r="16">
      <c r="A16" s="5" t="n">
        <v>3</v>
      </c>
      <c r="B16" s="5" t="inlineStr">
        <is>
          <t>2024-01-19</t>
        </is>
      </c>
      <c r="C16" s="30">
        <f>'③回報計算FX調整'!J18</f>
        <v/>
      </c>
      <c r="D16" s="11" t="n"/>
      <c r="F16" s="5" t="n">
        <v>3</v>
      </c>
      <c r="G16" s="40">
        <f>SMALL('③回報計算FX調整'!$J$16:$J$265,3)</f>
        <v/>
      </c>
      <c r="H16" s="17" t="inlineStr">
        <is>
          <t>← VaR 點（第 3 小）</t>
        </is>
      </c>
      <c r="I16" s="11" t="n"/>
    </row>
    <row r="17">
      <c r="A17" s="5" t="n">
        <v>4</v>
      </c>
      <c r="B17" s="5" t="inlineStr">
        <is>
          <t>2024-01-22</t>
        </is>
      </c>
      <c r="C17" s="30">
        <f>'③回報計算FX調整'!J19</f>
        <v/>
      </c>
      <c r="D17" s="11" t="n"/>
      <c r="F17" s="5" t="n">
        <v>4</v>
      </c>
      <c r="G17" s="30">
        <f>SMALL('③回報計算FX調整'!$J$16:$J$265,4)</f>
        <v/>
      </c>
      <c r="H17" s="11" t="n"/>
      <c r="I17" s="11" t="n"/>
    </row>
    <row r="18">
      <c r="A18" s="5" t="n">
        <v>5</v>
      </c>
      <c r="B18" s="5" t="inlineStr">
        <is>
          <t>2024-01-23</t>
        </is>
      </c>
      <c r="C18" s="30">
        <f>'③回報計算FX調整'!J20</f>
        <v/>
      </c>
      <c r="D18" s="11" t="n"/>
      <c r="F18" s="5" t="n">
        <v>5</v>
      </c>
      <c r="G18" s="30">
        <f>SMALL('③回報計算FX調整'!$J$16:$J$265,5)</f>
        <v/>
      </c>
      <c r="H18" s="11" t="n"/>
      <c r="I18" s="11" t="n"/>
    </row>
    <row r="19">
      <c r="A19" s="5" t="n">
        <v>6</v>
      </c>
      <c r="B19" s="5" t="inlineStr">
        <is>
          <t>2024-01-24</t>
        </is>
      </c>
      <c r="C19" s="31">
        <f>'③回報計算FX調整'!J21</f>
        <v/>
      </c>
      <c r="D19" s="11" t="n"/>
      <c r="F19" s="5" t="n">
        <v>6</v>
      </c>
      <c r="G19" s="30">
        <f>SMALL('③回報計算FX調整'!$J$16:$J$265,6)</f>
        <v/>
      </c>
      <c r="H19" s="11" t="n"/>
      <c r="I19" s="11" t="n"/>
    </row>
    <row r="20">
      <c r="A20" s="5" t="n">
        <v>7</v>
      </c>
      <c r="B20" s="5" t="inlineStr">
        <is>
          <t>2024-01-25</t>
        </is>
      </c>
      <c r="C20" s="31">
        <f>'③回報計算FX調整'!J22</f>
        <v/>
      </c>
      <c r="D20" s="11" t="n"/>
      <c r="F20" s="5" t="n">
        <v>7</v>
      </c>
      <c r="G20" s="30">
        <f>SMALL('③回報計算FX調整'!$J$16:$J$265,7)</f>
        <v/>
      </c>
      <c r="H20" s="11" t="n"/>
      <c r="I20" s="11" t="n"/>
    </row>
    <row r="21">
      <c r="A21" s="5" t="n">
        <v>8</v>
      </c>
      <c r="B21" s="5" t="inlineStr">
        <is>
          <t>2024-01-26</t>
        </is>
      </c>
      <c r="C21" s="31">
        <f>'③回報計算FX調整'!J23</f>
        <v/>
      </c>
      <c r="D21" s="11" t="n"/>
      <c r="F21" s="5" t="n">
        <v>8</v>
      </c>
      <c r="G21" s="30">
        <f>SMALL('③回報計算FX調整'!$J$16:$J$265,8)</f>
        <v/>
      </c>
      <c r="H21" s="11" t="n"/>
      <c r="I21" s="11" t="n"/>
    </row>
    <row r="22">
      <c r="A22" s="5" t="n">
        <v>9</v>
      </c>
      <c r="B22" s="5" t="inlineStr">
        <is>
          <t>2024-01-29</t>
        </is>
      </c>
      <c r="C22" s="31">
        <f>'③回報計算FX調整'!J24</f>
        <v/>
      </c>
      <c r="D22" s="11" t="n"/>
      <c r="F22" s="5" t="n">
        <v>9</v>
      </c>
      <c r="G22" s="30">
        <f>SMALL('③回報計算FX調整'!$J$16:$J$265,9)</f>
        <v/>
      </c>
      <c r="H22" s="11" t="n"/>
      <c r="I22" s="11" t="n"/>
    </row>
    <row r="23">
      <c r="A23" s="5" t="n">
        <v>10</v>
      </c>
      <c r="B23" s="5" t="inlineStr">
        <is>
          <t>2024-01-30</t>
        </is>
      </c>
      <c r="C23" s="30">
        <f>'③回報計算FX調整'!J25</f>
        <v/>
      </c>
      <c r="D23" s="11" t="n"/>
      <c r="F23" s="5" t="n">
        <v>10</v>
      </c>
      <c r="G23" s="30">
        <f>SMALL('③回報計算FX調整'!$J$16:$J$265,10)</f>
        <v/>
      </c>
      <c r="H23" s="11" t="n"/>
      <c r="I23" s="11" t="n"/>
    </row>
    <row r="24">
      <c r="A24" s="5" t="n">
        <v>11</v>
      </c>
      <c r="B24" s="5" t="inlineStr">
        <is>
          <t>2024-01-31</t>
        </is>
      </c>
      <c r="C24" s="30">
        <f>'③回報計算FX調整'!J26</f>
        <v/>
      </c>
      <c r="D24" s="11" t="n"/>
      <c r="F24" s="5" t="n">
        <v>11</v>
      </c>
      <c r="G24" s="30">
        <f>SMALL('③回報計算FX調整'!$J$16:$J$265,11)</f>
        <v/>
      </c>
      <c r="H24" s="11" t="n"/>
      <c r="I24" s="11" t="n"/>
    </row>
    <row r="25">
      <c r="A25" s="5" t="n">
        <v>12</v>
      </c>
      <c r="B25" s="5" t="inlineStr">
        <is>
          <t>2024-02-01</t>
        </is>
      </c>
      <c r="C25" s="30">
        <f>'③回報計算FX調整'!J27</f>
        <v/>
      </c>
      <c r="D25" s="11" t="n"/>
      <c r="F25" s="5" t="n">
        <v>12</v>
      </c>
      <c r="G25" s="30">
        <f>SMALL('③回報計算FX調整'!$J$16:$J$265,12)</f>
        <v/>
      </c>
      <c r="H25" s="11" t="n"/>
      <c r="I25" s="11" t="n"/>
    </row>
    <row r="26">
      <c r="A26" s="5" t="n">
        <v>13</v>
      </c>
      <c r="B26" s="5" t="inlineStr">
        <is>
          <t>2024-02-02</t>
        </is>
      </c>
      <c r="C26" s="31">
        <f>'③回報計算FX調整'!J28</f>
        <v/>
      </c>
      <c r="D26" s="11" t="n"/>
      <c r="F26" s="5" t="n">
        <v>13</v>
      </c>
      <c r="G26" s="30">
        <f>SMALL('③回報計算FX調整'!$J$16:$J$265,13)</f>
        <v/>
      </c>
      <c r="H26" s="11" t="n"/>
      <c r="I26" s="11" t="n"/>
    </row>
    <row r="27">
      <c r="A27" s="5" t="n">
        <v>14</v>
      </c>
      <c r="B27" s="5" t="inlineStr">
        <is>
          <t>2024-02-05</t>
        </is>
      </c>
      <c r="C27" s="31">
        <f>'③回報計算FX調整'!J29</f>
        <v/>
      </c>
      <c r="D27" s="11" t="n"/>
      <c r="F27" s="5" t="n">
        <v>14</v>
      </c>
      <c r="G27" s="30">
        <f>SMALL('③回報計算FX調整'!$J$16:$J$265,14)</f>
        <v/>
      </c>
      <c r="H27" s="11" t="n"/>
      <c r="I27" s="11" t="n"/>
    </row>
    <row r="28">
      <c r="A28" s="5" t="n">
        <v>15</v>
      </c>
      <c r="B28" s="5" t="inlineStr">
        <is>
          <t>2024-02-06</t>
        </is>
      </c>
      <c r="C28" s="31">
        <f>'③回報計算FX調整'!J30</f>
        <v/>
      </c>
      <c r="D28" s="11" t="n"/>
      <c r="F28" s="5" t="n">
        <v>15</v>
      </c>
      <c r="G28" s="30">
        <f>SMALL('③回報計算FX調整'!$J$16:$J$265,15)</f>
        <v/>
      </c>
      <c r="H28" s="11" t="n"/>
      <c r="I28" s="11" t="n"/>
    </row>
    <row r="29">
      <c r="A29" s="5" t="n">
        <v>16</v>
      </c>
      <c r="B29" s="5" t="inlineStr">
        <is>
          <t>2024-02-07</t>
        </is>
      </c>
      <c r="C29" s="30">
        <f>'③回報計算FX調整'!J31</f>
        <v/>
      </c>
      <c r="D29" s="11" t="n"/>
      <c r="F29" s="5" t="n">
        <v>16</v>
      </c>
      <c r="G29" s="30">
        <f>SMALL('③回報計算FX調整'!$J$16:$J$265,16)</f>
        <v/>
      </c>
      <c r="H29" s="11" t="n"/>
      <c r="I29" s="11" t="n"/>
    </row>
    <row r="30">
      <c r="A30" s="5" t="n">
        <v>17</v>
      </c>
      <c r="B30" s="5" t="inlineStr">
        <is>
          <t>2024-02-08</t>
        </is>
      </c>
      <c r="C30" s="31">
        <f>'③回報計算FX調整'!J32</f>
        <v/>
      </c>
      <c r="D30" s="11" t="n"/>
      <c r="F30" s="5" t="n">
        <v>17</v>
      </c>
      <c r="G30" s="30">
        <f>SMALL('③回報計算FX調整'!$J$16:$J$265,17)</f>
        <v/>
      </c>
      <c r="H30" s="11" t="n"/>
      <c r="I30" s="11" t="n"/>
    </row>
    <row r="31">
      <c r="A31" s="5" t="n">
        <v>18</v>
      </c>
      <c r="B31" s="5" t="inlineStr">
        <is>
          <t>2024-02-09</t>
        </is>
      </c>
      <c r="C31" s="31">
        <f>'③回報計算FX調整'!J33</f>
        <v/>
      </c>
      <c r="D31" s="11" t="n"/>
      <c r="F31" s="5" t="n">
        <v>18</v>
      </c>
      <c r="G31" s="30">
        <f>SMALL('③回報計算FX調整'!$J$16:$J$265,18)</f>
        <v/>
      </c>
      <c r="H31" s="11" t="n"/>
      <c r="I31" s="11" t="n"/>
    </row>
    <row r="32">
      <c r="A32" s="5" t="n">
        <v>19</v>
      </c>
      <c r="B32" s="5" t="inlineStr">
        <is>
          <t>2024-02-12</t>
        </is>
      </c>
      <c r="C32" s="30">
        <f>'③回報計算FX調整'!J34</f>
        <v/>
      </c>
      <c r="D32" s="11" t="n"/>
      <c r="F32" s="5" t="n">
        <v>19</v>
      </c>
      <c r="G32" s="30">
        <f>SMALL('③回報計算FX調整'!$J$16:$J$265,19)</f>
        <v/>
      </c>
      <c r="H32" s="11" t="n"/>
      <c r="I32" s="11" t="n"/>
    </row>
    <row r="33">
      <c r="A33" s="5" t="n">
        <v>20</v>
      </c>
      <c r="B33" s="5" t="inlineStr">
        <is>
          <t>2024-02-13</t>
        </is>
      </c>
      <c r="C33" s="30">
        <f>'③回報計算FX調整'!J35</f>
        <v/>
      </c>
      <c r="D33" s="11" t="n"/>
      <c r="F33" s="5" t="n">
        <v>20</v>
      </c>
      <c r="G33" s="30">
        <f>SMALL('③回報計算FX調整'!$J$16:$J$265,20)</f>
        <v/>
      </c>
      <c r="H33" s="11" t="n"/>
      <c r="I33" s="11" t="n"/>
    </row>
    <row r="34">
      <c r="A34" s="5" t="n">
        <v>21</v>
      </c>
      <c r="B34" s="5" t="inlineStr">
        <is>
          <t>2024-02-14</t>
        </is>
      </c>
      <c r="C34" s="31">
        <f>'③回報計算FX調整'!J36</f>
        <v/>
      </c>
      <c r="D34" s="11" t="n"/>
      <c r="F34" s="5" t="n">
        <v>21</v>
      </c>
      <c r="G34" s="30">
        <f>SMALL('③回報計算FX調整'!$J$16:$J$265,21)</f>
        <v/>
      </c>
      <c r="H34" s="11" t="n"/>
      <c r="I34" s="11" t="n"/>
    </row>
    <row r="35">
      <c r="A35" s="5" t="n">
        <v>22</v>
      </c>
      <c r="B35" s="5" t="inlineStr">
        <is>
          <t>2024-02-15</t>
        </is>
      </c>
      <c r="C35" s="31">
        <f>'③回報計算FX調整'!J37</f>
        <v/>
      </c>
      <c r="D35" s="11" t="n"/>
      <c r="F35" s="5" t="n">
        <v>22</v>
      </c>
      <c r="G35" s="30">
        <f>SMALL('③回報計算FX調整'!$J$16:$J$265,22)</f>
        <v/>
      </c>
      <c r="H35" s="11" t="n"/>
      <c r="I35" s="11" t="n"/>
    </row>
    <row r="36">
      <c r="A36" s="5" t="n">
        <v>23</v>
      </c>
      <c r="B36" s="5" t="inlineStr">
        <is>
          <t>2024-02-16</t>
        </is>
      </c>
      <c r="C36" s="30">
        <f>'③回報計算FX調整'!J38</f>
        <v/>
      </c>
      <c r="D36" s="11" t="n"/>
      <c r="F36" s="5" t="n">
        <v>23</v>
      </c>
      <c r="G36" s="30">
        <f>SMALL('③回報計算FX調整'!$J$16:$J$265,23)</f>
        <v/>
      </c>
      <c r="H36" s="11" t="n"/>
      <c r="I36" s="11" t="n"/>
    </row>
    <row r="37">
      <c r="A37" s="5" t="n">
        <v>24</v>
      </c>
      <c r="B37" s="5" t="inlineStr">
        <is>
          <t>2024-02-19</t>
        </is>
      </c>
      <c r="C37" s="31">
        <f>'③回報計算FX調整'!J39</f>
        <v/>
      </c>
      <c r="D37" s="11" t="n"/>
      <c r="F37" s="5" t="n">
        <v>24</v>
      </c>
      <c r="G37" s="30">
        <f>SMALL('③回報計算FX調整'!$J$16:$J$265,24)</f>
        <v/>
      </c>
      <c r="H37" s="11" t="n"/>
      <c r="I37" s="11" t="n"/>
    </row>
    <row r="38">
      <c r="A38" s="5" t="n">
        <v>25</v>
      </c>
      <c r="B38" s="5" t="inlineStr">
        <is>
          <t>2024-02-20</t>
        </is>
      </c>
      <c r="C38" s="30">
        <f>'③回報計算FX調整'!J40</f>
        <v/>
      </c>
      <c r="D38" s="11" t="n"/>
      <c r="F38" s="5" t="n">
        <v>25</v>
      </c>
      <c r="G38" s="30">
        <f>SMALL('③回報計算FX調整'!$J$16:$J$265,25)</f>
        <v/>
      </c>
      <c r="H38" s="11" t="n"/>
      <c r="I38" s="11" t="n"/>
    </row>
    <row r="39">
      <c r="A39" s="5" t="n">
        <v>26</v>
      </c>
      <c r="B39" s="5" t="inlineStr">
        <is>
          <t>2024-02-21</t>
        </is>
      </c>
      <c r="C39" s="30">
        <f>'③回報計算FX調整'!J41</f>
        <v/>
      </c>
      <c r="D39" s="11" t="n"/>
      <c r="F39" s="5" t="n">
        <v>26</v>
      </c>
      <c r="G39" s="30">
        <f>SMALL('③回報計算FX調整'!$J$16:$J$265,26)</f>
        <v/>
      </c>
      <c r="H39" s="11" t="n"/>
      <c r="I39" s="11" t="n"/>
    </row>
    <row r="40">
      <c r="A40" s="5" t="n">
        <v>27</v>
      </c>
      <c r="B40" s="5" t="inlineStr">
        <is>
          <t>2024-02-22</t>
        </is>
      </c>
      <c r="C40" s="31">
        <f>'③回報計算FX調整'!J42</f>
        <v/>
      </c>
      <c r="D40" s="11" t="n"/>
      <c r="F40" s="5" t="n">
        <v>27</v>
      </c>
      <c r="G40" s="30">
        <f>SMALL('③回報計算FX調整'!$J$16:$J$265,27)</f>
        <v/>
      </c>
      <c r="H40" s="11" t="n"/>
      <c r="I40" s="11" t="n"/>
    </row>
    <row r="41">
      <c r="A41" s="5" t="n">
        <v>28</v>
      </c>
      <c r="B41" s="5" t="inlineStr">
        <is>
          <t>2024-02-23</t>
        </is>
      </c>
      <c r="C41" s="30">
        <f>'③回報計算FX調整'!J43</f>
        <v/>
      </c>
      <c r="D41" s="11" t="n"/>
      <c r="F41" s="5" t="n">
        <v>28</v>
      </c>
      <c r="G41" s="30">
        <f>SMALL('③回報計算FX調整'!$J$16:$J$265,28)</f>
        <v/>
      </c>
      <c r="H41" s="11" t="n"/>
      <c r="I41" s="11" t="n"/>
    </row>
    <row r="42">
      <c r="A42" s="5" t="n">
        <v>29</v>
      </c>
      <c r="B42" s="5" t="inlineStr">
        <is>
          <t>2024-02-26</t>
        </is>
      </c>
      <c r="C42" s="30">
        <f>'③回報計算FX調整'!J44</f>
        <v/>
      </c>
      <c r="D42" s="11" t="n"/>
      <c r="F42" s="5" t="n">
        <v>29</v>
      </c>
      <c r="G42" s="30">
        <f>SMALL('③回報計算FX調整'!$J$16:$J$265,29)</f>
        <v/>
      </c>
      <c r="H42" s="11" t="n"/>
      <c r="I42" s="11" t="n"/>
    </row>
    <row r="43">
      <c r="A43" s="5" t="n">
        <v>30</v>
      </c>
      <c r="B43" s="5" t="inlineStr">
        <is>
          <t>2024-02-27</t>
        </is>
      </c>
      <c r="C43" s="30">
        <f>'③回報計算FX調整'!J45</f>
        <v/>
      </c>
      <c r="D43" s="11" t="n"/>
      <c r="F43" s="5" t="n">
        <v>30</v>
      </c>
      <c r="G43" s="30">
        <f>SMALL('③回報計算FX調整'!$J$16:$J$265,30)</f>
        <v/>
      </c>
      <c r="H43" s="11" t="n"/>
      <c r="I43" s="11" t="n"/>
    </row>
    <row r="44">
      <c r="A44" s="5" t="n">
        <v>31</v>
      </c>
      <c r="B44" s="5" t="inlineStr">
        <is>
          <t>2024-02-28</t>
        </is>
      </c>
      <c r="C44" s="30">
        <f>'③回報計算FX調整'!J46</f>
        <v/>
      </c>
      <c r="D44" s="11" t="n"/>
      <c r="F44" s="5" t="n">
        <v>31</v>
      </c>
      <c r="G44" s="30">
        <f>SMALL('③回報計算FX調整'!$J$16:$J$265,31)</f>
        <v/>
      </c>
      <c r="H44" s="11" t="n"/>
      <c r="I44" s="11" t="n"/>
    </row>
    <row r="45">
      <c r="A45" s="5" t="n">
        <v>32</v>
      </c>
      <c r="B45" s="5" t="inlineStr">
        <is>
          <t>2024-02-29</t>
        </is>
      </c>
      <c r="C45" s="31">
        <f>'③回報計算FX調整'!J47</f>
        <v/>
      </c>
      <c r="D45" s="11" t="n"/>
      <c r="F45" s="5" t="n">
        <v>32</v>
      </c>
      <c r="G45" s="30">
        <f>SMALL('③回報計算FX調整'!$J$16:$J$265,32)</f>
        <v/>
      </c>
      <c r="H45" s="11" t="n"/>
      <c r="I45" s="11" t="n"/>
    </row>
    <row r="46">
      <c r="A46" s="5" t="n">
        <v>33</v>
      </c>
      <c r="B46" s="5" t="inlineStr">
        <is>
          <t>2024-03-01</t>
        </is>
      </c>
      <c r="C46" s="30">
        <f>'③回報計算FX調整'!J48</f>
        <v/>
      </c>
      <c r="D46" s="11" t="n"/>
      <c r="F46" s="5" t="n">
        <v>33</v>
      </c>
      <c r="G46" s="30">
        <f>SMALL('③回報計算FX調整'!$J$16:$J$265,33)</f>
        <v/>
      </c>
      <c r="H46" s="11" t="n"/>
      <c r="I46" s="11" t="n"/>
    </row>
    <row r="47">
      <c r="A47" s="5" t="n">
        <v>34</v>
      </c>
      <c r="B47" s="5" t="inlineStr">
        <is>
          <t>2024-03-04</t>
        </is>
      </c>
      <c r="C47" s="31">
        <f>'③回報計算FX調整'!J49</f>
        <v/>
      </c>
      <c r="D47" s="11" t="n"/>
      <c r="F47" s="5" t="n">
        <v>34</v>
      </c>
      <c r="G47" s="30">
        <f>SMALL('③回報計算FX調整'!$J$16:$J$265,34)</f>
        <v/>
      </c>
      <c r="H47" s="11" t="n"/>
      <c r="I47" s="11" t="n"/>
    </row>
    <row r="48">
      <c r="A48" s="5" t="n">
        <v>35</v>
      </c>
      <c r="B48" s="5" t="inlineStr">
        <is>
          <t>2024-03-05</t>
        </is>
      </c>
      <c r="C48" s="31">
        <f>'③回報計算FX調整'!J50</f>
        <v/>
      </c>
      <c r="D48" s="11" t="n"/>
      <c r="F48" s="5" t="n">
        <v>35</v>
      </c>
      <c r="G48" s="30">
        <f>SMALL('③回報計算FX調整'!$J$16:$J$265,35)</f>
        <v/>
      </c>
      <c r="H48" s="11" t="n"/>
      <c r="I48" s="11" t="n"/>
    </row>
    <row r="49">
      <c r="A49" s="5" t="n">
        <v>36</v>
      </c>
      <c r="B49" s="5" t="inlineStr">
        <is>
          <t>2024-03-06</t>
        </is>
      </c>
      <c r="C49" s="30">
        <f>'③回報計算FX調整'!J51</f>
        <v/>
      </c>
      <c r="D49" s="11" t="n"/>
      <c r="F49" s="5" t="n">
        <v>36</v>
      </c>
      <c r="G49" s="30">
        <f>SMALL('③回報計算FX調整'!$J$16:$J$265,36)</f>
        <v/>
      </c>
      <c r="H49" s="11" t="n"/>
      <c r="I49" s="11" t="n"/>
    </row>
    <row r="50">
      <c r="A50" s="5" t="n">
        <v>37</v>
      </c>
      <c r="B50" s="5" t="inlineStr">
        <is>
          <t>2024-03-07</t>
        </is>
      </c>
      <c r="C50" s="30">
        <f>'③回報計算FX調整'!J52</f>
        <v/>
      </c>
      <c r="D50" s="11" t="n"/>
      <c r="F50" s="5" t="n">
        <v>37</v>
      </c>
      <c r="G50" s="30">
        <f>SMALL('③回報計算FX調整'!$J$16:$J$265,37)</f>
        <v/>
      </c>
      <c r="H50" s="11" t="n"/>
      <c r="I50" s="11" t="n"/>
    </row>
    <row r="51">
      <c r="A51" s="5" t="n">
        <v>38</v>
      </c>
      <c r="B51" s="5" t="inlineStr">
        <is>
          <t>2024-03-08</t>
        </is>
      </c>
      <c r="C51" s="31">
        <f>'③回報計算FX調整'!J53</f>
        <v/>
      </c>
      <c r="D51" s="11" t="n"/>
      <c r="F51" s="5" t="n">
        <v>38</v>
      </c>
      <c r="G51" s="30">
        <f>SMALL('③回報計算FX調整'!$J$16:$J$265,38)</f>
        <v/>
      </c>
      <c r="H51" s="11" t="n"/>
      <c r="I51" s="11" t="n"/>
    </row>
    <row r="52">
      <c r="A52" s="5" t="n">
        <v>39</v>
      </c>
      <c r="B52" s="5" t="inlineStr">
        <is>
          <t>2024-03-11</t>
        </is>
      </c>
      <c r="C52" s="30">
        <f>'③回報計算FX調整'!J54</f>
        <v/>
      </c>
      <c r="D52" s="11" t="n"/>
      <c r="F52" s="5" t="n">
        <v>39</v>
      </c>
      <c r="G52" s="30">
        <f>SMALL('③回報計算FX調整'!$J$16:$J$265,39)</f>
        <v/>
      </c>
      <c r="H52" s="11" t="n"/>
      <c r="I52" s="11" t="n"/>
    </row>
    <row r="53">
      <c r="A53" s="5" t="n">
        <v>40</v>
      </c>
      <c r="B53" s="5" t="inlineStr">
        <is>
          <t>2024-03-12</t>
        </is>
      </c>
      <c r="C53" s="31">
        <f>'③回報計算FX調整'!J55</f>
        <v/>
      </c>
      <c r="D53" s="11" t="n"/>
      <c r="F53" s="5" t="n">
        <v>40</v>
      </c>
      <c r="G53" s="30">
        <f>SMALL('③回報計算FX調整'!$J$16:$J$265,40)</f>
        <v/>
      </c>
      <c r="H53" s="11" t="n"/>
      <c r="I53" s="11" t="n"/>
    </row>
    <row r="54">
      <c r="A54" s="5" t="n">
        <v>41</v>
      </c>
      <c r="B54" s="5" t="inlineStr">
        <is>
          <t>2024-03-13</t>
        </is>
      </c>
      <c r="C54" s="30">
        <f>'③回報計算FX調整'!J56</f>
        <v/>
      </c>
      <c r="D54" s="11" t="n"/>
      <c r="F54" s="5" t="n">
        <v>41</v>
      </c>
      <c r="G54" s="30">
        <f>SMALL('③回報計算FX調整'!$J$16:$J$265,41)</f>
        <v/>
      </c>
      <c r="H54" s="11" t="n"/>
      <c r="I54" s="11" t="n"/>
    </row>
    <row r="55">
      <c r="A55" s="5" t="n">
        <v>42</v>
      </c>
      <c r="B55" s="5" t="inlineStr">
        <is>
          <t>2024-03-14</t>
        </is>
      </c>
      <c r="C55" s="31">
        <f>'③回報計算FX調整'!J57</f>
        <v/>
      </c>
      <c r="D55" s="11" t="n"/>
      <c r="F55" s="5" t="n">
        <v>42</v>
      </c>
      <c r="G55" s="30">
        <f>SMALL('③回報計算FX調整'!$J$16:$J$265,42)</f>
        <v/>
      </c>
      <c r="H55" s="11" t="n"/>
      <c r="I55" s="11" t="n"/>
    </row>
    <row r="56">
      <c r="A56" s="5" t="n">
        <v>43</v>
      </c>
      <c r="B56" s="5" t="inlineStr">
        <is>
          <t>2024-03-15</t>
        </is>
      </c>
      <c r="C56" s="31">
        <f>'③回報計算FX調整'!J58</f>
        <v/>
      </c>
      <c r="D56" s="11" t="n"/>
      <c r="F56" s="5" t="n">
        <v>43</v>
      </c>
      <c r="G56" s="30">
        <f>SMALL('③回報計算FX調整'!$J$16:$J$265,43)</f>
        <v/>
      </c>
      <c r="H56" s="11" t="n"/>
      <c r="I56" s="11" t="n"/>
    </row>
    <row r="57">
      <c r="A57" s="5" t="n">
        <v>44</v>
      </c>
      <c r="B57" s="5" t="inlineStr">
        <is>
          <t>2024-03-18</t>
        </is>
      </c>
      <c r="C57" s="30">
        <f>'③回報計算FX調整'!J59</f>
        <v/>
      </c>
      <c r="D57" s="11" t="n"/>
      <c r="F57" s="5" t="n">
        <v>44</v>
      </c>
      <c r="G57" s="30">
        <f>SMALL('③回報計算FX調整'!$J$16:$J$265,44)</f>
        <v/>
      </c>
      <c r="H57" s="11" t="n"/>
      <c r="I57" s="11" t="n"/>
    </row>
    <row r="58">
      <c r="A58" s="5" t="n">
        <v>45</v>
      </c>
      <c r="B58" s="5" t="inlineStr">
        <is>
          <t>2024-03-19</t>
        </is>
      </c>
      <c r="C58" s="31">
        <f>'③回報計算FX調整'!J60</f>
        <v/>
      </c>
      <c r="D58" s="11" t="n"/>
      <c r="F58" s="5" t="n">
        <v>45</v>
      </c>
      <c r="G58" s="30">
        <f>SMALL('③回報計算FX調整'!$J$16:$J$265,45)</f>
        <v/>
      </c>
      <c r="H58" s="11" t="n"/>
      <c r="I58" s="11" t="n"/>
    </row>
    <row r="59">
      <c r="A59" s="5" t="n">
        <v>46</v>
      </c>
      <c r="B59" s="5" t="inlineStr">
        <is>
          <t>2024-03-20</t>
        </is>
      </c>
      <c r="C59" s="31">
        <f>'③回報計算FX調整'!J61</f>
        <v/>
      </c>
      <c r="D59" s="11" t="n"/>
      <c r="F59" s="5" t="n">
        <v>46</v>
      </c>
      <c r="G59" s="30">
        <f>SMALL('③回報計算FX調整'!$J$16:$J$265,46)</f>
        <v/>
      </c>
      <c r="H59" s="11" t="n"/>
      <c r="I59" s="11" t="n"/>
    </row>
    <row r="60">
      <c r="A60" s="5" t="n">
        <v>47</v>
      </c>
      <c r="B60" s="5" t="inlineStr">
        <is>
          <t>2024-03-21</t>
        </is>
      </c>
      <c r="C60" s="30">
        <f>'③回報計算FX調整'!J62</f>
        <v/>
      </c>
      <c r="D60" s="11" t="n"/>
      <c r="F60" s="5" t="n">
        <v>47</v>
      </c>
      <c r="G60" s="30">
        <f>SMALL('③回報計算FX調整'!$J$16:$J$265,47)</f>
        <v/>
      </c>
      <c r="H60" s="11" t="n"/>
      <c r="I60" s="11" t="n"/>
    </row>
    <row r="61">
      <c r="A61" s="5" t="n">
        <v>48</v>
      </c>
      <c r="B61" s="5" t="inlineStr">
        <is>
          <t>2024-03-22</t>
        </is>
      </c>
      <c r="C61" s="30">
        <f>'③回報計算FX調整'!J63</f>
        <v/>
      </c>
      <c r="D61" s="11" t="n"/>
      <c r="F61" s="5" t="n">
        <v>48</v>
      </c>
      <c r="G61" s="30">
        <f>SMALL('③回報計算FX調整'!$J$16:$J$265,48)</f>
        <v/>
      </c>
      <c r="H61" s="11" t="n"/>
      <c r="I61" s="11" t="n"/>
    </row>
    <row r="62">
      <c r="A62" s="5" t="n">
        <v>49</v>
      </c>
      <c r="B62" s="5" t="inlineStr">
        <is>
          <t>2024-03-25</t>
        </is>
      </c>
      <c r="C62" s="31">
        <f>'③回報計算FX調整'!J64</f>
        <v/>
      </c>
      <c r="D62" s="11" t="n"/>
      <c r="F62" s="5" t="n">
        <v>49</v>
      </c>
      <c r="G62" s="30">
        <f>SMALL('③回報計算FX調整'!$J$16:$J$265,49)</f>
        <v/>
      </c>
      <c r="H62" s="11" t="n"/>
      <c r="I62" s="11" t="n"/>
    </row>
    <row r="63">
      <c r="A63" s="5" t="n">
        <v>50</v>
      </c>
      <c r="B63" s="5" t="inlineStr">
        <is>
          <t>2024-03-26</t>
        </is>
      </c>
      <c r="C63" s="30">
        <f>'③回報計算FX調整'!J65</f>
        <v/>
      </c>
      <c r="D63" s="11" t="n"/>
      <c r="F63" s="5" t="n">
        <v>50</v>
      </c>
      <c r="G63" s="30">
        <f>SMALL('③回報計算FX調整'!$J$16:$J$265,50)</f>
        <v/>
      </c>
      <c r="H63" s="11" t="n"/>
      <c r="I63" s="11" t="n"/>
    </row>
    <row r="64">
      <c r="A64" s="5" t="n">
        <v>51</v>
      </c>
      <c r="B64" s="5" t="inlineStr">
        <is>
          <t>2024-03-27</t>
        </is>
      </c>
      <c r="C64" s="31">
        <f>'③回報計算FX調整'!J66</f>
        <v/>
      </c>
      <c r="D64" s="11" t="n"/>
      <c r="F64" s="5" t="n">
        <v>51</v>
      </c>
      <c r="G64" s="30">
        <f>SMALL('③回報計算FX調整'!$J$16:$J$265,51)</f>
        <v/>
      </c>
      <c r="H64" s="11" t="n"/>
      <c r="I64" s="11" t="n"/>
    </row>
    <row r="65">
      <c r="A65" s="5" t="n">
        <v>52</v>
      </c>
      <c r="B65" s="5" t="inlineStr">
        <is>
          <t>2024-03-28</t>
        </is>
      </c>
      <c r="C65" s="30">
        <f>'③回報計算FX調整'!J67</f>
        <v/>
      </c>
      <c r="D65" s="11" t="n"/>
      <c r="F65" s="5" t="n">
        <v>52</v>
      </c>
      <c r="G65" s="30">
        <f>SMALL('③回報計算FX調整'!$J$16:$J$265,52)</f>
        <v/>
      </c>
      <c r="H65" s="11" t="n"/>
      <c r="I65" s="11" t="n"/>
    </row>
    <row r="66">
      <c r="A66" s="5" t="n">
        <v>53</v>
      </c>
      <c r="B66" s="5" t="inlineStr">
        <is>
          <t>2024-03-29</t>
        </is>
      </c>
      <c r="C66" s="30">
        <f>'③回報計算FX調整'!J68</f>
        <v/>
      </c>
      <c r="D66" s="11" t="n"/>
      <c r="F66" s="5" t="n">
        <v>53</v>
      </c>
      <c r="G66" s="30">
        <f>SMALL('③回報計算FX調整'!$J$16:$J$265,53)</f>
        <v/>
      </c>
      <c r="H66" s="11" t="n"/>
      <c r="I66" s="11" t="n"/>
    </row>
    <row r="67">
      <c r="A67" s="5" t="n">
        <v>54</v>
      </c>
      <c r="B67" s="5" t="inlineStr">
        <is>
          <t>2024-04-01</t>
        </is>
      </c>
      <c r="C67" s="30">
        <f>'③回報計算FX調整'!J69</f>
        <v/>
      </c>
      <c r="D67" s="11" t="n"/>
      <c r="F67" s="5" t="n">
        <v>54</v>
      </c>
      <c r="G67" s="30">
        <f>SMALL('③回報計算FX調整'!$J$16:$J$265,54)</f>
        <v/>
      </c>
      <c r="H67" s="11" t="n"/>
      <c r="I67" s="11" t="n"/>
    </row>
    <row r="68">
      <c r="A68" s="5" t="n">
        <v>55</v>
      </c>
      <c r="B68" s="5" t="inlineStr">
        <is>
          <t>2024-04-02</t>
        </is>
      </c>
      <c r="C68" s="30">
        <f>'③回報計算FX調整'!J70</f>
        <v/>
      </c>
      <c r="D68" s="11" t="n"/>
      <c r="F68" s="5" t="n">
        <v>55</v>
      </c>
      <c r="G68" s="30">
        <f>SMALL('③回報計算FX調整'!$J$16:$J$265,55)</f>
        <v/>
      </c>
      <c r="H68" s="11" t="n"/>
      <c r="I68" s="11" t="n"/>
    </row>
    <row r="69">
      <c r="A69" s="5" t="n">
        <v>56</v>
      </c>
      <c r="B69" s="5" t="inlineStr">
        <is>
          <t>2024-04-03</t>
        </is>
      </c>
      <c r="C69" s="31">
        <f>'③回報計算FX調整'!J71</f>
        <v/>
      </c>
      <c r="D69" s="11" t="n"/>
      <c r="F69" s="5" t="n">
        <v>56</v>
      </c>
      <c r="G69" s="30">
        <f>SMALL('③回報計算FX調整'!$J$16:$J$265,56)</f>
        <v/>
      </c>
      <c r="H69" s="11" t="n"/>
      <c r="I69" s="11" t="n"/>
    </row>
    <row r="70">
      <c r="A70" s="5" t="n">
        <v>57</v>
      </c>
      <c r="B70" s="5" t="inlineStr">
        <is>
          <t>2024-04-04</t>
        </is>
      </c>
      <c r="C70" s="31">
        <f>'③回報計算FX調整'!J72</f>
        <v/>
      </c>
      <c r="D70" s="11" t="n"/>
      <c r="F70" s="5" t="n">
        <v>57</v>
      </c>
      <c r="G70" s="30">
        <f>SMALL('③回報計算FX調整'!$J$16:$J$265,57)</f>
        <v/>
      </c>
      <c r="H70" s="11" t="n"/>
      <c r="I70" s="11" t="n"/>
    </row>
    <row r="71">
      <c r="A71" s="5" t="n">
        <v>58</v>
      </c>
      <c r="B71" s="5" t="inlineStr">
        <is>
          <t>2024-04-05</t>
        </is>
      </c>
      <c r="C71" s="30">
        <f>'③回報計算FX調整'!J73</f>
        <v/>
      </c>
      <c r="D71" s="11" t="n"/>
      <c r="F71" s="5" t="n">
        <v>58</v>
      </c>
      <c r="G71" s="30">
        <f>SMALL('③回報計算FX調整'!$J$16:$J$265,58)</f>
        <v/>
      </c>
      <c r="H71" s="11" t="n"/>
      <c r="I71" s="11" t="n"/>
    </row>
    <row r="72">
      <c r="A72" s="5" t="n">
        <v>59</v>
      </c>
      <c r="B72" s="5" t="inlineStr">
        <is>
          <t>2024-04-08</t>
        </is>
      </c>
      <c r="C72" s="31">
        <f>'③回報計算FX調整'!J74</f>
        <v/>
      </c>
      <c r="D72" s="11" t="n"/>
      <c r="F72" s="5" t="n">
        <v>59</v>
      </c>
      <c r="G72" s="30">
        <f>SMALL('③回報計算FX調整'!$J$16:$J$265,59)</f>
        <v/>
      </c>
      <c r="H72" s="11" t="n"/>
      <c r="I72" s="11" t="n"/>
    </row>
    <row r="73">
      <c r="A73" s="5" t="n">
        <v>60</v>
      </c>
      <c r="B73" s="5" t="inlineStr">
        <is>
          <t>2024-04-09</t>
        </is>
      </c>
      <c r="C73" s="31">
        <f>'③回報計算FX調整'!J75</f>
        <v/>
      </c>
      <c r="D73" s="11" t="n"/>
      <c r="F73" s="5" t="n">
        <v>60</v>
      </c>
      <c r="G73" s="30">
        <f>SMALL('③回報計算FX調整'!$J$16:$J$265,60)</f>
        <v/>
      </c>
      <c r="H73" s="11" t="n"/>
      <c r="I73" s="11" t="n"/>
    </row>
    <row r="74">
      <c r="A74" s="5" t="n">
        <v>61</v>
      </c>
      <c r="B74" s="5" t="inlineStr">
        <is>
          <t>2024-04-10</t>
        </is>
      </c>
      <c r="C74" s="31">
        <f>'③回報計算FX調整'!J76</f>
        <v/>
      </c>
      <c r="D74" s="11" t="n"/>
      <c r="F74" s="5" t="n">
        <v>61</v>
      </c>
      <c r="G74" s="30">
        <f>SMALL('③回報計算FX調整'!$J$16:$J$265,61)</f>
        <v/>
      </c>
      <c r="H74" s="11" t="n"/>
      <c r="I74" s="11" t="n"/>
    </row>
    <row r="75">
      <c r="A75" s="5" t="n">
        <v>62</v>
      </c>
      <c r="B75" s="5" t="inlineStr">
        <is>
          <t>2024-04-11</t>
        </is>
      </c>
      <c r="C75" s="30">
        <f>'③回報計算FX調整'!J77</f>
        <v/>
      </c>
      <c r="D75" s="11" t="n"/>
      <c r="F75" s="5" t="n">
        <v>62</v>
      </c>
      <c r="G75" s="30">
        <f>SMALL('③回報計算FX調整'!$J$16:$J$265,62)</f>
        <v/>
      </c>
      <c r="H75" s="11" t="n"/>
      <c r="I75" s="11" t="n"/>
    </row>
    <row r="76">
      <c r="A76" s="5" t="n">
        <v>63</v>
      </c>
      <c r="B76" s="5" t="inlineStr">
        <is>
          <t>2024-04-12</t>
        </is>
      </c>
      <c r="C76" s="30">
        <f>'③回報計算FX調整'!J78</f>
        <v/>
      </c>
      <c r="D76" s="11" t="n"/>
      <c r="F76" s="5" t="n">
        <v>63</v>
      </c>
      <c r="G76" s="30">
        <f>SMALL('③回報計算FX調整'!$J$16:$J$265,63)</f>
        <v/>
      </c>
      <c r="H76" s="11" t="n"/>
      <c r="I76" s="11" t="n"/>
    </row>
    <row r="77">
      <c r="A77" s="5" t="n">
        <v>64</v>
      </c>
      <c r="B77" s="5" t="inlineStr">
        <is>
          <t>2024-04-15</t>
        </is>
      </c>
      <c r="C77" s="30">
        <f>'③回報計算FX調整'!J79</f>
        <v/>
      </c>
      <c r="D77" s="11" t="n"/>
      <c r="F77" s="5" t="n">
        <v>64</v>
      </c>
      <c r="G77" s="30">
        <f>SMALL('③回報計算FX調整'!$J$16:$J$265,64)</f>
        <v/>
      </c>
      <c r="H77" s="11" t="n"/>
      <c r="I77" s="11" t="n"/>
    </row>
    <row r="78">
      <c r="A78" s="5" t="n">
        <v>65</v>
      </c>
      <c r="B78" s="5" t="inlineStr">
        <is>
          <t>2024-04-16</t>
        </is>
      </c>
      <c r="C78" s="30">
        <f>'③回報計算FX調整'!J80</f>
        <v/>
      </c>
      <c r="D78" s="11" t="n"/>
      <c r="F78" s="5" t="n">
        <v>65</v>
      </c>
      <c r="G78" s="30">
        <f>SMALL('③回報計算FX調整'!$J$16:$J$265,65)</f>
        <v/>
      </c>
      <c r="H78" s="11" t="n"/>
      <c r="I78" s="11" t="n"/>
    </row>
    <row r="79">
      <c r="A79" s="5" t="n">
        <v>66</v>
      </c>
      <c r="B79" s="5" t="inlineStr">
        <is>
          <t>2024-04-17</t>
        </is>
      </c>
      <c r="C79" s="31">
        <f>'③回報計算FX調整'!J81</f>
        <v/>
      </c>
      <c r="D79" s="11" t="n"/>
      <c r="F79" s="5" t="n">
        <v>66</v>
      </c>
      <c r="G79" s="30">
        <f>SMALL('③回報計算FX調整'!$J$16:$J$265,66)</f>
        <v/>
      </c>
      <c r="H79" s="11" t="n"/>
      <c r="I79" s="11" t="n"/>
    </row>
    <row r="80">
      <c r="A80" s="5" t="n">
        <v>67</v>
      </c>
      <c r="B80" s="5" t="inlineStr">
        <is>
          <t>2024-04-18</t>
        </is>
      </c>
      <c r="C80" s="31">
        <f>'③回報計算FX調整'!J82</f>
        <v/>
      </c>
      <c r="D80" s="11" t="n"/>
      <c r="F80" s="5" t="n">
        <v>67</v>
      </c>
      <c r="G80" s="30">
        <f>SMALL('③回報計算FX調整'!$J$16:$J$265,67)</f>
        <v/>
      </c>
      <c r="H80" s="11" t="n"/>
      <c r="I80" s="11" t="n"/>
    </row>
    <row r="81">
      <c r="A81" s="5" t="n">
        <v>68</v>
      </c>
      <c r="B81" s="5" t="inlineStr">
        <is>
          <t>2024-04-19</t>
        </is>
      </c>
      <c r="C81" s="31">
        <f>'③回報計算FX調整'!J83</f>
        <v/>
      </c>
      <c r="D81" s="11" t="n"/>
      <c r="F81" s="5" t="n">
        <v>68</v>
      </c>
      <c r="G81" s="30">
        <f>SMALL('③回報計算FX調整'!$J$16:$J$265,68)</f>
        <v/>
      </c>
      <c r="H81" s="11" t="n"/>
      <c r="I81" s="11" t="n"/>
    </row>
    <row r="82">
      <c r="A82" s="5" t="n">
        <v>69</v>
      </c>
      <c r="B82" s="5" t="inlineStr">
        <is>
          <t>2024-04-22</t>
        </is>
      </c>
      <c r="C82" s="30">
        <f>'③回報計算FX調整'!J84</f>
        <v/>
      </c>
      <c r="D82" s="11" t="n"/>
      <c r="F82" s="5" t="n">
        <v>69</v>
      </c>
      <c r="G82" s="30">
        <f>SMALL('③回報計算FX調整'!$J$16:$J$265,69)</f>
        <v/>
      </c>
      <c r="H82" s="11" t="n"/>
      <c r="I82" s="11" t="n"/>
    </row>
    <row r="83">
      <c r="A83" s="5" t="n">
        <v>70</v>
      </c>
      <c r="B83" s="5" t="inlineStr">
        <is>
          <t>2024-04-23</t>
        </is>
      </c>
      <c r="C83" s="30">
        <f>'③回報計算FX調整'!J85</f>
        <v/>
      </c>
      <c r="D83" s="11" t="n"/>
      <c r="F83" s="5" t="n">
        <v>70</v>
      </c>
      <c r="G83" s="30">
        <f>SMALL('③回報計算FX調整'!$J$16:$J$265,70)</f>
        <v/>
      </c>
      <c r="H83" s="11" t="n"/>
      <c r="I83" s="11" t="n"/>
    </row>
    <row r="84">
      <c r="A84" s="5" t="n">
        <v>71</v>
      </c>
      <c r="B84" s="5" t="inlineStr">
        <is>
          <t>2024-04-24</t>
        </is>
      </c>
      <c r="C84" s="31">
        <f>'③回報計算FX調整'!J86</f>
        <v/>
      </c>
      <c r="D84" s="11" t="n"/>
      <c r="F84" s="5" t="n">
        <v>71</v>
      </c>
      <c r="G84" s="30">
        <f>SMALL('③回報計算FX調整'!$J$16:$J$265,71)</f>
        <v/>
      </c>
      <c r="H84" s="11" t="n"/>
      <c r="I84" s="11" t="n"/>
    </row>
    <row r="85">
      <c r="A85" s="5" t="n">
        <v>72</v>
      </c>
      <c r="B85" s="5" t="inlineStr">
        <is>
          <t>2024-04-25</t>
        </is>
      </c>
      <c r="C85" s="30">
        <f>'③回報計算FX調整'!J87</f>
        <v/>
      </c>
      <c r="D85" s="11" t="n"/>
      <c r="F85" s="5" t="n">
        <v>72</v>
      </c>
      <c r="G85" s="30">
        <f>SMALL('③回報計算FX調整'!$J$16:$J$265,72)</f>
        <v/>
      </c>
      <c r="H85" s="11" t="n"/>
      <c r="I85" s="11" t="n"/>
    </row>
    <row r="86">
      <c r="A86" s="5" t="n">
        <v>73</v>
      </c>
      <c r="B86" s="5" t="inlineStr">
        <is>
          <t>2024-04-26</t>
        </is>
      </c>
      <c r="C86" s="30">
        <f>'③回報計算FX調整'!J88</f>
        <v/>
      </c>
      <c r="D86" s="11" t="n"/>
      <c r="F86" s="5" t="n">
        <v>73</v>
      </c>
      <c r="G86" s="30">
        <f>SMALL('③回報計算FX調整'!$J$16:$J$265,73)</f>
        <v/>
      </c>
      <c r="H86" s="11" t="n"/>
      <c r="I86" s="11" t="n"/>
    </row>
    <row r="87">
      <c r="A87" s="5" t="n">
        <v>74</v>
      </c>
      <c r="B87" s="5" t="inlineStr">
        <is>
          <t>2024-04-29</t>
        </is>
      </c>
      <c r="C87" s="31">
        <f>'③回報計算FX調整'!J89</f>
        <v/>
      </c>
      <c r="D87" s="11" t="n"/>
      <c r="F87" s="5" t="n">
        <v>74</v>
      </c>
      <c r="G87" s="30">
        <f>SMALL('③回報計算FX調整'!$J$16:$J$265,74)</f>
        <v/>
      </c>
      <c r="H87" s="11" t="n"/>
      <c r="I87" s="11" t="n"/>
    </row>
    <row r="88">
      <c r="A88" s="5" t="n">
        <v>75</v>
      </c>
      <c r="B88" s="5" t="inlineStr">
        <is>
          <t>2024-04-30</t>
        </is>
      </c>
      <c r="C88" s="30">
        <f>'③回報計算FX調整'!J90</f>
        <v/>
      </c>
      <c r="D88" s="11" t="n"/>
      <c r="F88" s="5" t="n">
        <v>75</v>
      </c>
      <c r="G88" s="30">
        <f>SMALL('③回報計算FX調整'!$J$16:$J$265,75)</f>
        <v/>
      </c>
      <c r="H88" s="11" t="n"/>
      <c r="I88" s="11" t="n"/>
    </row>
    <row r="89">
      <c r="A89" s="5" t="n">
        <v>76</v>
      </c>
      <c r="B89" s="5" t="inlineStr">
        <is>
          <t>2024-05-01</t>
        </is>
      </c>
      <c r="C89" s="30">
        <f>'③回報計算FX調整'!J91</f>
        <v/>
      </c>
      <c r="D89" s="11" t="n"/>
      <c r="F89" s="5" t="n">
        <v>76</v>
      </c>
      <c r="G89" s="30">
        <f>SMALL('③回報計算FX調整'!$J$16:$J$265,76)</f>
        <v/>
      </c>
      <c r="H89" s="11" t="n"/>
      <c r="I89" s="11" t="n"/>
    </row>
    <row r="90">
      <c r="A90" s="5" t="n">
        <v>77</v>
      </c>
      <c r="B90" s="5" t="inlineStr">
        <is>
          <t>2024-05-02</t>
        </is>
      </c>
      <c r="C90" s="30">
        <f>'③回報計算FX調整'!J92</f>
        <v/>
      </c>
      <c r="D90" s="11" t="n"/>
      <c r="F90" s="5" t="n">
        <v>77</v>
      </c>
      <c r="G90" s="30">
        <f>SMALL('③回報計算FX調整'!$J$16:$J$265,77)</f>
        <v/>
      </c>
      <c r="H90" s="11" t="n"/>
      <c r="I90" s="11" t="n"/>
    </row>
    <row r="91">
      <c r="A91" s="5" t="n">
        <v>78</v>
      </c>
      <c r="B91" s="5" t="inlineStr">
        <is>
          <t>2024-05-03</t>
        </is>
      </c>
      <c r="C91" s="30">
        <f>'③回報計算FX調整'!J93</f>
        <v/>
      </c>
      <c r="D91" s="11" t="n"/>
      <c r="F91" s="5" t="n">
        <v>78</v>
      </c>
      <c r="G91" s="30">
        <f>SMALL('③回報計算FX調整'!$J$16:$J$265,78)</f>
        <v/>
      </c>
      <c r="H91" s="11" t="n"/>
      <c r="I91" s="11" t="n"/>
    </row>
    <row r="92">
      <c r="A92" s="5" t="n">
        <v>79</v>
      </c>
      <c r="B92" s="5" t="inlineStr">
        <is>
          <t>2024-05-06</t>
        </is>
      </c>
      <c r="C92" s="31">
        <f>'③回報計算FX調整'!J94</f>
        <v/>
      </c>
      <c r="D92" s="11" t="n"/>
      <c r="F92" s="5" t="n">
        <v>79</v>
      </c>
      <c r="G92" s="30">
        <f>SMALL('③回報計算FX調整'!$J$16:$J$265,79)</f>
        <v/>
      </c>
      <c r="H92" s="11" t="n"/>
      <c r="I92" s="11" t="n"/>
    </row>
    <row r="93">
      <c r="A93" s="5" t="n">
        <v>80</v>
      </c>
      <c r="B93" s="5" t="inlineStr">
        <is>
          <t>2024-05-07</t>
        </is>
      </c>
      <c r="C93" s="31">
        <f>'③回報計算FX調整'!J95</f>
        <v/>
      </c>
      <c r="D93" s="11" t="n"/>
      <c r="F93" s="5" t="n">
        <v>80</v>
      </c>
      <c r="G93" s="30">
        <f>SMALL('③回報計算FX調整'!$J$16:$J$265,80)</f>
        <v/>
      </c>
      <c r="H93" s="11" t="n"/>
      <c r="I93" s="11" t="n"/>
    </row>
    <row r="94">
      <c r="A94" s="5" t="n">
        <v>81</v>
      </c>
      <c r="B94" s="5" t="inlineStr">
        <is>
          <t>2024-05-08</t>
        </is>
      </c>
      <c r="C94" s="31">
        <f>'③回報計算FX調整'!J96</f>
        <v/>
      </c>
      <c r="D94" s="11" t="n"/>
      <c r="F94" s="5" t="n">
        <v>81</v>
      </c>
      <c r="G94" s="30">
        <f>SMALL('③回報計算FX調整'!$J$16:$J$265,81)</f>
        <v/>
      </c>
      <c r="H94" s="11" t="n"/>
      <c r="I94" s="11" t="n"/>
    </row>
    <row r="95">
      <c r="A95" s="5" t="n">
        <v>82</v>
      </c>
      <c r="B95" s="5" t="inlineStr">
        <is>
          <t>2024-05-09</t>
        </is>
      </c>
      <c r="C95" s="30">
        <f>'③回報計算FX調整'!J97</f>
        <v/>
      </c>
      <c r="D95" s="11" t="n"/>
      <c r="F95" s="5" t="n">
        <v>82</v>
      </c>
      <c r="G95" s="30">
        <f>SMALL('③回報計算FX調整'!$J$16:$J$265,82)</f>
        <v/>
      </c>
      <c r="H95" s="11" t="n"/>
      <c r="I95" s="11" t="n"/>
    </row>
    <row r="96">
      <c r="A96" s="5" t="n">
        <v>83</v>
      </c>
      <c r="B96" s="5" t="inlineStr">
        <is>
          <t>2024-05-10</t>
        </is>
      </c>
      <c r="C96" s="30">
        <f>'③回報計算FX調整'!J98</f>
        <v/>
      </c>
      <c r="D96" s="11" t="n"/>
      <c r="F96" s="5" t="n">
        <v>83</v>
      </c>
      <c r="G96" s="30">
        <f>SMALL('③回報計算FX調整'!$J$16:$J$265,83)</f>
        <v/>
      </c>
      <c r="H96" s="11" t="n"/>
      <c r="I96" s="11" t="n"/>
    </row>
    <row r="97">
      <c r="A97" s="5" t="n">
        <v>84</v>
      </c>
      <c r="B97" s="5" t="inlineStr">
        <is>
          <t>2024-05-13</t>
        </is>
      </c>
      <c r="C97" s="31">
        <f>'③回報計算FX調整'!J99</f>
        <v/>
      </c>
      <c r="D97" s="11" t="n"/>
      <c r="F97" s="5" t="n">
        <v>84</v>
      </c>
      <c r="G97" s="30">
        <f>SMALL('③回報計算FX調整'!$J$16:$J$265,84)</f>
        <v/>
      </c>
      <c r="H97" s="11" t="n"/>
      <c r="I97" s="11" t="n"/>
    </row>
    <row r="98">
      <c r="A98" s="5" t="n">
        <v>85</v>
      </c>
      <c r="B98" s="5" t="inlineStr">
        <is>
          <t>2024-05-14</t>
        </is>
      </c>
      <c r="C98" s="31">
        <f>'③回報計算FX調整'!J100</f>
        <v/>
      </c>
      <c r="D98" s="11" t="n"/>
      <c r="F98" s="5" t="n">
        <v>85</v>
      </c>
      <c r="G98" s="30">
        <f>SMALL('③回報計算FX調整'!$J$16:$J$265,85)</f>
        <v/>
      </c>
      <c r="H98" s="11" t="n"/>
      <c r="I98" s="11" t="n"/>
    </row>
    <row r="99">
      <c r="A99" s="5" t="n">
        <v>86</v>
      </c>
      <c r="B99" s="5" t="inlineStr">
        <is>
          <t>2024-05-15</t>
        </is>
      </c>
      <c r="C99" s="30">
        <f>'③回報計算FX調整'!J101</f>
        <v/>
      </c>
      <c r="D99" s="11" t="n"/>
      <c r="F99" s="5" t="n">
        <v>86</v>
      </c>
      <c r="G99" s="30">
        <f>SMALL('③回報計算FX調整'!$J$16:$J$265,86)</f>
        <v/>
      </c>
      <c r="H99" s="11" t="n"/>
      <c r="I99" s="11" t="n"/>
    </row>
    <row r="100">
      <c r="A100" s="5" t="n">
        <v>87</v>
      </c>
      <c r="B100" s="5" t="inlineStr">
        <is>
          <t>2024-05-16</t>
        </is>
      </c>
      <c r="C100" s="31">
        <f>'③回報計算FX調整'!J102</f>
        <v/>
      </c>
      <c r="D100" s="11" t="n"/>
      <c r="F100" s="5" t="n">
        <v>87</v>
      </c>
      <c r="G100" s="30">
        <f>SMALL('③回報計算FX調整'!$J$16:$J$265,87)</f>
        <v/>
      </c>
      <c r="H100" s="11" t="n"/>
      <c r="I100" s="11" t="n"/>
    </row>
    <row r="101">
      <c r="A101" s="5" t="n">
        <v>88</v>
      </c>
      <c r="B101" s="5" t="inlineStr">
        <is>
          <t>2024-05-17</t>
        </is>
      </c>
      <c r="C101" s="30">
        <f>'③回報計算FX調整'!J103</f>
        <v/>
      </c>
      <c r="D101" s="11" t="n"/>
      <c r="F101" s="5" t="n">
        <v>88</v>
      </c>
      <c r="G101" s="30">
        <f>SMALL('③回報計算FX調整'!$J$16:$J$265,88)</f>
        <v/>
      </c>
      <c r="H101" s="11" t="n"/>
      <c r="I101" s="11" t="n"/>
    </row>
    <row r="102">
      <c r="A102" s="5" t="n">
        <v>89</v>
      </c>
      <c r="B102" s="5" t="inlineStr">
        <is>
          <t>2024-05-20</t>
        </is>
      </c>
      <c r="C102" s="30">
        <f>'③回報計算FX調整'!J104</f>
        <v/>
      </c>
      <c r="D102" s="11" t="n"/>
      <c r="F102" s="5" t="n">
        <v>89</v>
      </c>
      <c r="G102" s="30">
        <f>SMALL('③回報計算FX調整'!$J$16:$J$265,89)</f>
        <v/>
      </c>
      <c r="H102" s="11" t="n"/>
      <c r="I102" s="11" t="n"/>
    </row>
    <row r="103">
      <c r="A103" s="5" t="n">
        <v>90</v>
      </c>
      <c r="B103" s="5" t="inlineStr">
        <is>
          <t>2024-05-21</t>
        </is>
      </c>
      <c r="C103" s="31">
        <f>'③回報計算FX調整'!J105</f>
        <v/>
      </c>
      <c r="D103" s="11" t="n"/>
      <c r="F103" s="5" t="n">
        <v>90</v>
      </c>
      <c r="G103" s="30">
        <f>SMALL('③回報計算FX調整'!$J$16:$J$265,90)</f>
        <v/>
      </c>
      <c r="H103" s="11" t="n"/>
      <c r="I103" s="11" t="n"/>
    </row>
    <row r="104">
      <c r="A104" s="5" t="n">
        <v>91</v>
      </c>
      <c r="B104" s="5" t="inlineStr">
        <is>
          <t>2024-05-22</t>
        </is>
      </c>
      <c r="C104" s="30">
        <f>'③回報計算FX調整'!J106</f>
        <v/>
      </c>
      <c r="D104" s="11" t="n"/>
      <c r="F104" s="5" t="n">
        <v>91</v>
      </c>
      <c r="G104" s="30">
        <f>SMALL('③回報計算FX調整'!$J$16:$J$265,91)</f>
        <v/>
      </c>
      <c r="H104" s="11" t="n"/>
      <c r="I104" s="11" t="n"/>
    </row>
    <row r="105">
      <c r="A105" s="5" t="n">
        <v>92</v>
      </c>
      <c r="B105" s="5" t="inlineStr">
        <is>
          <t>2024-05-23</t>
        </is>
      </c>
      <c r="C105" s="30">
        <f>'③回報計算FX調整'!J107</f>
        <v/>
      </c>
      <c r="D105" s="11" t="n"/>
      <c r="F105" s="5" t="n">
        <v>92</v>
      </c>
      <c r="G105" s="30">
        <f>SMALL('③回報計算FX調整'!$J$16:$J$265,92)</f>
        <v/>
      </c>
      <c r="H105" s="11" t="n"/>
      <c r="I105" s="11" t="n"/>
    </row>
    <row r="106">
      <c r="A106" s="5" t="n">
        <v>93</v>
      </c>
      <c r="B106" s="5" t="inlineStr">
        <is>
          <t>2024-05-24</t>
        </is>
      </c>
      <c r="C106" s="30">
        <f>'③回報計算FX調整'!J108</f>
        <v/>
      </c>
      <c r="D106" s="11" t="n"/>
      <c r="F106" s="5" t="n">
        <v>93</v>
      </c>
      <c r="G106" s="30">
        <f>SMALL('③回報計算FX調整'!$J$16:$J$265,93)</f>
        <v/>
      </c>
      <c r="H106" s="11" t="n"/>
      <c r="I106" s="11" t="n"/>
    </row>
    <row r="107">
      <c r="A107" s="5" t="n">
        <v>94</v>
      </c>
      <c r="B107" s="5" t="inlineStr">
        <is>
          <t>2024-05-27</t>
        </is>
      </c>
      <c r="C107" s="30">
        <f>'③回報計算FX調整'!J109</f>
        <v/>
      </c>
      <c r="D107" s="11" t="n"/>
      <c r="F107" s="5" t="n">
        <v>94</v>
      </c>
      <c r="G107" s="30">
        <f>SMALL('③回報計算FX調整'!$J$16:$J$265,94)</f>
        <v/>
      </c>
      <c r="H107" s="11" t="n"/>
      <c r="I107" s="11" t="n"/>
    </row>
    <row r="108">
      <c r="A108" s="5" t="n">
        <v>95</v>
      </c>
      <c r="B108" s="5" t="inlineStr">
        <is>
          <t>2024-05-28</t>
        </is>
      </c>
      <c r="C108" s="30">
        <f>'③回報計算FX調整'!J110</f>
        <v/>
      </c>
      <c r="D108" s="11" t="n"/>
      <c r="F108" s="5" t="n">
        <v>95</v>
      </c>
      <c r="G108" s="30">
        <f>SMALL('③回報計算FX調整'!$J$16:$J$265,95)</f>
        <v/>
      </c>
      <c r="H108" s="11" t="n"/>
      <c r="I108" s="11" t="n"/>
    </row>
    <row r="109">
      <c r="A109" s="5" t="n">
        <v>96</v>
      </c>
      <c r="B109" s="5" t="inlineStr">
        <is>
          <t>2024-05-29</t>
        </is>
      </c>
      <c r="C109" s="31">
        <f>'③回報計算FX調整'!J111</f>
        <v/>
      </c>
      <c r="D109" s="11" t="n"/>
      <c r="F109" s="5" t="n">
        <v>96</v>
      </c>
      <c r="G109" s="30">
        <f>SMALL('③回報計算FX調整'!$J$16:$J$265,96)</f>
        <v/>
      </c>
      <c r="H109" s="11" t="n"/>
      <c r="I109" s="11" t="n"/>
    </row>
    <row r="110">
      <c r="A110" s="5" t="n">
        <v>97</v>
      </c>
      <c r="B110" s="5" t="inlineStr">
        <is>
          <t>2024-05-30</t>
        </is>
      </c>
      <c r="C110" s="30">
        <f>'③回報計算FX調整'!J112</f>
        <v/>
      </c>
      <c r="D110" s="11" t="n"/>
      <c r="F110" s="5" t="n">
        <v>97</v>
      </c>
      <c r="G110" s="30">
        <f>SMALL('③回報計算FX調整'!$J$16:$J$265,97)</f>
        <v/>
      </c>
      <c r="H110" s="11" t="n"/>
      <c r="I110" s="11" t="n"/>
    </row>
    <row r="111">
      <c r="A111" s="5" t="n">
        <v>98</v>
      </c>
      <c r="B111" s="5" t="inlineStr">
        <is>
          <t>2024-05-31</t>
        </is>
      </c>
      <c r="C111" s="31">
        <f>'③回報計算FX調整'!J113</f>
        <v/>
      </c>
      <c r="D111" s="11" t="n"/>
      <c r="F111" s="5" t="n">
        <v>98</v>
      </c>
      <c r="G111" s="30">
        <f>SMALL('③回報計算FX調整'!$J$16:$J$265,98)</f>
        <v/>
      </c>
      <c r="H111" s="11" t="n"/>
      <c r="I111" s="11" t="n"/>
    </row>
    <row r="112">
      <c r="A112" s="5" t="n">
        <v>99</v>
      </c>
      <c r="B112" s="5" t="inlineStr">
        <is>
          <t>2024-06-03</t>
        </is>
      </c>
      <c r="C112" s="30">
        <f>'③回報計算FX調整'!J114</f>
        <v/>
      </c>
      <c r="D112" s="11" t="n"/>
      <c r="F112" s="5" t="n">
        <v>99</v>
      </c>
      <c r="G112" s="30">
        <f>SMALL('③回報計算FX調整'!$J$16:$J$265,99)</f>
        <v/>
      </c>
      <c r="H112" s="11" t="n"/>
      <c r="I112" s="11" t="n"/>
    </row>
    <row r="113">
      <c r="A113" s="5" t="n">
        <v>100</v>
      </c>
      <c r="B113" s="5" t="inlineStr">
        <is>
          <t>2024-06-04</t>
        </is>
      </c>
      <c r="C113" s="30">
        <f>'③回報計算FX調整'!J115</f>
        <v/>
      </c>
      <c r="D113" s="11" t="n"/>
      <c r="F113" s="5" t="n">
        <v>100</v>
      </c>
      <c r="G113" s="30">
        <f>SMALL('③回報計算FX調整'!$J$16:$J$265,100)</f>
        <v/>
      </c>
      <c r="H113" s="11" t="n"/>
      <c r="I113" s="11" t="n"/>
    </row>
    <row r="114">
      <c r="A114" s="5" t="n">
        <v>101</v>
      </c>
      <c r="B114" s="5" t="inlineStr">
        <is>
          <t>2024-06-05</t>
        </is>
      </c>
      <c r="C114" s="30">
        <f>'③回報計算FX調整'!J116</f>
        <v/>
      </c>
      <c r="D114" s="11" t="n"/>
      <c r="F114" s="5" t="n">
        <v>101</v>
      </c>
      <c r="G114" s="30">
        <f>SMALL('③回報計算FX調整'!$J$16:$J$265,101)</f>
        <v/>
      </c>
      <c r="H114" s="11" t="n"/>
      <c r="I114" s="11" t="n"/>
    </row>
    <row r="115">
      <c r="A115" s="5" t="n">
        <v>102</v>
      </c>
      <c r="B115" s="5" t="inlineStr">
        <is>
          <t>2024-06-06</t>
        </is>
      </c>
      <c r="C115" s="30">
        <f>'③回報計算FX調整'!J117</f>
        <v/>
      </c>
      <c r="D115" s="11" t="n"/>
      <c r="F115" s="5" t="n">
        <v>102</v>
      </c>
      <c r="G115" s="30">
        <f>SMALL('③回報計算FX調整'!$J$16:$J$265,102)</f>
        <v/>
      </c>
      <c r="H115" s="11" t="n"/>
      <c r="I115" s="11" t="n"/>
    </row>
    <row r="116">
      <c r="A116" s="5" t="n">
        <v>103</v>
      </c>
      <c r="B116" s="5" t="inlineStr">
        <is>
          <t>2024-06-07</t>
        </is>
      </c>
      <c r="C116" s="31">
        <f>'③回報計算FX調整'!J118</f>
        <v/>
      </c>
      <c r="D116" s="11" t="n"/>
      <c r="F116" s="5" t="n">
        <v>103</v>
      </c>
      <c r="G116" s="30">
        <f>SMALL('③回報計算FX調整'!$J$16:$J$265,103)</f>
        <v/>
      </c>
      <c r="H116" s="11" t="n"/>
      <c r="I116" s="11" t="n"/>
    </row>
    <row r="117">
      <c r="A117" s="5" t="n">
        <v>104</v>
      </c>
      <c r="B117" s="5" t="inlineStr">
        <is>
          <t>2024-06-10</t>
        </is>
      </c>
      <c r="C117" s="30">
        <f>'③回報計算FX調整'!J119</f>
        <v/>
      </c>
      <c r="D117" s="11" t="n"/>
      <c r="F117" s="5" t="n">
        <v>104</v>
      </c>
      <c r="G117" s="30">
        <f>SMALL('③回報計算FX調整'!$J$16:$J$265,104)</f>
        <v/>
      </c>
      <c r="H117" s="11" t="n"/>
      <c r="I117" s="11" t="n"/>
    </row>
    <row r="118">
      <c r="A118" s="5" t="n">
        <v>105</v>
      </c>
      <c r="B118" s="5" t="inlineStr">
        <is>
          <t>2024-06-11</t>
        </is>
      </c>
      <c r="C118" s="30">
        <f>'③回報計算FX調整'!J120</f>
        <v/>
      </c>
      <c r="D118" s="11" t="n"/>
      <c r="F118" s="5" t="n">
        <v>105</v>
      </c>
      <c r="G118" s="30">
        <f>SMALL('③回報計算FX調整'!$J$16:$J$265,105)</f>
        <v/>
      </c>
      <c r="H118" s="11" t="n"/>
      <c r="I118" s="11" t="n"/>
    </row>
    <row r="119">
      <c r="A119" s="5" t="n">
        <v>106</v>
      </c>
      <c r="B119" s="5" t="inlineStr">
        <is>
          <t>2024-06-12</t>
        </is>
      </c>
      <c r="C119" s="31">
        <f>'③回報計算FX調整'!J121</f>
        <v/>
      </c>
      <c r="D119" s="11" t="n"/>
      <c r="F119" s="5" t="n">
        <v>106</v>
      </c>
      <c r="G119" s="30">
        <f>SMALL('③回報計算FX調整'!$J$16:$J$265,106)</f>
        <v/>
      </c>
      <c r="H119" s="11" t="n"/>
      <c r="I119" s="11" t="n"/>
    </row>
    <row r="120">
      <c r="A120" s="5" t="n">
        <v>107</v>
      </c>
      <c r="B120" s="5" t="inlineStr">
        <is>
          <t>2024-06-13</t>
        </is>
      </c>
      <c r="C120" s="31">
        <f>'③回報計算FX調整'!J122</f>
        <v/>
      </c>
      <c r="D120" s="11" t="n"/>
      <c r="F120" s="5" t="n">
        <v>107</v>
      </c>
      <c r="G120" s="30">
        <f>SMALL('③回報計算FX調整'!$J$16:$J$265,107)</f>
        <v/>
      </c>
      <c r="H120" s="11" t="n"/>
      <c r="I120" s="11" t="n"/>
    </row>
    <row r="121">
      <c r="A121" s="5" t="n">
        <v>108</v>
      </c>
      <c r="B121" s="5" t="inlineStr">
        <is>
          <t>2024-06-14</t>
        </is>
      </c>
      <c r="C121" s="30">
        <f>'③回報計算FX調整'!J123</f>
        <v/>
      </c>
      <c r="D121" s="11" t="n"/>
      <c r="F121" s="5" t="n">
        <v>108</v>
      </c>
      <c r="G121" s="30">
        <f>SMALL('③回報計算FX調整'!$J$16:$J$265,108)</f>
        <v/>
      </c>
      <c r="H121" s="11" t="n"/>
      <c r="I121" s="11" t="n"/>
    </row>
    <row r="122">
      <c r="A122" s="5" t="n">
        <v>109</v>
      </c>
      <c r="B122" s="5" t="inlineStr">
        <is>
          <t>2024-06-17</t>
        </is>
      </c>
      <c r="C122" s="31">
        <f>'③回報計算FX調整'!J124</f>
        <v/>
      </c>
      <c r="D122" s="11" t="n"/>
      <c r="F122" s="5" t="n">
        <v>109</v>
      </c>
      <c r="G122" s="30">
        <f>SMALL('③回報計算FX調整'!$J$16:$J$265,109)</f>
        <v/>
      </c>
      <c r="H122" s="11" t="n"/>
      <c r="I122" s="11" t="n"/>
    </row>
    <row r="123">
      <c r="A123" s="5" t="n">
        <v>110</v>
      </c>
      <c r="B123" s="5" t="inlineStr">
        <is>
          <t>2024-06-18</t>
        </is>
      </c>
      <c r="C123" s="30">
        <f>'③回報計算FX調整'!J125</f>
        <v/>
      </c>
      <c r="D123" s="11" t="n"/>
      <c r="F123" s="5" t="n">
        <v>110</v>
      </c>
      <c r="G123" s="30">
        <f>SMALL('③回報計算FX調整'!$J$16:$J$265,110)</f>
        <v/>
      </c>
      <c r="H123" s="11" t="n"/>
      <c r="I123" s="11" t="n"/>
    </row>
    <row r="124">
      <c r="A124" s="5" t="n">
        <v>111</v>
      </c>
      <c r="B124" s="5" t="inlineStr">
        <is>
          <t>2024-06-19</t>
        </is>
      </c>
      <c r="C124" s="31">
        <f>'③回報計算FX調整'!J126</f>
        <v/>
      </c>
      <c r="D124" s="11" t="n"/>
      <c r="F124" s="5" t="n">
        <v>111</v>
      </c>
      <c r="G124" s="30">
        <f>SMALL('③回報計算FX調整'!$J$16:$J$265,111)</f>
        <v/>
      </c>
      <c r="H124" s="11" t="n"/>
      <c r="I124" s="11" t="n"/>
    </row>
    <row r="125">
      <c r="A125" s="5" t="n">
        <v>112</v>
      </c>
      <c r="B125" s="5" t="inlineStr">
        <is>
          <t>2024-06-20</t>
        </is>
      </c>
      <c r="C125" s="31">
        <f>'③回報計算FX調整'!J127</f>
        <v/>
      </c>
      <c r="D125" s="11" t="n"/>
      <c r="F125" s="5" t="n">
        <v>112</v>
      </c>
      <c r="G125" s="30">
        <f>SMALL('③回報計算FX調整'!$J$16:$J$265,112)</f>
        <v/>
      </c>
      <c r="H125" s="11" t="n"/>
      <c r="I125" s="11" t="n"/>
    </row>
    <row r="126">
      <c r="A126" s="5" t="n">
        <v>113</v>
      </c>
      <c r="B126" s="5" t="inlineStr">
        <is>
          <t>2024-06-21</t>
        </is>
      </c>
      <c r="C126" s="31">
        <f>'③回報計算FX調整'!J128</f>
        <v/>
      </c>
      <c r="D126" s="11" t="n"/>
      <c r="F126" s="5" t="n">
        <v>113</v>
      </c>
      <c r="G126" s="30">
        <f>SMALL('③回報計算FX調整'!$J$16:$J$265,113)</f>
        <v/>
      </c>
      <c r="H126" s="11" t="n"/>
      <c r="I126" s="11" t="n"/>
    </row>
    <row r="127">
      <c r="A127" s="5" t="n">
        <v>114</v>
      </c>
      <c r="B127" s="5" t="inlineStr">
        <is>
          <t>2024-06-24</t>
        </is>
      </c>
      <c r="C127" s="31">
        <f>'③回報計算FX調整'!J129</f>
        <v/>
      </c>
      <c r="D127" s="11" t="n"/>
      <c r="F127" s="5" t="n">
        <v>114</v>
      </c>
      <c r="G127" s="30">
        <f>SMALL('③回報計算FX調整'!$J$16:$J$265,114)</f>
        <v/>
      </c>
      <c r="H127" s="11" t="n"/>
      <c r="I127" s="11" t="n"/>
    </row>
    <row r="128">
      <c r="A128" s="5" t="n">
        <v>115</v>
      </c>
      <c r="B128" s="5" t="inlineStr">
        <is>
          <t>2024-06-25</t>
        </is>
      </c>
      <c r="C128" s="31">
        <f>'③回報計算FX調整'!J130</f>
        <v/>
      </c>
      <c r="D128" s="11" t="n"/>
      <c r="F128" s="5" t="n">
        <v>115</v>
      </c>
      <c r="G128" s="30">
        <f>SMALL('③回報計算FX調整'!$J$16:$J$265,115)</f>
        <v/>
      </c>
      <c r="H128" s="11" t="n"/>
      <c r="I128" s="11" t="n"/>
    </row>
    <row r="129">
      <c r="A129" s="5" t="n">
        <v>116</v>
      </c>
      <c r="B129" s="5" t="inlineStr">
        <is>
          <t>2024-06-26</t>
        </is>
      </c>
      <c r="C129" s="30">
        <f>'③回報計算FX調整'!J131</f>
        <v/>
      </c>
      <c r="D129" s="11" t="n"/>
      <c r="F129" s="5" t="n">
        <v>116</v>
      </c>
      <c r="G129" s="30">
        <f>SMALL('③回報計算FX調整'!$J$16:$J$265,116)</f>
        <v/>
      </c>
      <c r="H129" s="11" t="n"/>
      <c r="I129" s="11" t="n"/>
    </row>
    <row r="130">
      <c r="A130" s="5" t="n">
        <v>117</v>
      </c>
      <c r="B130" s="5" t="inlineStr">
        <is>
          <t>2024-06-27</t>
        </is>
      </c>
      <c r="C130" s="30">
        <f>'③回報計算FX調整'!J132</f>
        <v/>
      </c>
      <c r="D130" s="11" t="n"/>
      <c r="F130" s="5" t="n">
        <v>117</v>
      </c>
      <c r="G130" s="30">
        <f>SMALL('③回報計算FX調整'!$J$16:$J$265,117)</f>
        <v/>
      </c>
      <c r="H130" s="11" t="n"/>
      <c r="I130" s="11" t="n"/>
    </row>
    <row r="131">
      <c r="A131" s="5" t="n">
        <v>118</v>
      </c>
      <c r="B131" s="5" t="inlineStr">
        <is>
          <t>2024-06-28</t>
        </is>
      </c>
      <c r="C131" s="31">
        <f>'③回報計算FX調整'!J133</f>
        <v/>
      </c>
      <c r="D131" s="11" t="n"/>
      <c r="F131" s="5" t="n">
        <v>118</v>
      </c>
      <c r="G131" s="30">
        <f>SMALL('③回報計算FX調整'!$J$16:$J$265,118)</f>
        <v/>
      </c>
      <c r="H131" s="11" t="n"/>
      <c r="I131" s="11" t="n"/>
    </row>
    <row r="132">
      <c r="A132" s="5" t="n">
        <v>119</v>
      </c>
      <c r="B132" s="5" t="inlineStr">
        <is>
          <t>2024-07-01</t>
        </is>
      </c>
      <c r="C132" s="31">
        <f>'③回報計算FX調整'!J134</f>
        <v/>
      </c>
      <c r="D132" s="11" t="n"/>
      <c r="F132" s="5" t="n">
        <v>119</v>
      </c>
      <c r="G132" s="30">
        <f>SMALL('③回報計算FX調整'!$J$16:$J$265,119)</f>
        <v/>
      </c>
      <c r="H132" s="11" t="n"/>
      <c r="I132" s="11" t="n"/>
    </row>
    <row r="133">
      <c r="A133" s="5" t="n">
        <v>120</v>
      </c>
      <c r="B133" s="5" t="inlineStr">
        <is>
          <t>2024-07-02</t>
        </is>
      </c>
      <c r="C133" s="31">
        <f>'③回報計算FX調整'!J135</f>
        <v/>
      </c>
      <c r="D133" s="11" t="n"/>
      <c r="F133" s="5" t="n">
        <v>120</v>
      </c>
      <c r="G133" s="30">
        <f>SMALL('③回報計算FX調整'!$J$16:$J$265,120)</f>
        <v/>
      </c>
      <c r="H133" s="11" t="n"/>
      <c r="I133" s="11" t="n"/>
    </row>
    <row r="134">
      <c r="A134" s="5" t="n">
        <v>121</v>
      </c>
      <c r="B134" s="5" t="inlineStr">
        <is>
          <t>2024-07-03</t>
        </is>
      </c>
      <c r="C134" s="31">
        <f>'③回報計算FX調整'!J136</f>
        <v/>
      </c>
      <c r="D134" s="11" t="n"/>
      <c r="F134" s="5" t="n">
        <v>121</v>
      </c>
      <c r="G134" s="30">
        <f>SMALL('③回報計算FX調整'!$J$16:$J$265,121)</f>
        <v/>
      </c>
      <c r="H134" s="11" t="n"/>
      <c r="I134" s="11" t="n"/>
    </row>
    <row r="135">
      <c r="A135" s="5" t="n">
        <v>122</v>
      </c>
      <c r="B135" s="5" t="inlineStr">
        <is>
          <t>2024-07-04</t>
        </is>
      </c>
      <c r="C135" s="31">
        <f>'③回報計算FX調整'!J137</f>
        <v/>
      </c>
      <c r="D135" s="11" t="n"/>
      <c r="F135" s="5" t="n">
        <v>122</v>
      </c>
      <c r="G135" s="30">
        <f>SMALL('③回報計算FX調整'!$J$16:$J$265,122)</f>
        <v/>
      </c>
      <c r="H135" s="11" t="n"/>
      <c r="I135" s="11" t="n"/>
    </row>
    <row r="136">
      <c r="A136" s="5" t="n">
        <v>123</v>
      </c>
      <c r="B136" s="5" t="inlineStr">
        <is>
          <t>2024-07-05</t>
        </is>
      </c>
      <c r="C136" s="30">
        <f>'③回報計算FX調整'!J138</f>
        <v/>
      </c>
      <c r="D136" s="11" t="n"/>
      <c r="F136" s="5" t="n">
        <v>123</v>
      </c>
      <c r="G136" s="30">
        <f>SMALL('③回報計算FX調整'!$J$16:$J$265,123)</f>
        <v/>
      </c>
      <c r="H136" s="11" t="n"/>
      <c r="I136" s="11" t="n"/>
    </row>
    <row r="137">
      <c r="A137" s="5" t="n">
        <v>124</v>
      </c>
      <c r="B137" s="5" t="inlineStr">
        <is>
          <t>2024-07-08</t>
        </is>
      </c>
      <c r="C137" s="31">
        <f>'③回報計算FX調整'!J139</f>
        <v/>
      </c>
      <c r="D137" s="11" t="n"/>
      <c r="F137" s="5" t="n">
        <v>124</v>
      </c>
      <c r="G137" s="30">
        <f>SMALL('③回報計算FX調整'!$J$16:$J$265,124)</f>
        <v/>
      </c>
      <c r="H137" s="11" t="n"/>
      <c r="I137" s="11" t="n"/>
    </row>
    <row r="138">
      <c r="A138" s="5" t="n">
        <v>125</v>
      </c>
      <c r="B138" s="5" t="inlineStr">
        <is>
          <t>2024-07-09</t>
        </is>
      </c>
      <c r="C138" s="30">
        <f>'③回報計算FX調整'!J140</f>
        <v/>
      </c>
      <c r="D138" s="11" t="n"/>
      <c r="F138" s="5" t="n">
        <v>125</v>
      </c>
      <c r="G138" s="30">
        <f>SMALL('③回報計算FX調整'!$J$16:$J$265,125)</f>
        <v/>
      </c>
      <c r="H138" s="11" t="n"/>
      <c r="I138" s="11" t="n"/>
    </row>
    <row r="139">
      <c r="A139" s="5" t="n">
        <v>126</v>
      </c>
      <c r="B139" s="5" t="inlineStr">
        <is>
          <t>2024-07-10</t>
        </is>
      </c>
      <c r="C139" s="31">
        <f>'③回報計算FX調整'!J141</f>
        <v/>
      </c>
      <c r="D139" s="11" t="n"/>
      <c r="F139" s="5" t="n">
        <v>126</v>
      </c>
      <c r="G139" s="30">
        <f>SMALL('③回報計算FX調整'!$J$16:$J$265,126)</f>
        <v/>
      </c>
      <c r="H139" s="11" t="n"/>
      <c r="I139" s="11" t="n"/>
    </row>
    <row r="140">
      <c r="A140" s="5" t="n">
        <v>127</v>
      </c>
      <c r="B140" s="5" t="inlineStr">
        <is>
          <t>2024-07-11</t>
        </is>
      </c>
      <c r="C140" s="31">
        <f>'③回報計算FX調整'!J142</f>
        <v/>
      </c>
      <c r="D140" s="11" t="n"/>
      <c r="F140" s="5" t="n">
        <v>127</v>
      </c>
      <c r="G140" s="30">
        <f>SMALL('③回報計算FX調整'!$J$16:$J$265,127)</f>
        <v/>
      </c>
      <c r="H140" s="11" t="n"/>
      <c r="I140" s="11" t="n"/>
    </row>
    <row r="141">
      <c r="A141" s="5" t="n">
        <v>128</v>
      </c>
      <c r="B141" s="5" t="inlineStr">
        <is>
          <t>2024-07-12</t>
        </is>
      </c>
      <c r="C141" s="30">
        <f>'③回報計算FX調整'!J143</f>
        <v/>
      </c>
      <c r="D141" s="11" t="n"/>
      <c r="F141" s="5" t="n">
        <v>128</v>
      </c>
      <c r="G141" s="30">
        <f>SMALL('③回報計算FX調整'!$J$16:$J$265,128)</f>
        <v/>
      </c>
      <c r="H141" s="11" t="n"/>
      <c r="I141" s="11" t="n"/>
    </row>
    <row r="142">
      <c r="A142" s="5" t="n">
        <v>129</v>
      </c>
      <c r="B142" s="5" t="inlineStr">
        <is>
          <t>2024-07-15</t>
        </is>
      </c>
      <c r="C142" s="30">
        <f>'③回報計算FX調整'!J144</f>
        <v/>
      </c>
      <c r="D142" s="11" t="n"/>
      <c r="F142" s="5" t="n">
        <v>129</v>
      </c>
      <c r="G142" s="30">
        <f>SMALL('③回報計算FX調整'!$J$16:$J$265,129)</f>
        <v/>
      </c>
      <c r="H142" s="11" t="n"/>
      <c r="I142" s="11" t="n"/>
    </row>
    <row r="143">
      <c r="A143" s="5" t="n">
        <v>130</v>
      </c>
      <c r="B143" s="5" t="inlineStr">
        <is>
          <t>2024-07-16</t>
        </is>
      </c>
      <c r="C143" s="30">
        <f>'③回報計算FX調整'!J145</f>
        <v/>
      </c>
      <c r="D143" s="11" t="n"/>
      <c r="F143" s="5" t="n">
        <v>130</v>
      </c>
      <c r="G143" s="30">
        <f>SMALL('③回報計算FX調整'!$J$16:$J$265,130)</f>
        <v/>
      </c>
      <c r="H143" s="11" t="n"/>
      <c r="I143" s="11" t="n"/>
    </row>
    <row r="144">
      <c r="A144" s="5" t="n">
        <v>131</v>
      </c>
      <c r="B144" s="5" t="inlineStr">
        <is>
          <t>2024-07-17</t>
        </is>
      </c>
      <c r="C144" s="30">
        <f>'③回報計算FX調整'!J146</f>
        <v/>
      </c>
      <c r="D144" s="11" t="n"/>
      <c r="F144" s="5" t="n">
        <v>131</v>
      </c>
      <c r="G144" s="30">
        <f>SMALL('③回報計算FX調整'!$J$16:$J$265,131)</f>
        <v/>
      </c>
      <c r="H144" s="11" t="n"/>
      <c r="I144" s="11" t="n"/>
    </row>
    <row r="145">
      <c r="A145" s="5" t="n">
        <v>132</v>
      </c>
      <c r="B145" s="5" t="inlineStr">
        <is>
          <t>2024-07-18</t>
        </is>
      </c>
      <c r="C145" s="31">
        <f>'③回報計算FX調整'!J147</f>
        <v/>
      </c>
      <c r="D145" s="11" t="n"/>
      <c r="F145" s="5" t="n">
        <v>132</v>
      </c>
      <c r="G145" s="30">
        <f>SMALL('③回報計算FX調整'!$J$16:$J$265,132)</f>
        <v/>
      </c>
      <c r="H145" s="11" t="n"/>
      <c r="I145" s="11" t="n"/>
    </row>
    <row r="146">
      <c r="A146" s="5" t="n">
        <v>133</v>
      </c>
      <c r="B146" s="5" t="inlineStr">
        <is>
          <t>2024-07-19</t>
        </is>
      </c>
      <c r="C146" s="30">
        <f>'③回報計算FX調整'!J148</f>
        <v/>
      </c>
      <c r="D146" s="11" t="n"/>
      <c r="F146" s="5" t="n">
        <v>133</v>
      </c>
      <c r="G146" s="30">
        <f>SMALL('③回報計算FX調整'!$J$16:$J$265,133)</f>
        <v/>
      </c>
      <c r="H146" s="11" t="n"/>
      <c r="I146" s="11" t="n"/>
    </row>
    <row r="147">
      <c r="A147" s="5" t="n">
        <v>134</v>
      </c>
      <c r="B147" s="5" t="inlineStr">
        <is>
          <t>2024-07-22</t>
        </is>
      </c>
      <c r="C147" s="30">
        <f>'③回報計算FX調整'!J149</f>
        <v/>
      </c>
      <c r="D147" s="11" t="n"/>
      <c r="F147" s="5" t="n">
        <v>134</v>
      </c>
      <c r="G147" s="30">
        <f>SMALL('③回報計算FX調整'!$J$16:$J$265,134)</f>
        <v/>
      </c>
      <c r="H147" s="11" t="n"/>
      <c r="I147" s="11" t="n"/>
    </row>
    <row r="148">
      <c r="A148" s="5" t="n">
        <v>135</v>
      </c>
      <c r="B148" s="5" t="inlineStr">
        <is>
          <t>2024-07-23</t>
        </is>
      </c>
      <c r="C148" s="30">
        <f>'③回報計算FX調整'!J150</f>
        <v/>
      </c>
      <c r="D148" s="11" t="n"/>
      <c r="F148" s="5" t="n">
        <v>135</v>
      </c>
      <c r="G148" s="30">
        <f>SMALL('③回報計算FX調整'!$J$16:$J$265,135)</f>
        <v/>
      </c>
      <c r="H148" s="11" t="n"/>
      <c r="I148" s="11" t="n"/>
    </row>
    <row r="149">
      <c r="A149" s="5" t="n">
        <v>136</v>
      </c>
      <c r="B149" s="5" t="inlineStr">
        <is>
          <t>2024-07-24</t>
        </is>
      </c>
      <c r="C149" s="30">
        <f>'③回報計算FX調整'!J151</f>
        <v/>
      </c>
      <c r="D149" s="11" t="n"/>
      <c r="F149" s="5" t="n">
        <v>136</v>
      </c>
      <c r="G149" s="30">
        <f>SMALL('③回報計算FX調整'!$J$16:$J$265,136)</f>
        <v/>
      </c>
      <c r="H149" s="11" t="n"/>
      <c r="I149" s="11" t="n"/>
    </row>
    <row r="150">
      <c r="A150" s="5" t="n">
        <v>137</v>
      </c>
      <c r="B150" s="5" t="inlineStr">
        <is>
          <t>2024-07-25</t>
        </is>
      </c>
      <c r="C150" s="30">
        <f>'③回報計算FX調整'!J152</f>
        <v/>
      </c>
      <c r="D150" s="11" t="n"/>
      <c r="F150" s="5" t="n">
        <v>137</v>
      </c>
      <c r="G150" s="30">
        <f>SMALL('③回報計算FX調整'!$J$16:$J$265,137)</f>
        <v/>
      </c>
      <c r="H150" s="11" t="n"/>
      <c r="I150" s="11" t="n"/>
    </row>
    <row r="151">
      <c r="A151" s="5" t="n">
        <v>138</v>
      </c>
      <c r="B151" s="5" t="inlineStr">
        <is>
          <t>2024-07-26</t>
        </is>
      </c>
      <c r="C151" s="30">
        <f>'③回報計算FX調整'!J153</f>
        <v/>
      </c>
      <c r="D151" s="11" t="n"/>
      <c r="F151" s="5" t="n">
        <v>138</v>
      </c>
      <c r="G151" s="30">
        <f>SMALL('③回報計算FX調整'!$J$16:$J$265,138)</f>
        <v/>
      </c>
      <c r="H151" s="11" t="n"/>
      <c r="I151" s="11" t="n"/>
    </row>
    <row r="152">
      <c r="A152" s="5" t="n">
        <v>139</v>
      </c>
      <c r="B152" s="5" t="inlineStr">
        <is>
          <t>2024-07-29</t>
        </is>
      </c>
      <c r="C152" s="30">
        <f>'③回報計算FX調整'!J154</f>
        <v/>
      </c>
      <c r="D152" s="11" t="n"/>
      <c r="F152" s="5" t="n">
        <v>139</v>
      </c>
      <c r="G152" s="30">
        <f>SMALL('③回報計算FX調整'!$J$16:$J$265,139)</f>
        <v/>
      </c>
      <c r="H152" s="11" t="n"/>
      <c r="I152" s="11" t="n"/>
    </row>
    <row r="153">
      <c r="A153" s="5" t="n">
        <v>140</v>
      </c>
      <c r="B153" s="5" t="inlineStr">
        <is>
          <t>2024-07-30</t>
        </is>
      </c>
      <c r="C153" s="30">
        <f>'③回報計算FX調整'!J155</f>
        <v/>
      </c>
      <c r="D153" s="11" t="n"/>
      <c r="F153" s="5" t="n">
        <v>140</v>
      </c>
      <c r="G153" s="30">
        <f>SMALL('③回報計算FX調整'!$J$16:$J$265,140)</f>
        <v/>
      </c>
      <c r="H153" s="11" t="n"/>
      <c r="I153" s="11" t="n"/>
    </row>
    <row r="154">
      <c r="A154" s="5" t="n">
        <v>141</v>
      </c>
      <c r="B154" s="5" t="inlineStr">
        <is>
          <t>2024-07-31</t>
        </is>
      </c>
      <c r="C154" s="31">
        <f>'③回報計算FX調整'!J156</f>
        <v/>
      </c>
      <c r="D154" s="11" t="n"/>
      <c r="F154" s="5" t="n">
        <v>141</v>
      </c>
      <c r="G154" s="30">
        <f>SMALL('③回報計算FX調整'!$J$16:$J$265,141)</f>
        <v/>
      </c>
      <c r="H154" s="11" t="n"/>
      <c r="I154" s="11" t="n"/>
    </row>
    <row r="155">
      <c r="A155" s="5" t="n">
        <v>142</v>
      </c>
      <c r="B155" s="5" t="inlineStr">
        <is>
          <t>2024-08-01</t>
        </is>
      </c>
      <c r="C155" s="30">
        <f>'③回報計算FX調整'!J157</f>
        <v/>
      </c>
      <c r="D155" s="11" t="n"/>
      <c r="F155" s="5" t="n">
        <v>142</v>
      </c>
      <c r="G155" s="30">
        <f>SMALL('③回報計算FX調整'!$J$16:$J$265,142)</f>
        <v/>
      </c>
      <c r="H155" s="11" t="n"/>
      <c r="I155" s="11" t="n"/>
    </row>
    <row r="156">
      <c r="A156" s="5" t="n">
        <v>143</v>
      </c>
      <c r="B156" s="5" t="inlineStr">
        <is>
          <t>2024-08-02</t>
        </is>
      </c>
      <c r="C156" s="30">
        <f>'③回報計算FX調整'!J158</f>
        <v/>
      </c>
      <c r="D156" s="11" t="n"/>
      <c r="F156" s="5" t="n">
        <v>143</v>
      </c>
      <c r="G156" s="30">
        <f>SMALL('③回報計算FX調整'!$J$16:$J$265,143)</f>
        <v/>
      </c>
      <c r="H156" s="11" t="n"/>
      <c r="I156" s="11" t="n"/>
    </row>
    <row r="157">
      <c r="A157" s="5" t="n">
        <v>144</v>
      </c>
      <c r="B157" s="5" t="inlineStr">
        <is>
          <t>2024-08-05</t>
        </is>
      </c>
      <c r="C157" s="31">
        <f>'③回報計算FX調整'!J159</f>
        <v/>
      </c>
      <c r="D157" s="11" t="n"/>
      <c r="F157" s="5" t="n">
        <v>144</v>
      </c>
      <c r="G157" s="30">
        <f>SMALL('③回報計算FX調整'!$J$16:$J$265,144)</f>
        <v/>
      </c>
      <c r="H157" s="11" t="n"/>
      <c r="I157" s="11" t="n"/>
    </row>
    <row r="158">
      <c r="A158" s="5" t="n">
        <v>145</v>
      </c>
      <c r="B158" s="5" t="inlineStr">
        <is>
          <t>2024-08-06</t>
        </is>
      </c>
      <c r="C158" s="31">
        <f>'③回報計算FX調整'!J160</f>
        <v/>
      </c>
      <c r="D158" s="11" t="n"/>
      <c r="F158" s="5" t="n">
        <v>145</v>
      </c>
      <c r="G158" s="30">
        <f>SMALL('③回報計算FX調整'!$J$16:$J$265,145)</f>
        <v/>
      </c>
      <c r="H158" s="11" t="n"/>
      <c r="I158" s="11" t="n"/>
    </row>
    <row r="159">
      <c r="A159" s="5" t="n">
        <v>146</v>
      </c>
      <c r="B159" s="5" t="inlineStr">
        <is>
          <t>2024-08-07</t>
        </is>
      </c>
      <c r="C159" s="31">
        <f>'③回報計算FX調整'!J161</f>
        <v/>
      </c>
      <c r="D159" s="11" t="n"/>
      <c r="F159" s="5" t="n">
        <v>146</v>
      </c>
      <c r="G159" s="30">
        <f>SMALL('③回報計算FX調整'!$J$16:$J$265,146)</f>
        <v/>
      </c>
      <c r="H159" s="11" t="n"/>
      <c r="I159" s="11" t="n"/>
    </row>
    <row r="160">
      <c r="A160" s="5" t="n">
        <v>147</v>
      </c>
      <c r="B160" s="5" t="inlineStr">
        <is>
          <t>2024-08-08</t>
        </is>
      </c>
      <c r="C160" s="30">
        <f>'③回報計算FX調整'!J162</f>
        <v/>
      </c>
      <c r="D160" s="11" t="n"/>
      <c r="F160" s="5" t="n">
        <v>147</v>
      </c>
      <c r="G160" s="30">
        <f>SMALL('③回報計算FX調整'!$J$16:$J$265,147)</f>
        <v/>
      </c>
      <c r="H160" s="11" t="n"/>
      <c r="I160" s="11" t="n"/>
    </row>
    <row r="161">
      <c r="A161" s="5" t="n">
        <v>148</v>
      </c>
      <c r="B161" s="5" t="inlineStr">
        <is>
          <t>2024-08-09</t>
        </is>
      </c>
      <c r="C161" s="30">
        <f>'③回報計算FX調整'!J163</f>
        <v/>
      </c>
      <c r="D161" s="11" t="n"/>
      <c r="F161" s="5" t="n">
        <v>148</v>
      </c>
      <c r="G161" s="30">
        <f>SMALL('③回報計算FX調整'!$J$16:$J$265,148)</f>
        <v/>
      </c>
      <c r="H161" s="11" t="n"/>
      <c r="I161" s="11" t="n"/>
    </row>
    <row r="162">
      <c r="A162" s="5" t="n">
        <v>149</v>
      </c>
      <c r="B162" s="5" t="inlineStr">
        <is>
          <t>2024-08-12</t>
        </is>
      </c>
      <c r="C162" s="31">
        <f>'③回報計算FX調整'!J164</f>
        <v/>
      </c>
      <c r="D162" s="11" t="n"/>
      <c r="F162" s="5" t="n">
        <v>149</v>
      </c>
      <c r="G162" s="30">
        <f>SMALL('③回報計算FX調整'!$J$16:$J$265,149)</f>
        <v/>
      </c>
      <c r="H162" s="11" t="n"/>
      <c r="I162" s="11" t="n"/>
    </row>
    <row r="163">
      <c r="A163" s="5" t="n">
        <v>150</v>
      </c>
      <c r="B163" s="5" t="inlineStr">
        <is>
          <t>2024-08-13</t>
        </is>
      </c>
      <c r="C163" s="31">
        <f>'③回報計算FX調整'!J165</f>
        <v/>
      </c>
      <c r="D163" s="11" t="n"/>
      <c r="F163" s="5" t="n">
        <v>150</v>
      </c>
      <c r="G163" s="30">
        <f>SMALL('③回報計算FX調整'!$J$16:$J$265,150)</f>
        <v/>
      </c>
      <c r="H163" s="11" t="n"/>
      <c r="I163" s="11" t="n"/>
    </row>
    <row r="164">
      <c r="A164" s="5" t="n">
        <v>151</v>
      </c>
      <c r="B164" s="5" t="inlineStr">
        <is>
          <t>2024-08-14</t>
        </is>
      </c>
      <c r="C164" s="30">
        <f>'③回報計算FX調整'!J166</f>
        <v/>
      </c>
      <c r="D164" s="11" t="n"/>
      <c r="F164" s="5" t="n">
        <v>151</v>
      </c>
      <c r="G164" s="30">
        <f>SMALL('③回報計算FX調整'!$J$16:$J$265,151)</f>
        <v/>
      </c>
      <c r="H164" s="11" t="n"/>
      <c r="I164" s="11" t="n"/>
    </row>
    <row r="165">
      <c r="A165" s="5" t="n">
        <v>152</v>
      </c>
      <c r="B165" s="5" t="inlineStr">
        <is>
          <t>2024-08-15</t>
        </is>
      </c>
      <c r="C165" s="30">
        <f>'③回報計算FX調整'!J167</f>
        <v/>
      </c>
      <c r="D165" s="11" t="n"/>
      <c r="F165" s="5" t="n">
        <v>152</v>
      </c>
      <c r="G165" s="30">
        <f>SMALL('③回報計算FX調整'!$J$16:$J$265,152)</f>
        <v/>
      </c>
      <c r="H165" s="11" t="n"/>
      <c r="I165" s="11" t="n"/>
    </row>
    <row r="166">
      <c r="A166" s="5" t="n">
        <v>153</v>
      </c>
      <c r="B166" s="5" t="inlineStr">
        <is>
          <t>2024-08-16</t>
        </is>
      </c>
      <c r="C166" s="30">
        <f>'③回報計算FX調整'!J168</f>
        <v/>
      </c>
      <c r="D166" s="11" t="n"/>
      <c r="F166" s="5" t="n">
        <v>153</v>
      </c>
      <c r="G166" s="30">
        <f>SMALL('③回報計算FX調整'!$J$16:$J$265,153)</f>
        <v/>
      </c>
      <c r="H166" s="11" t="n"/>
      <c r="I166" s="11" t="n"/>
    </row>
    <row r="167">
      <c r="A167" s="5" t="n">
        <v>154</v>
      </c>
      <c r="B167" s="5" t="inlineStr">
        <is>
          <t>2024-08-19</t>
        </is>
      </c>
      <c r="C167" s="31">
        <f>'③回報計算FX調整'!J169</f>
        <v/>
      </c>
      <c r="D167" s="11" t="n"/>
      <c r="F167" s="5" t="n">
        <v>154</v>
      </c>
      <c r="G167" s="30">
        <f>SMALL('③回報計算FX調整'!$J$16:$J$265,154)</f>
        <v/>
      </c>
      <c r="H167" s="11" t="n"/>
      <c r="I167" s="11" t="n"/>
    </row>
    <row r="168">
      <c r="A168" s="5" t="n">
        <v>155</v>
      </c>
      <c r="B168" s="5" t="inlineStr">
        <is>
          <t>2024-08-20</t>
        </is>
      </c>
      <c r="C168" s="30">
        <f>'③回報計算FX調整'!J170</f>
        <v/>
      </c>
      <c r="D168" s="11" t="n"/>
      <c r="F168" s="5" t="n">
        <v>155</v>
      </c>
      <c r="G168" s="30">
        <f>SMALL('③回報計算FX調整'!$J$16:$J$265,155)</f>
        <v/>
      </c>
      <c r="H168" s="11" t="n"/>
      <c r="I168" s="11" t="n"/>
    </row>
    <row r="169">
      <c r="A169" s="5" t="n">
        <v>156</v>
      </c>
      <c r="B169" s="5" t="inlineStr">
        <is>
          <t>2024-08-21</t>
        </is>
      </c>
      <c r="C169" s="30">
        <f>'③回報計算FX調整'!J171</f>
        <v/>
      </c>
      <c r="D169" s="11" t="n"/>
      <c r="F169" s="5" t="n">
        <v>156</v>
      </c>
      <c r="G169" s="30">
        <f>SMALL('③回報計算FX調整'!$J$16:$J$265,156)</f>
        <v/>
      </c>
      <c r="H169" s="11" t="n"/>
      <c r="I169" s="11" t="n"/>
    </row>
    <row r="170">
      <c r="A170" s="5" t="n">
        <v>157</v>
      </c>
      <c r="B170" s="5" t="inlineStr">
        <is>
          <t>2024-08-22</t>
        </is>
      </c>
      <c r="C170" s="31">
        <f>'③回報計算FX調整'!J172</f>
        <v/>
      </c>
      <c r="D170" s="11" t="n"/>
      <c r="F170" s="5" t="n">
        <v>157</v>
      </c>
      <c r="G170" s="30">
        <f>SMALL('③回報計算FX調整'!$J$16:$J$265,157)</f>
        <v/>
      </c>
      <c r="H170" s="11" t="n"/>
      <c r="I170" s="11" t="n"/>
    </row>
    <row r="171">
      <c r="A171" s="5" t="n">
        <v>158</v>
      </c>
      <c r="B171" s="5" t="inlineStr">
        <is>
          <t>2024-08-23</t>
        </is>
      </c>
      <c r="C171" s="31">
        <f>'③回報計算FX調整'!J173</f>
        <v/>
      </c>
      <c r="D171" s="11" t="n"/>
      <c r="F171" s="5" t="n">
        <v>158</v>
      </c>
      <c r="G171" s="30">
        <f>SMALL('③回報計算FX調整'!$J$16:$J$265,158)</f>
        <v/>
      </c>
      <c r="H171" s="11" t="n"/>
      <c r="I171" s="11" t="n"/>
    </row>
    <row r="172">
      <c r="A172" s="5" t="n">
        <v>159</v>
      </c>
      <c r="B172" s="5" t="inlineStr">
        <is>
          <t>2024-08-26</t>
        </is>
      </c>
      <c r="C172" s="30">
        <f>'③回報計算FX調整'!J174</f>
        <v/>
      </c>
      <c r="D172" s="11" t="n"/>
      <c r="F172" s="5" t="n">
        <v>159</v>
      </c>
      <c r="G172" s="30">
        <f>SMALL('③回報計算FX調整'!$J$16:$J$265,159)</f>
        <v/>
      </c>
      <c r="H172" s="11" t="n"/>
      <c r="I172" s="11" t="n"/>
    </row>
    <row r="173">
      <c r="A173" s="5" t="n">
        <v>160</v>
      </c>
      <c r="B173" s="5" t="inlineStr">
        <is>
          <t>2024-08-27</t>
        </is>
      </c>
      <c r="C173" s="30">
        <f>'③回報計算FX調整'!J175</f>
        <v/>
      </c>
      <c r="D173" s="11" t="n"/>
      <c r="F173" s="5" t="n">
        <v>160</v>
      </c>
      <c r="G173" s="30">
        <f>SMALL('③回報計算FX調整'!$J$16:$J$265,160)</f>
        <v/>
      </c>
      <c r="H173" s="11" t="n"/>
      <c r="I173" s="11" t="n"/>
    </row>
    <row r="174">
      <c r="A174" s="5" t="n">
        <v>161</v>
      </c>
      <c r="B174" s="5" t="inlineStr">
        <is>
          <t>2024-08-28</t>
        </is>
      </c>
      <c r="C174" s="31">
        <f>'③回報計算FX調整'!J176</f>
        <v/>
      </c>
      <c r="D174" s="11" t="n"/>
      <c r="F174" s="5" t="n">
        <v>161</v>
      </c>
      <c r="G174" s="30">
        <f>SMALL('③回報計算FX調整'!$J$16:$J$265,161)</f>
        <v/>
      </c>
      <c r="H174" s="11" t="n"/>
      <c r="I174" s="11" t="n"/>
    </row>
    <row r="175">
      <c r="A175" s="5" t="n">
        <v>162</v>
      </c>
      <c r="B175" s="5" t="inlineStr">
        <is>
          <t>2024-08-29</t>
        </is>
      </c>
      <c r="C175" s="30">
        <f>'③回報計算FX調整'!J177</f>
        <v/>
      </c>
      <c r="D175" s="11" t="n"/>
      <c r="F175" s="5" t="n">
        <v>162</v>
      </c>
      <c r="G175" s="30">
        <f>SMALL('③回報計算FX調整'!$J$16:$J$265,162)</f>
        <v/>
      </c>
      <c r="H175" s="11" t="n"/>
      <c r="I175" s="11" t="n"/>
    </row>
    <row r="176">
      <c r="A176" s="5" t="n">
        <v>163</v>
      </c>
      <c r="B176" s="5" t="inlineStr">
        <is>
          <t>2024-08-30</t>
        </is>
      </c>
      <c r="C176" s="30">
        <f>'③回報計算FX調整'!J178</f>
        <v/>
      </c>
      <c r="D176" s="11" t="n"/>
      <c r="F176" s="5" t="n">
        <v>163</v>
      </c>
      <c r="G176" s="30">
        <f>SMALL('③回報計算FX調整'!$J$16:$J$265,163)</f>
        <v/>
      </c>
      <c r="H176" s="11" t="n"/>
      <c r="I176" s="11" t="n"/>
    </row>
    <row r="177">
      <c r="A177" s="5" t="n">
        <v>164</v>
      </c>
      <c r="B177" s="5" t="inlineStr">
        <is>
          <t>2024-09-02</t>
        </is>
      </c>
      <c r="C177" s="31">
        <f>'③回報計算FX調整'!J179</f>
        <v/>
      </c>
      <c r="D177" s="11" t="n"/>
      <c r="F177" s="5" t="n">
        <v>164</v>
      </c>
      <c r="G177" s="30">
        <f>SMALL('③回報計算FX調整'!$J$16:$J$265,164)</f>
        <v/>
      </c>
      <c r="H177" s="11" t="n"/>
      <c r="I177" s="11" t="n"/>
    </row>
    <row r="178">
      <c r="A178" s="5" t="n">
        <v>165</v>
      </c>
      <c r="B178" s="5" t="inlineStr">
        <is>
          <t>2024-09-03</t>
        </is>
      </c>
      <c r="C178" s="31">
        <f>'③回報計算FX調整'!J180</f>
        <v/>
      </c>
      <c r="D178" s="11" t="n"/>
      <c r="F178" s="5" t="n">
        <v>165</v>
      </c>
      <c r="G178" s="30">
        <f>SMALL('③回報計算FX調整'!$J$16:$J$265,165)</f>
        <v/>
      </c>
      <c r="H178" s="11" t="n"/>
      <c r="I178" s="11" t="n"/>
    </row>
    <row r="179">
      <c r="A179" s="5" t="n">
        <v>166</v>
      </c>
      <c r="B179" s="5" t="inlineStr">
        <is>
          <t>2024-09-04</t>
        </is>
      </c>
      <c r="C179" s="30">
        <f>'③回報計算FX調整'!J181</f>
        <v/>
      </c>
      <c r="D179" s="11" t="n"/>
      <c r="F179" s="5" t="n">
        <v>166</v>
      </c>
      <c r="G179" s="30">
        <f>SMALL('③回報計算FX調整'!$J$16:$J$265,166)</f>
        <v/>
      </c>
      <c r="H179" s="11" t="n"/>
      <c r="I179" s="11" t="n"/>
    </row>
    <row r="180">
      <c r="A180" s="5" t="n">
        <v>167</v>
      </c>
      <c r="B180" s="5" t="inlineStr">
        <is>
          <t>2024-09-05</t>
        </is>
      </c>
      <c r="C180" s="30">
        <f>'③回報計算FX調整'!J182</f>
        <v/>
      </c>
      <c r="D180" s="11" t="n"/>
      <c r="F180" s="5" t="n">
        <v>167</v>
      </c>
      <c r="G180" s="30">
        <f>SMALL('③回報計算FX調整'!$J$16:$J$265,167)</f>
        <v/>
      </c>
      <c r="H180" s="11" t="n"/>
      <c r="I180" s="11" t="n"/>
    </row>
    <row r="181">
      <c r="A181" s="5" t="n">
        <v>168</v>
      </c>
      <c r="B181" s="5" t="inlineStr">
        <is>
          <t>2024-09-06</t>
        </is>
      </c>
      <c r="C181" s="30">
        <f>'③回報計算FX調整'!J183</f>
        <v/>
      </c>
      <c r="D181" s="11" t="n"/>
      <c r="F181" s="5" t="n">
        <v>168</v>
      </c>
      <c r="G181" s="30">
        <f>SMALL('③回報計算FX調整'!$J$16:$J$265,168)</f>
        <v/>
      </c>
      <c r="H181" s="11" t="n"/>
      <c r="I181" s="11" t="n"/>
    </row>
    <row r="182">
      <c r="A182" s="5" t="n">
        <v>169</v>
      </c>
      <c r="B182" s="5" t="inlineStr">
        <is>
          <t>2024-09-09</t>
        </is>
      </c>
      <c r="C182" s="31">
        <f>'③回報計算FX調整'!J184</f>
        <v/>
      </c>
      <c r="D182" s="11" t="n"/>
      <c r="F182" s="5" t="n">
        <v>169</v>
      </c>
      <c r="G182" s="30">
        <f>SMALL('③回報計算FX調整'!$J$16:$J$265,169)</f>
        <v/>
      </c>
      <c r="H182" s="11" t="n"/>
      <c r="I182" s="11" t="n"/>
    </row>
    <row r="183">
      <c r="A183" s="5" t="n">
        <v>170</v>
      </c>
      <c r="B183" s="5" t="inlineStr">
        <is>
          <t>2024-09-10</t>
        </is>
      </c>
      <c r="C183" s="30">
        <f>'③回報計算FX調整'!J185</f>
        <v/>
      </c>
      <c r="D183" s="11" t="n"/>
      <c r="F183" s="5" t="n">
        <v>170</v>
      </c>
      <c r="G183" s="30">
        <f>SMALL('③回報計算FX調整'!$J$16:$J$265,170)</f>
        <v/>
      </c>
      <c r="H183" s="11" t="n"/>
      <c r="I183" s="11" t="n"/>
    </row>
    <row r="184">
      <c r="A184" s="5" t="n">
        <v>171</v>
      </c>
      <c r="B184" s="5" t="inlineStr">
        <is>
          <t>2024-09-11</t>
        </is>
      </c>
      <c r="C184" s="31">
        <f>'③回報計算FX調整'!J186</f>
        <v/>
      </c>
      <c r="D184" s="11" t="n"/>
      <c r="F184" s="5" t="n">
        <v>171</v>
      </c>
      <c r="G184" s="30">
        <f>SMALL('③回報計算FX調整'!$J$16:$J$265,171)</f>
        <v/>
      </c>
      <c r="H184" s="11" t="n"/>
      <c r="I184" s="11" t="n"/>
    </row>
    <row r="185">
      <c r="A185" s="5" t="n">
        <v>172</v>
      </c>
      <c r="B185" s="5" t="inlineStr">
        <is>
          <t>2024-09-12</t>
        </is>
      </c>
      <c r="C185" s="30">
        <f>'③回報計算FX調整'!J187</f>
        <v/>
      </c>
      <c r="D185" s="11" t="n"/>
      <c r="F185" s="5" t="n">
        <v>172</v>
      </c>
      <c r="G185" s="30">
        <f>SMALL('③回報計算FX調整'!$J$16:$J$265,172)</f>
        <v/>
      </c>
      <c r="H185" s="11" t="n"/>
      <c r="I185" s="11" t="n"/>
    </row>
    <row r="186">
      <c r="A186" s="5" t="n">
        <v>173</v>
      </c>
      <c r="B186" s="5" t="inlineStr">
        <is>
          <t>2024-09-13</t>
        </is>
      </c>
      <c r="C186" s="31">
        <f>'③回報計算FX調整'!J188</f>
        <v/>
      </c>
      <c r="D186" s="11" t="n"/>
      <c r="F186" s="5" t="n">
        <v>173</v>
      </c>
      <c r="G186" s="30">
        <f>SMALL('③回報計算FX調整'!$J$16:$J$265,173)</f>
        <v/>
      </c>
      <c r="H186" s="11" t="n"/>
      <c r="I186" s="11" t="n"/>
    </row>
    <row r="187">
      <c r="A187" s="5" t="n">
        <v>174</v>
      </c>
      <c r="B187" s="5" t="inlineStr">
        <is>
          <t>2024-09-16</t>
        </is>
      </c>
      <c r="C187" s="30">
        <f>'③回報計算FX調整'!J189</f>
        <v/>
      </c>
      <c r="D187" s="11" t="n"/>
      <c r="F187" s="5" t="n">
        <v>174</v>
      </c>
      <c r="G187" s="30">
        <f>SMALL('③回報計算FX調整'!$J$16:$J$265,174)</f>
        <v/>
      </c>
      <c r="H187" s="11" t="n"/>
      <c r="I187" s="11" t="n"/>
    </row>
    <row r="188">
      <c r="A188" s="5" t="n">
        <v>175</v>
      </c>
      <c r="B188" s="5" t="inlineStr">
        <is>
          <t>2024-09-17</t>
        </is>
      </c>
      <c r="C188" s="30">
        <f>'③回報計算FX調整'!J190</f>
        <v/>
      </c>
      <c r="D188" s="11" t="n"/>
      <c r="F188" s="5" t="n">
        <v>175</v>
      </c>
      <c r="G188" s="30">
        <f>SMALL('③回報計算FX調整'!$J$16:$J$265,175)</f>
        <v/>
      </c>
      <c r="H188" s="11" t="n"/>
      <c r="I188" s="11" t="n"/>
    </row>
    <row r="189">
      <c r="A189" s="5" t="n">
        <v>176</v>
      </c>
      <c r="B189" s="5" t="inlineStr">
        <is>
          <t>2024-09-18</t>
        </is>
      </c>
      <c r="C189" s="30">
        <f>'③回報計算FX調整'!J191</f>
        <v/>
      </c>
      <c r="D189" s="11" t="n"/>
      <c r="F189" s="5" t="n">
        <v>176</v>
      </c>
      <c r="G189" s="30">
        <f>SMALL('③回報計算FX調整'!$J$16:$J$265,176)</f>
        <v/>
      </c>
      <c r="H189" s="11" t="n"/>
      <c r="I189" s="11" t="n"/>
    </row>
    <row r="190">
      <c r="A190" s="5" t="n">
        <v>177</v>
      </c>
      <c r="B190" s="5" t="inlineStr">
        <is>
          <t>2024-09-19</t>
        </is>
      </c>
      <c r="C190" s="31">
        <f>'③回報計算FX調整'!J192</f>
        <v/>
      </c>
      <c r="D190" s="11" t="n"/>
      <c r="F190" s="5" t="n">
        <v>177</v>
      </c>
      <c r="G190" s="30">
        <f>SMALL('③回報計算FX調整'!$J$16:$J$265,177)</f>
        <v/>
      </c>
      <c r="H190" s="11" t="n"/>
      <c r="I190" s="11" t="n"/>
    </row>
    <row r="191">
      <c r="A191" s="5" t="n">
        <v>178</v>
      </c>
      <c r="B191" s="5" t="inlineStr">
        <is>
          <t>2024-09-20</t>
        </is>
      </c>
      <c r="C191" s="30">
        <f>'③回報計算FX調整'!J193</f>
        <v/>
      </c>
      <c r="D191" s="11" t="n"/>
      <c r="F191" s="5" t="n">
        <v>178</v>
      </c>
      <c r="G191" s="30">
        <f>SMALL('③回報計算FX調整'!$J$16:$J$265,178)</f>
        <v/>
      </c>
      <c r="H191" s="11" t="n"/>
      <c r="I191" s="11" t="n"/>
    </row>
    <row r="192">
      <c r="A192" s="5" t="n">
        <v>179</v>
      </c>
      <c r="B192" s="5" t="inlineStr">
        <is>
          <t>2024-09-23</t>
        </is>
      </c>
      <c r="C192" s="30">
        <f>'③回報計算FX調整'!J194</f>
        <v/>
      </c>
      <c r="D192" s="11" t="n"/>
      <c r="F192" s="5" t="n">
        <v>179</v>
      </c>
      <c r="G192" s="30">
        <f>SMALL('③回報計算FX調整'!$J$16:$J$265,179)</f>
        <v/>
      </c>
      <c r="H192" s="11" t="n"/>
      <c r="I192" s="11" t="n"/>
    </row>
    <row r="193">
      <c r="A193" s="5" t="n">
        <v>180</v>
      </c>
      <c r="B193" s="5" t="inlineStr">
        <is>
          <t>2024-09-24</t>
        </is>
      </c>
      <c r="C193" s="30">
        <f>'③回報計算FX調整'!J195</f>
        <v/>
      </c>
      <c r="D193" s="11" t="n"/>
      <c r="F193" s="5" t="n">
        <v>180</v>
      </c>
      <c r="G193" s="30">
        <f>SMALL('③回報計算FX調整'!$J$16:$J$265,180)</f>
        <v/>
      </c>
      <c r="H193" s="11" t="n"/>
      <c r="I193" s="11" t="n"/>
    </row>
    <row r="194">
      <c r="A194" s="5" t="n">
        <v>181</v>
      </c>
      <c r="B194" s="5" t="inlineStr">
        <is>
          <t>2024-09-25</t>
        </is>
      </c>
      <c r="C194" s="31">
        <f>'③回報計算FX調整'!J196</f>
        <v/>
      </c>
      <c r="D194" s="11" t="n"/>
      <c r="F194" s="5" t="n">
        <v>181</v>
      </c>
      <c r="G194" s="30">
        <f>SMALL('③回報計算FX調整'!$J$16:$J$265,181)</f>
        <v/>
      </c>
      <c r="H194" s="11" t="n"/>
      <c r="I194" s="11" t="n"/>
    </row>
    <row r="195">
      <c r="A195" s="5" t="n">
        <v>182</v>
      </c>
      <c r="B195" s="5" t="inlineStr">
        <is>
          <t>2024-09-26</t>
        </is>
      </c>
      <c r="C195" s="30">
        <f>'③回報計算FX調整'!J197</f>
        <v/>
      </c>
      <c r="D195" s="11" t="n"/>
      <c r="F195" s="5" t="n">
        <v>182</v>
      </c>
      <c r="G195" s="30">
        <f>SMALL('③回報計算FX調整'!$J$16:$J$265,182)</f>
        <v/>
      </c>
      <c r="H195" s="11" t="n"/>
      <c r="I195" s="11" t="n"/>
    </row>
    <row r="196">
      <c r="A196" s="5" t="n">
        <v>183</v>
      </c>
      <c r="B196" s="5" t="inlineStr">
        <is>
          <t>2024-09-27</t>
        </is>
      </c>
      <c r="C196" s="30">
        <f>'③回報計算FX調整'!J198</f>
        <v/>
      </c>
      <c r="D196" s="11" t="n"/>
      <c r="F196" s="5" t="n">
        <v>183</v>
      </c>
      <c r="G196" s="30">
        <f>SMALL('③回報計算FX調整'!$J$16:$J$265,183)</f>
        <v/>
      </c>
      <c r="H196" s="11" t="n"/>
      <c r="I196" s="11" t="n"/>
    </row>
    <row r="197">
      <c r="A197" s="5" t="n">
        <v>184</v>
      </c>
      <c r="B197" s="5" t="inlineStr">
        <is>
          <t>2024-09-30</t>
        </is>
      </c>
      <c r="C197" s="30">
        <f>'③回報計算FX調整'!J199</f>
        <v/>
      </c>
      <c r="D197" s="11" t="n"/>
      <c r="F197" s="5" t="n">
        <v>184</v>
      </c>
      <c r="G197" s="30">
        <f>SMALL('③回報計算FX調整'!$J$16:$J$265,184)</f>
        <v/>
      </c>
      <c r="H197" s="11" t="n"/>
      <c r="I197" s="11" t="n"/>
    </row>
    <row r="198">
      <c r="A198" s="5" t="n">
        <v>185</v>
      </c>
      <c r="B198" s="5" t="inlineStr">
        <is>
          <t>2024-10-01</t>
        </is>
      </c>
      <c r="C198" s="30">
        <f>'③回報計算FX調整'!J200</f>
        <v/>
      </c>
      <c r="D198" s="11" t="n"/>
      <c r="F198" s="5" t="n">
        <v>185</v>
      </c>
      <c r="G198" s="30">
        <f>SMALL('③回報計算FX調整'!$J$16:$J$265,185)</f>
        <v/>
      </c>
      <c r="H198" s="11" t="n"/>
      <c r="I198" s="11" t="n"/>
    </row>
    <row r="199">
      <c r="A199" s="5" t="n">
        <v>186</v>
      </c>
      <c r="B199" s="5" t="inlineStr">
        <is>
          <t>2024-10-02</t>
        </is>
      </c>
      <c r="C199" s="30">
        <f>'③回報計算FX調整'!J201</f>
        <v/>
      </c>
      <c r="D199" s="11" t="n"/>
      <c r="F199" s="5" t="n">
        <v>186</v>
      </c>
      <c r="G199" s="30">
        <f>SMALL('③回報計算FX調整'!$J$16:$J$265,186)</f>
        <v/>
      </c>
      <c r="H199" s="11" t="n"/>
      <c r="I199" s="11" t="n"/>
    </row>
    <row r="200">
      <c r="A200" s="5" t="n">
        <v>187</v>
      </c>
      <c r="B200" s="5" t="inlineStr">
        <is>
          <t>2024-10-03</t>
        </is>
      </c>
      <c r="C200" s="30">
        <f>'③回報計算FX調整'!J202</f>
        <v/>
      </c>
      <c r="D200" s="11" t="n"/>
      <c r="F200" s="5" t="n">
        <v>187</v>
      </c>
      <c r="G200" s="30">
        <f>SMALL('③回報計算FX調整'!$J$16:$J$265,187)</f>
        <v/>
      </c>
      <c r="H200" s="11" t="n"/>
      <c r="I200" s="11" t="n"/>
    </row>
    <row r="201">
      <c r="A201" s="5" t="n">
        <v>188</v>
      </c>
      <c r="B201" s="5" t="inlineStr">
        <is>
          <t>2024-10-04</t>
        </is>
      </c>
      <c r="C201" s="30">
        <f>'③回報計算FX調整'!J203</f>
        <v/>
      </c>
      <c r="D201" s="11" t="n"/>
      <c r="F201" s="5" t="n">
        <v>188</v>
      </c>
      <c r="G201" s="30">
        <f>SMALL('③回報計算FX調整'!$J$16:$J$265,188)</f>
        <v/>
      </c>
      <c r="H201" s="11" t="n"/>
      <c r="I201" s="11" t="n"/>
    </row>
    <row r="202">
      <c r="A202" s="5" t="n">
        <v>189</v>
      </c>
      <c r="B202" s="5" t="inlineStr">
        <is>
          <t>2024-10-07</t>
        </is>
      </c>
      <c r="C202" s="30">
        <f>'③回報計算FX調整'!J204</f>
        <v/>
      </c>
      <c r="D202" s="11" t="n"/>
      <c r="F202" s="5" t="n">
        <v>189</v>
      </c>
      <c r="G202" s="30">
        <f>SMALL('③回報計算FX調整'!$J$16:$J$265,189)</f>
        <v/>
      </c>
      <c r="H202" s="11" t="n"/>
      <c r="I202" s="11" t="n"/>
    </row>
    <row r="203">
      <c r="A203" s="5" t="n">
        <v>190</v>
      </c>
      <c r="B203" s="5" t="inlineStr">
        <is>
          <t>2024-10-08</t>
        </is>
      </c>
      <c r="C203" s="30">
        <f>'③回報計算FX調整'!J205</f>
        <v/>
      </c>
      <c r="D203" s="11" t="n"/>
      <c r="F203" s="5" t="n">
        <v>190</v>
      </c>
      <c r="G203" s="30">
        <f>SMALL('③回報計算FX調整'!$J$16:$J$265,190)</f>
        <v/>
      </c>
      <c r="H203" s="11" t="n"/>
      <c r="I203" s="11" t="n"/>
    </row>
    <row r="204">
      <c r="A204" s="5" t="n">
        <v>191</v>
      </c>
      <c r="B204" s="5" t="inlineStr">
        <is>
          <t>2024-10-09</t>
        </is>
      </c>
      <c r="C204" s="30">
        <f>'③回報計算FX調整'!J206</f>
        <v/>
      </c>
      <c r="D204" s="11" t="n"/>
      <c r="F204" s="5" t="n">
        <v>191</v>
      </c>
      <c r="G204" s="30">
        <f>SMALL('③回報計算FX調整'!$J$16:$J$265,191)</f>
        <v/>
      </c>
      <c r="H204" s="11" t="n"/>
      <c r="I204" s="11" t="n"/>
    </row>
    <row r="205">
      <c r="A205" s="5" t="n">
        <v>192</v>
      </c>
      <c r="B205" s="5" t="inlineStr">
        <is>
          <t>2024-10-10</t>
        </is>
      </c>
      <c r="C205" s="31">
        <f>'③回報計算FX調整'!J207</f>
        <v/>
      </c>
      <c r="D205" s="11" t="n"/>
      <c r="F205" s="5" t="n">
        <v>192</v>
      </c>
      <c r="G205" s="30">
        <f>SMALL('③回報計算FX調整'!$J$16:$J$265,192)</f>
        <v/>
      </c>
      <c r="H205" s="11" t="n"/>
      <c r="I205" s="11" t="n"/>
    </row>
    <row r="206">
      <c r="A206" s="5" t="n">
        <v>193</v>
      </c>
      <c r="B206" s="5" t="inlineStr">
        <is>
          <t>2024-10-11</t>
        </is>
      </c>
      <c r="C206" s="30">
        <f>'③回報計算FX調整'!J208</f>
        <v/>
      </c>
      <c r="D206" s="11" t="n"/>
      <c r="F206" s="5" t="n">
        <v>193</v>
      </c>
      <c r="G206" s="30">
        <f>SMALL('③回報計算FX調整'!$J$16:$J$265,193)</f>
        <v/>
      </c>
      <c r="H206" s="11" t="n"/>
      <c r="I206" s="11" t="n"/>
    </row>
    <row r="207">
      <c r="A207" s="5" t="n">
        <v>194</v>
      </c>
      <c r="B207" s="5" t="inlineStr">
        <is>
          <t>2024-10-14</t>
        </is>
      </c>
      <c r="C207" s="31">
        <f>'③回報計算FX調整'!J209</f>
        <v/>
      </c>
      <c r="D207" s="11" t="n"/>
      <c r="F207" s="5" t="n">
        <v>194</v>
      </c>
      <c r="G207" s="30">
        <f>SMALL('③回報計算FX調整'!$J$16:$J$265,194)</f>
        <v/>
      </c>
      <c r="H207" s="11" t="n"/>
      <c r="I207" s="11" t="n"/>
    </row>
    <row r="208">
      <c r="A208" s="5" t="n">
        <v>195</v>
      </c>
      <c r="B208" s="5" t="inlineStr">
        <is>
          <t>2024-10-15</t>
        </is>
      </c>
      <c r="C208" s="30">
        <f>'③回報計算FX調整'!J210</f>
        <v/>
      </c>
      <c r="D208" s="11" t="n"/>
      <c r="F208" s="5" t="n">
        <v>195</v>
      </c>
      <c r="G208" s="30">
        <f>SMALL('③回報計算FX調整'!$J$16:$J$265,195)</f>
        <v/>
      </c>
      <c r="H208" s="11" t="n"/>
      <c r="I208" s="11" t="n"/>
    </row>
    <row r="209">
      <c r="A209" s="5" t="n">
        <v>196</v>
      </c>
      <c r="B209" s="5" t="inlineStr">
        <is>
          <t>2024-10-16</t>
        </is>
      </c>
      <c r="C209" s="31">
        <f>'③回報計算FX調整'!J211</f>
        <v/>
      </c>
      <c r="D209" s="11" t="n"/>
      <c r="F209" s="5" t="n">
        <v>196</v>
      </c>
      <c r="G209" s="30">
        <f>SMALL('③回報計算FX調整'!$J$16:$J$265,196)</f>
        <v/>
      </c>
      <c r="H209" s="11" t="n"/>
      <c r="I209" s="11" t="n"/>
    </row>
    <row r="210">
      <c r="A210" s="5" t="n">
        <v>197</v>
      </c>
      <c r="B210" s="5" t="inlineStr">
        <is>
          <t>2024-10-17</t>
        </is>
      </c>
      <c r="C210" s="30">
        <f>'③回報計算FX調整'!J212</f>
        <v/>
      </c>
      <c r="D210" s="11" t="n"/>
      <c r="F210" s="5" t="n">
        <v>197</v>
      </c>
      <c r="G210" s="30">
        <f>SMALL('③回報計算FX調整'!$J$16:$J$265,197)</f>
        <v/>
      </c>
      <c r="H210" s="11" t="n"/>
      <c r="I210" s="11" t="n"/>
    </row>
    <row r="211">
      <c r="A211" s="5" t="n">
        <v>198</v>
      </c>
      <c r="B211" s="5" t="inlineStr">
        <is>
          <t>2024-10-18</t>
        </is>
      </c>
      <c r="C211" s="30">
        <f>'③回報計算FX調整'!J213</f>
        <v/>
      </c>
      <c r="D211" s="11" t="n"/>
      <c r="F211" s="5" t="n">
        <v>198</v>
      </c>
      <c r="G211" s="30">
        <f>SMALL('③回報計算FX調整'!$J$16:$J$265,198)</f>
        <v/>
      </c>
      <c r="H211" s="11" t="n"/>
      <c r="I211" s="11" t="n"/>
    </row>
    <row r="212">
      <c r="A212" s="5" t="n">
        <v>199</v>
      </c>
      <c r="B212" s="5" t="inlineStr">
        <is>
          <t>2024-10-21</t>
        </is>
      </c>
      <c r="C212" s="31">
        <f>'③回報計算FX調整'!J214</f>
        <v/>
      </c>
      <c r="D212" s="11" t="n"/>
      <c r="F212" s="5" t="n">
        <v>199</v>
      </c>
      <c r="G212" s="30">
        <f>SMALL('③回報計算FX調整'!$J$16:$J$265,199)</f>
        <v/>
      </c>
      <c r="H212" s="11" t="n"/>
      <c r="I212" s="11" t="n"/>
    </row>
    <row r="213">
      <c r="A213" s="5" t="n">
        <v>200</v>
      </c>
      <c r="B213" s="5" t="inlineStr">
        <is>
          <t>2024-10-22</t>
        </is>
      </c>
      <c r="C213" s="31">
        <f>'③回報計算FX調整'!J215</f>
        <v/>
      </c>
      <c r="D213" s="11" t="n"/>
      <c r="F213" s="5" t="n">
        <v>200</v>
      </c>
      <c r="G213" s="30">
        <f>SMALL('③回報計算FX調整'!$J$16:$J$265,200)</f>
        <v/>
      </c>
      <c r="H213" s="11" t="n"/>
      <c r="I213" s="11" t="n"/>
    </row>
    <row r="214">
      <c r="A214" s="5" t="n">
        <v>201</v>
      </c>
      <c r="B214" s="5" t="inlineStr">
        <is>
          <t>2024-10-23</t>
        </is>
      </c>
      <c r="C214" s="30">
        <f>'③回報計算FX調整'!J216</f>
        <v/>
      </c>
      <c r="D214" s="11" t="n"/>
      <c r="F214" s="5" t="n">
        <v>201</v>
      </c>
      <c r="G214" s="30">
        <f>SMALL('③回報計算FX調整'!$J$16:$J$265,201)</f>
        <v/>
      </c>
      <c r="H214" s="11" t="n"/>
      <c r="I214" s="11" t="n"/>
    </row>
    <row r="215">
      <c r="A215" s="5" t="n">
        <v>202</v>
      </c>
      <c r="B215" s="5" t="inlineStr">
        <is>
          <t>2024-10-24</t>
        </is>
      </c>
      <c r="C215" s="31">
        <f>'③回報計算FX調整'!J217</f>
        <v/>
      </c>
      <c r="D215" s="11" t="n"/>
      <c r="F215" s="5" t="n">
        <v>202</v>
      </c>
      <c r="G215" s="30">
        <f>SMALL('③回報計算FX調整'!$J$16:$J$265,202)</f>
        <v/>
      </c>
      <c r="H215" s="11" t="n"/>
      <c r="I215" s="11" t="n"/>
    </row>
    <row r="216">
      <c r="A216" s="5" t="n">
        <v>203</v>
      </c>
      <c r="B216" s="5" t="inlineStr">
        <is>
          <t>2024-10-25</t>
        </is>
      </c>
      <c r="C216" s="30">
        <f>'③回報計算FX調整'!J218</f>
        <v/>
      </c>
      <c r="D216" s="11" t="n"/>
      <c r="F216" s="5" t="n">
        <v>203</v>
      </c>
      <c r="G216" s="30">
        <f>SMALL('③回報計算FX調整'!$J$16:$J$265,203)</f>
        <v/>
      </c>
      <c r="H216" s="11" t="n"/>
      <c r="I216" s="11" t="n"/>
    </row>
    <row r="217">
      <c r="A217" s="5" t="n">
        <v>204</v>
      </c>
      <c r="B217" s="5" t="inlineStr">
        <is>
          <t>2024-10-28</t>
        </is>
      </c>
      <c r="C217" s="30">
        <f>'③回報計算FX調整'!J219</f>
        <v/>
      </c>
      <c r="D217" s="11" t="n"/>
      <c r="F217" s="5" t="n">
        <v>204</v>
      </c>
      <c r="G217" s="30">
        <f>SMALL('③回報計算FX調整'!$J$16:$J$265,204)</f>
        <v/>
      </c>
      <c r="H217" s="11" t="n"/>
      <c r="I217" s="11" t="n"/>
    </row>
    <row r="218">
      <c r="A218" s="5" t="n">
        <v>205</v>
      </c>
      <c r="B218" s="5" t="inlineStr">
        <is>
          <t>2024-10-29</t>
        </is>
      </c>
      <c r="C218" s="31">
        <f>'③回報計算FX調整'!J220</f>
        <v/>
      </c>
      <c r="D218" s="11" t="n"/>
      <c r="F218" s="5" t="n">
        <v>205</v>
      </c>
      <c r="G218" s="30">
        <f>SMALL('③回報計算FX調整'!$J$16:$J$265,205)</f>
        <v/>
      </c>
      <c r="H218" s="11" t="n"/>
      <c r="I218" s="11" t="n"/>
    </row>
    <row r="219">
      <c r="A219" s="5" t="n">
        <v>206</v>
      </c>
      <c r="B219" s="5" t="inlineStr">
        <is>
          <t>2024-10-30</t>
        </is>
      </c>
      <c r="C219" s="30">
        <f>'③回報計算FX調整'!J221</f>
        <v/>
      </c>
      <c r="D219" s="11" t="n"/>
      <c r="F219" s="5" t="n">
        <v>206</v>
      </c>
      <c r="G219" s="30">
        <f>SMALL('③回報計算FX調整'!$J$16:$J$265,206)</f>
        <v/>
      </c>
      <c r="H219" s="11" t="n"/>
      <c r="I219" s="11" t="n"/>
    </row>
    <row r="220">
      <c r="A220" s="5" t="n">
        <v>207</v>
      </c>
      <c r="B220" s="5" t="inlineStr">
        <is>
          <t>2024-10-31</t>
        </is>
      </c>
      <c r="C220" s="30">
        <f>'③回報計算FX調整'!J222</f>
        <v/>
      </c>
      <c r="D220" s="11" t="n"/>
      <c r="F220" s="5" t="n">
        <v>207</v>
      </c>
      <c r="G220" s="30">
        <f>SMALL('③回報計算FX調整'!$J$16:$J$265,207)</f>
        <v/>
      </c>
      <c r="H220" s="11" t="n"/>
      <c r="I220" s="11" t="n"/>
    </row>
    <row r="221">
      <c r="A221" s="5" t="n">
        <v>208</v>
      </c>
      <c r="B221" s="5" t="inlineStr">
        <is>
          <t>2024-11-01</t>
        </is>
      </c>
      <c r="C221" s="31">
        <f>'③回報計算FX調整'!J223</f>
        <v/>
      </c>
      <c r="D221" s="11" t="n"/>
      <c r="F221" s="5" t="n">
        <v>208</v>
      </c>
      <c r="G221" s="30">
        <f>SMALL('③回報計算FX調整'!$J$16:$J$265,208)</f>
        <v/>
      </c>
      <c r="H221" s="11" t="n"/>
      <c r="I221" s="11" t="n"/>
    </row>
    <row r="222">
      <c r="A222" s="5" t="n">
        <v>209</v>
      </c>
      <c r="B222" s="5" t="inlineStr">
        <is>
          <t>2024-11-04</t>
        </is>
      </c>
      <c r="C222" s="30">
        <f>'③回報計算FX調整'!J224</f>
        <v/>
      </c>
      <c r="D222" s="11" t="n"/>
      <c r="F222" s="5" t="n">
        <v>209</v>
      </c>
      <c r="G222" s="30">
        <f>SMALL('③回報計算FX調整'!$J$16:$J$265,209)</f>
        <v/>
      </c>
      <c r="H222" s="11" t="n"/>
      <c r="I222" s="11" t="n"/>
    </row>
    <row r="223">
      <c r="A223" s="5" t="n">
        <v>210</v>
      </c>
      <c r="B223" s="5" t="inlineStr">
        <is>
          <t>2024-11-05</t>
        </is>
      </c>
      <c r="C223" s="31">
        <f>'③回報計算FX調整'!J225</f>
        <v/>
      </c>
      <c r="D223" s="11" t="n"/>
      <c r="F223" s="5" t="n">
        <v>210</v>
      </c>
      <c r="G223" s="30">
        <f>SMALL('③回報計算FX調整'!$J$16:$J$265,210)</f>
        <v/>
      </c>
      <c r="H223" s="11" t="n"/>
      <c r="I223" s="11" t="n"/>
    </row>
    <row r="224">
      <c r="A224" s="5" t="n">
        <v>211</v>
      </c>
      <c r="B224" s="5" t="inlineStr">
        <is>
          <t>2024-11-06</t>
        </is>
      </c>
      <c r="C224" s="31">
        <f>'③回報計算FX調整'!J226</f>
        <v/>
      </c>
      <c r="D224" s="11" t="n"/>
      <c r="F224" s="5" t="n">
        <v>211</v>
      </c>
      <c r="G224" s="30">
        <f>SMALL('③回報計算FX調整'!$J$16:$J$265,211)</f>
        <v/>
      </c>
      <c r="H224" s="11" t="n"/>
      <c r="I224" s="11" t="n"/>
    </row>
    <row r="225">
      <c r="A225" s="5" t="n">
        <v>212</v>
      </c>
      <c r="B225" s="5" t="inlineStr">
        <is>
          <t>2024-11-07</t>
        </is>
      </c>
      <c r="C225" s="30">
        <f>'③回報計算FX調整'!J227</f>
        <v/>
      </c>
      <c r="D225" s="11" t="n"/>
      <c r="F225" s="5" t="n">
        <v>212</v>
      </c>
      <c r="G225" s="30">
        <f>SMALL('③回報計算FX調整'!$J$16:$J$265,212)</f>
        <v/>
      </c>
      <c r="H225" s="11" t="n"/>
      <c r="I225" s="11" t="n"/>
    </row>
    <row r="226">
      <c r="A226" s="5" t="n">
        <v>213</v>
      </c>
      <c r="B226" s="5" t="inlineStr">
        <is>
          <t>2024-11-08</t>
        </is>
      </c>
      <c r="C226" s="31">
        <f>'③回報計算FX調整'!J228</f>
        <v/>
      </c>
      <c r="D226" s="11" t="n"/>
      <c r="F226" s="5" t="n">
        <v>213</v>
      </c>
      <c r="G226" s="30">
        <f>SMALL('③回報計算FX調整'!$J$16:$J$265,213)</f>
        <v/>
      </c>
      <c r="H226" s="11" t="n"/>
      <c r="I226" s="11" t="n"/>
    </row>
    <row r="227">
      <c r="A227" s="5" t="n">
        <v>214</v>
      </c>
      <c r="B227" s="5" t="inlineStr">
        <is>
          <t>2024-11-11</t>
        </is>
      </c>
      <c r="C227" s="30">
        <f>'③回報計算FX調整'!J229</f>
        <v/>
      </c>
      <c r="D227" s="11" t="n"/>
      <c r="F227" s="5" t="n">
        <v>214</v>
      </c>
      <c r="G227" s="30">
        <f>SMALL('③回報計算FX調整'!$J$16:$J$265,214)</f>
        <v/>
      </c>
      <c r="H227" s="11" t="n"/>
      <c r="I227" s="11" t="n"/>
    </row>
    <row r="228">
      <c r="A228" s="5" t="n">
        <v>215</v>
      </c>
      <c r="B228" s="5" t="inlineStr">
        <is>
          <t>2024-11-12</t>
        </is>
      </c>
      <c r="C228" s="30">
        <f>'③回報計算FX調整'!J230</f>
        <v/>
      </c>
      <c r="D228" s="11" t="n"/>
      <c r="F228" s="5" t="n">
        <v>215</v>
      </c>
      <c r="G228" s="30">
        <f>SMALL('③回報計算FX調整'!$J$16:$J$265,215)</f>
        <v/>
      </c>
      <c r="H228" s="11" t="n"/>
      <c r="I228" s="11" t="n"/>
    </row>
    <row r="229">
      <c r="A229" s="5" t="n">
        <v>216</v>
      </c>
      <c r="B229" s="5" t="inlineStr">
        <is>
          <t>2024-11-13</t>
        </is>
      </c>
      <c r="C229" s="31">
        <f>'③回報計算FX調整'!J231</f>
        <v/>
      </c>
      <c r="D229" s="11" t="n"/>
      <c r="F229" s="5" t="n">
        <v>216</v>
      </c>
      <c r="G229" s="30">
        <f>SMALL('③回報計算FX調整'!$J$16:$J$265,216)</f>
        <v/>
      </c>
      <c r="H229" s="11" t="n"/>
      <c r="I229" s="11" t="n"/>
    </row>
    <row r="230">
      <c r="A230" s="5" t="n">
        <v>217</v>
      </c>
      <c r="B230" s="5" t="inlineStr">
        <is>
          <t>2024-11-14</t>
        </is>
      </c>
      <c r="C230" s="31">
        <f>'③回報計算FX調整'!J232</f>
        <v/>
      </c>
      <c r="D230" s="11" t="n"/>
      <c r="F230" s="5" t="n">
        <v>217</v>
      </c>
      <c r="G230" s="30">
        <f>SMALL('③回報計算FX調整'!$J$16:$J$265,217)</f>
        <v/>
      </c>
      <c r="H230" s="11" t="n"/>
      <c r="I230" s="11" t="n"/>
    </row>
    <row r="231">
      <c r="A231" s="5" t="n">
        <v>218</v>
      </c>
      <c r="B231" s="5" t="inlineStr">
        <is>
          <t>2024-11-15</t>
        </is>
      </c>
      <c r="C231" s="30">
        <f>'③回報計算FX調整'!J233</f>
        <v/>
      </c>
      <c r="D231" s="11" t="n"/>
      <c r="F231" s="5" t="n">
        <v>218</v>
      </c>
      <c r="G231" s="30">
        <f>SMALL('③回報計算FX調整'!$J$16:$J$265,218)</f>
        <v/>
      </c>
      <c r="H231" s="11" t="n"/>
      <c r="I231" s="11" t="n"/>
    </row>
    <row r="232">
      <c r="A232" s="5" t="n">
        <v>219</v>
      </c>
      <c r="B232" s="5" t="inlineStr">
        <is>
          <t>2024-11-18</t>
        </is>
      </c>
      <c r="C232" s="30">
        <f>'③回報計算FX調整'!J234</f>
        <v/>
      </c>
      <c r="D232" s="11" t="n"/>
      <c r="F232" s="5" t="n">
        <v>219</v>
      </c>
      <c r="G232" s="30">
        <f>SMALL('③回報計算FX調整'!$J$16:$J$265,219)</f>
        <v/>
      </c>
      <c r="H232" s="11" t="n"/>
      <c r="I232" s="11" t="n"/>
    </row>
    <row r="233">
      <c r="A233" s="5" t="n">
        <v>220</v>
      </c>
      <c r="B233" s="5" t="inlineStr">
        <is>
          <t>2024-11-19</t>
        </is>
      </c>
      <c r="C233" s="30">
        <f>'③回報計算FX調整'!J235</f>
        <v/>
      </c>
      <c r="D233" s="11" t="n"/>
      <c r="F233" s="5" t="n">
        <v>220</v>
      </c>
      <c r="G233" s="30">
        <f>SMALL('③回報計算FX調整'!$J$16:$J$265,220)</f>
        <v/>
      </c>
      <c r="H233" s="11" t="n"/>
      <c r="I233" s="11" t="n"/>
    </row>
    <row r="234">
      <c r="A234" s="5" t="n">
        <v>221</v>
      </c>
      <c r="B234" s="5" t="inlineStr">
        <is>
          <t>2024-11-20</t>
        </is>
      </c>
      <c r="C234" s="30">
        <f>'③回報計算FX調整'!J236</f>
        <v/>
      </c>
      <c r="D234" s="11" t="n"/>
      <c r="F234" s="5" t="n">
        <v>221</v>
      </c>
      <c r="G234" s="30">
        <f>SMALL('③回報計算FX調整'!$J$16:$J$265,221)</f>
        <v/>
      </c>
      <c r="H234" s="11" t="n"/>
      <c r="I234" s="11" t="n"/>
    </row>
    <row r="235">
      <c r="A235" s="5" t="n">
        <v>222</v>
      </c>
      <c r="B235" s="5" t="inlineStr">
        <is>
          <t>2024-11-21</t>
        </is>
      </c>
      <c r="C235" s="30">
        <f>'③回報計算FX調整'!J237</f>
        <v/>
      </c>
      <c r="D235" s="11" t="n"/>
      <c r="F235" s="5" t="n">
        <v>222</v>
      </c>
      <c r="G235" s="30">
        <f>SMALL('③回報計算FX調整'!$J$16:$J$265,222)</f>
        <v/>
      </c>
      <c r="H235" s="11" t="n"/>
      <c r="I235" s="11" t="n"/>
    </row>
    <row r="236">
      <c r="A236" s="5" t="n">
        <v>223</v>
      </c>
      <c r="B236" s="5" t="inlineStr">
        <is>
          <t>2024-11-22</t>
        </is>
      </c>
      <c r="C236" s="31">
        <f>'③回報計算FX調整'!J238</f>
        <v/>
      </c>
      <c r="D236" s="11" t="n"/>
      <c r="F236" s="5" t="n">
        <v>223</v>
      </c>
      <c r="G236" s="30">
        <f>SMALL('③回報計算FX調整'!$J$16:$J$265,223)</f>
        <v/>
      </c>
      <c r="H236" s="11" t="n"/>
      <c r="I236" s="11" t="n"/>
    </row>
    <row r="237">
      <c r="A237" s="5" t="n">
        <v>224</v>
      </c>
      <c r="B237" s="5" t="inlineStr">
        <is>
          <t>2024-11-25</t>
        </is>
      </c>
      <c r="C237" s="31">
        <f>'③回報計算FX調整'!J239</f>
        <v/>
      </c>
      <c r="D237" s="11" t="n"/>
      <c r="F237" s="5" t="n">
        <v>224</v>
      </c>
      <c r="G237" s="30">
        <f>SMALL('③回報計算FX調整'!$J$16:$J$265,224)</f>
        <v/>
      </c>
      <c r="H237" s="11" t="n"/>
      <c r="I237" s="11" t="n"/>
    </row>
    <row r="238">
      <c r="A238" s="5" t="n">
        <v>225</v>
      </c>
      <c r="B238" s="5" t="inlineStr">
        <is>
          <t>2024-11-26</t>
        </is>
      </c>
      <c r="C238" s="31">
        <f>'③回報計算FX調整'!J240</f>
        <v/>
      </c>
      <c r="D238" s="11" t="n"/>
      <c r="F238" s="5" t="n">
        <v>225</v>
      </c>
      <c r="G238" s="30">
        <f>SMALL('③回報計算FX調整'!$J$16:$J$265,225)</f>
        <v/>
      </c>
      <c r="H238" s="11" t="n"/>
      <c r="I238" s="11" t="n"/>
    </row>
    <row r="239">
      <c r="A239" s="5" t="n">
        <v>226</v>
      </c>
      <c r="B239" s="5" t="inlineStr">
        <is>
          <t>2024-11-27</t>
        </is>
      </c>
      <c r="C239" s="31">
        <f>'③回報計算FX調整'!J241</f>
        <v/>
      </c>
      <c r="D239" s="11" t="n"/>
      <c r="F239" s="5" t="n">
        <v>226</v>
      </c>
      <c r="G239" s="30">
        <f>SMALL('③回報計算FX調整'!$J$16:$J$265,226)</f>
        <v/>
      </c>
      <c r="H239" s="11" t="n"/>
      <c r="I239" s="11" t="n"/>
    </row>
    <row r="240">
      <c r="A240" s="5" t="n">
        <v>227</v>
      </c>
      <c r="B240" s="5" t="inlineStr">
        <is>
          <t>2024-11-28</t>
        </is>
      </c>
      <c r="C240" s="31">
        <f>'③回報計算FX調整'!J242</f>
        <v/>
      </c>
      <c r="D240" s="11" t="n"/>
      <c r="F240" s="5" t="n">
        <v>227</v>
      </c>
      <c r="G240" s="30">
        <f>SMALL('③回報計算FX調整'!$J$16:$J$265,227)</f>
        <v/>
      </c>
      <c r="H240" s="11" t="n"/>
      <c r="I240" s="11" t="n"/>
    </row>
    <row r="241">
      <c r="A241" s="5" t="n">
        <v>228</v>
      </c>
      <c r="B241" s="5" t="inlineStr">
        <is>
          <t>2024-11-29</t>
        </is>
      </c>
      <c r="C241" s="30">
        <f>'③回報計算FX調整'!J243</f>
        <v/>
      </c>
      <c r="D241" s="11" t="n"/>
      <c r="F241" s="5" t="n">
        <v>228</v>
      </c>
      <c r="G241" s="30">
        <f>SMALL('③回報計算FX調整'!$J$16:$J$265,228)</f>
        <v/>
      </c>
      <c r="H241" s="11" t="n"/>
      <c r="I241" s="11" t="n"/>
    </row>
    <row r="242">
      <c r="A242" s="5" t="n">
        <v>229</v>
      </c>
      <c r="B242" s="5" t="inlineStr">
        <is>
          <t>2024-12-02</t>
        </is>
      </c>
      <c r="C242" s="31">
        <f>'③回報計算FX調整'!J244</f>
        <v/>
      </c>
      <c r="D242" s="11" t="n"/>
      <c r="F242" s="5" t="n">
        <v>229</v>
      </c>
      <c r="G242" s="30">
        <f>SMALL('③回報計算FX調整'!$J$16:$J$265,229)</f>
        <v/>
      </c>
      <c r="H242" s="11" t="n"/>
      <c r="I242" s="11" t="n"/>
    </row>
    <row r="243">
      <c r="A243" s="5" t="n">
        <v>230</v>
      </c>
      <c r="B243" s="5" t="inlineStr">
        <is>
          <t>2024-12-03</t>
        </is>
      </c>
      <c r="C243" s="31">
        <f>'③回報計算FX調整'!J245</f>
        <v/>
      </c>
      <c r="D243" s="11" t="n"/>
      <c r="F243" s="5" t="n">
        <v>230</v>
      </c>
      <c r="G243" s="30">
        <f>SMALL('③回報計算FX調整'!$J$16:$J$265,230)</f>
        <v/>
      </c>
      <c r="H243" s="11" t="n"/>
      <c r="I243" s="11" t="n"/>
    </row>
    <row r="244">
      <c r="A244" s="5" t="n">
        <v>231</v>
      </c>
      <c r="B244" s="5" t="inlineStr">
        <is>
          <t>2024-12-04</t>
        </is>
      </c>
      <c r="C244" s="31">
        <f>'③回報計算FX調整'!J246</f>
        <v/>
      </c>
      <c r="D244" s="11" t="n"/>
      <c r="F244" s="5" t="n">
        <v>231</v>
      </c>
      <c r="G244" s="30">
        <f>SMALL('③回報計算FX調整'!$J$16:$J$265,231)</f>
        <v/>
      </c>
      <c r="H244" s="11" t="n"/>
      <c r="I244" s="11" t="n"/>
    </row>
    <row r="245">
      <c r="A245" s="5" t="n">
        <v>232</v>
      </c>
      <c r="B245" s="5" t="inlineStr">
        <is>
          <t>2024-12-05</t>
        </is>
      </c>
      <c r="C245" s="31">
        <f>'③回報計算FX調整'!J247</f>
        <v/>
      </c>
      <c r="D245" s="11" t="n"/>
      <c r="F245" s="5" t="n">
        <v>232</v>
      </c>
      <c r="G245" s="30">
        <f>SMALL('③回報計算FX調整'!$J$16:$J$265,232)</f>
        <v/>
      </c>
      <c r="H245" s="11" t="n"/>
      <c r="I245" s="11" t="n"/>
    </row>
    <row r="246">
      <c r="A246" s="5" t="n">
        <v>233</v>
      </c>
      <c r="B246" s="5" t="inlineStr">
        <is>
          <t>2024-12-06</t>
        </is>
      </c>
      <c r="C246" s="30">
        <f>'③回報計算FX調整'!J248</f>
        <v/>
      </c>
      <c r="D246" s="11" t="n"/>
      <c r="F246" s="5" t="n">
        <v>233</v>
      </c>
      <c r="G246" s="30">
        <f>SMALL('③回報計算FX調整'!$J$16:$J$265,233)</f>
        <v/>
      </c>
      <c r="H246" s="11" t="n"/>
      <c r="I246" s="11" t="n"/>
    </row>
    <row r="247">
      <c r="A247" s="5" t="n">
        <v>234</v>
      </c>
      <c r="B247" s="5" t="inlineStr">
        <is>
          <t>2024-12-09</t>
        </is>
      </c>
      <c r="C247" s="31">
        <f>'③回報計算FX調整'!J249</f>
        <v/>
      </c>
      <c r="D247" s="11" t="n"/>
      <c r="F247" s="5" t="n">
        <v>234</v>
      </c>
      <c r="G247" s="30">
        <f>SMALL('③回報計算FX調整'!$J$16:$J$265,234)</f>
        <v/>
      </c>
      <c r="H247" s="11" t="n"/>
      <c r="I247" s="11" t="n"/>
    </row>
    <row r="248">
      <c r="A248" s="5" t="n">
        <v>235</v>
      </c>
      <c r="B248" s="5" t="inlineStr">
        <is>
          <t>2024-12-10</t>
        </is>
      </c>
      <c r="C248" s="31">
        <f>'③回報計算FX調整'!J250</f>
        <v/>
      </c>
      <c r="D248" s="11" t="n"/>
      <c r="F248" s="5" t="n">
        <v>235</v>
      </c>
      <c r="G248" s="30">
        <f>SMALL('③回報計算FX調整'!$J$16:$J$265,235)</f>
        <v/>
      </c>
      <c r="H248" s="11" t="n"/>
      <c r="I248" s="11" t="n"/>
    </row>
    <row r="249">
      <c r="A249" s="5" t="n">
        <v>236</v>
      </c>
      <c r="B249" s="5" t="inlineStr">
        <is>
          <t>2024-12-11</t>
        </is>
      </c>
      <c r="C249" s="30">
        <f>'③回報計算FX調整'!J251</f>
        <v/>
      </c>
      <c r="D249" s="11" t="n"/>
      <c r="F249" s="5" t="n">
        <v>236</v>
      </c>
      <c r="G249" s="30">
        <f>SMALL('③回報計算FX調整'!$J$16:$J$265,236)</f>
        <v/>
      </c>
      <c r="H249" s="11" t="n"/>
      <c r="I249" s="11" t="n"/>
    </row>
    <row r="250">
      <c r="A250" s="5" t="n">
        <v>237</v>
      </c>
      <c r="B250" s="5" t="inlineStr">
        <is>
          <t>2024-12-12</t>
        </is>
      </c>
      <c r="C250" s="31">
        <f>'③回報計算FX調整'!J252</f>
        <v/>
      </c>
      <c r="D250" s="11" t="n"/>
      <c r="F250" s="5" t="n">
        <v>237</v>
      </c>
      <c r="G250" s="30">
        <f>SMALL('③回報計算FX調整'!$J$16:$J$265,237)</f>
        <v/>
      </c>
      <c r="H250" s="11" t="n"/>
      <c r="I250" s="11" t="n"/>
    </row>
    <row r="251">
      <c r="A251" s="5" t="n">
        <v>238</v>
      </c>
      <c r="B251" s="5" t="inlineStr">
        <is>
          <t>2024-12-13</t>
        </is>
      </c>
      <c r="C251" s="31">
        <f>'③回報計算FX調整'!J253</f>
        <v/>
      </c>
      <c r="D251" s="11" t="n"/>
      <c r="F251" s="5" t="n">
        <v>238</v>
      </c>
      <c r="G251" s="30">
        <f>SMALL('③回報計算FX調整'!$J$16:$J$265,238)</f>
        <v/>
      </c>
      <c r="H251" s="11" t="n"/>
      <c r="I251" s="11" t="n"/>
    </row>
    <row r="252">
      <c r="A252" s="5" t="n">
        <v>239</v>
      </c>
      <c r="B252" s="5" t="inlineStr">
        <is>
          <t>2024-12-16</t>
        </is>
      </c>
      <c r="C252" s="30">
        <f>'③回報計算FX調整'!J254</f>
        <v/>
      </c>
      <c r="D252" s="11" t="n"/>
      <c r="F252" s="5" t="n">
        <v>239</v>
      </c>
      <c r="G252" s="30">
        <f>SMALL('③回報計算FX調整'!$J$16:$J$265,239)</f>
        <v/>
      </c>
      <c r="H252" s="11" t="n"/>
      <c r="I252" s="11" t="n"/>
    </row>
    <row r="253">
      <c r="A253" s="5" t="n">
        <v>240</v>
      </c>
      <c r="B253" s="5" t="inlineStr">
        <is>
          <t>2024-12-17</t>
        </is>
      </c>
      <c r="C253" s="31">
        <f>'③回報計算FX調整'!J255</f>
        <v/>
      </c>
      <c r="D253" s="11" t="n"/>
      <c r="F253" s="5" t="n">
        <v>240</v>
      </c>
      <c r="G253" s="30">
        <f>SMALL('③回報計算FX調整'!$J$16:$J$265,240)</f>
        <v/>
      </c>
      <c r="H253" s="11" t="n"/>
      <c r="I253" s="11" t="n"/>
    </row>
    <row r="254">
      <c r="A254" s="5" t="n">
        <v>241</v>
      </c>
      <c r="B254" s="5" t="inlineStr">
        <is>
          <t>2024-12-18</t>
        </is>
      </c>
      <c r="C254" s="31">
        <f>'③回報計算FX調整'!J256</f>
        <v/>
      </c>
      <c r="D254" s="11" t="n"/>
      <c r="F254" s="5" t="n">
        <v>241</v>
      </c>
      <c r="G254" s="30">
        <f>SMALL('③回報計算FX調整'!$J$16:$J$265,241)</f>
        <v/>
      </c>
      <c r="H254" s="11" t="n"/>
      <c r="I254" s="11" t="n"/>
    </row>
    <row r="255">
      <c r="A255" s="5" t="n">
        <v>242</v>
      </c>
      <c r="B255" s="5" t="inlineStr">
        <is>
          <t>2024-12-19</t>
        </is>
      </c>
      <c r="C255" s="31">
        <f>'③回報計算FX調整'!J257</f>
        <v/>
      </c>
      <c r="D255" s="11" t="n"/>
      <c r="F255" s="5" t="n">
        <v>242</v>
      </c>
      <c r="G255" s="30">
        <f>SMALL('③回報計算FX調整'!$J$16:$J$265,242)</f>
        <v/>
      </c>
      <c r="H255" s="11" t="n"/>
      <c r="I255" s="11" t="n"/>
    </row>
    <row r="256">
      <c r="A256" s="5" t="n">
        <v>243</v>
      </c>
      <c r="B256" s="5" t="inlineStr">
        <is>
          <t>2024-12-20</t>
        </is>
      </c>
      <c r="C256" s="31">
        <f>'③回報計算FX調整'!J258</f>
        <v/>
      </c>
      <c r="D256" s="11" t="n"/>
      <c r="F256" s="5" t="n">
        <v>243</v>
      </c>
      <c r="G256" s="30">
        <f>SMALL('③回報計算FX調整'!$J$16:$J$265,243)</f>
        <v/>
      </c>
      <c r="H256" s="11" t="n"/>
      <c r="I256" s="11" t="n"/>
    </row>
    <row r="257">
      <c r="A257" s="5" t="n">
        <v>244</v>
      </c>
      <c r="B257" s="5" t="inlineStr">
        <is>
          <t>2024-12-23</t>
        </is>
      </c>
      <c r="C257" s="30">
        <f>'③回報計算FX調整'!J259</f>
        <v/>
      </c>
      <c r="D257" s="11" t="n"/>
      <c r="F257" s="5" t="n">
        <v>244</v>
      </c>
      <c r="G257" s="30">
        <f>SMALL('③回報計算FX調整'!$J$16:$J$265,244)</f>
        <v/>
      </c>
      <c r="H257" s="11" t="n"/>
      <c r="I257" s="11" t="n"/>
    </row>
    <row r="258">
      <c r="A258" s="5" t="n">
        <v>245</v>
      </c>
      <c r="B258" s="5" t="inlineStr">
        <is>
          <t>2024-12-24</t>
        </is>
      </c>
      <c r="C258" s="31">
        <f>'③回報計算FX調整'!J260</f>
        <v/>
      </c>
      <c r="D258" s="11" t="n"/>
      <c r="F258" s="5" t="n">
        <v>245</v>
      </c>
      <c r="G258" s="30">
        <f>SMALL('③回報計算FX調整'!$J$16:$J$265,245)</f>
        <v/>
      </c>
      <c r="H258" s="11" t="n"/>
      <c r="I258" s="11" t="n"/>
    </row>
    <row r="259">
      <c r="A259" s="5" t="n">
        <v>246</v>
      </c>
      <c r="B259" s="5" t="inlineStr">
        <is>
          <t>2024-12-25</t>
        </is>
      </c>
      <c r="C259" s="30">
        <f>'③回報計算FX調整'!J261</f>
        <v/>
      </c>
      <c r="D259" s="11" t="n"/>
      <c r="F259" s="5" t="n">
        <v>246</v>
      </c>
      <c r="G259" s="30">
        <f>SMALL('③回報計算FX調整'!$J$16:$J$265,246)</f>
        <v/>
      </c>
      <c r="H259" s="11" t="n"/>
      <c r="I259" s="11" t="n"/>
    </row>
    <row r="260">
      <c r="A260" s="5" t="n">
        <v>247</v>
      </c>
      <c r="B260" s="5" t="inlineStr">
        <is>
          <t>2024-12-26</t>
        </is>
      </c>
      <c r="C260" s="31">
        <f>'③回報計算FX調整'!J262</f>
        <v/>
      </c>
      <c r="D260" s="11" t="n"/>
      <c r="F260" s="5" t="n">
        <v>247</v>
      </c>
      <c r="G260" s="30">
        <f>SMALL('③回報計算FX調整'!$J$16:$J$265,247)</f>
        <v/>
      </c>
      <c r="H260" s="11" t="n"/>
      <c r="I260" s="11" t="n"/>
    </row>
    <row r="261">
      <c r="A261" s="5" t="n">
        <v>248</v>
      </c>
      <c r="B261" s="5" t="inlineStr">
        <is>
          <t>2024-12-27</t>
        </is>
      </c>
      <c r="C261" s="30">
        <f>'③回報計算FX調整'!J263</f>
        <v/>
      </c>
      <c r="D261" s="11" t="n"/>
      <c r="F261" s="5" t="n">
        <v>248</v>
      </c>
      <c r="G261" s="30">
        <f>SMALL('③回報計算FX調整'!$J$16:$J$265,248)</f>
        <v/>
      </c>
      <c r="H261" s="11" t="n"/>
      <c r="I261" s="11" t="n"/>
    </row>
    <row r="262">
      <c r="A262" s="5" t="n">
        <v>249</v>
      </c>
      <c r="B262" s="5" t="inlineStr">
        <is>
          <t>2024-12-30</t>
        </is>
      </c>
      <c r="C262" s="30">
        <f>'③回報計算FX調整'!J264</f>
        <v/>
      </c>
      <c r="D262" s="11" t="n"/>
      <c r="F262" s="5" t="n">
        <v>249</v>
      </c>
      <c r="G262" s="30">
        <f>SMALL('③回報計算FX調整'!$J$16:$J$265,249)</f>
        <v/>
      </c>
      <c r="H262" s="11" t="n"/>
      <c r="I262" s="11" t="n"/>
    </row>
    <row r="263">
      <c r="A263" s="5" t="n">
        <v>250</v>
      </c>
      <c r="B263" s="5" t="inlineStr">
        <is>
          <t>2024-12-31</t>
        </is>
      </c>
      <c r="C263" s="31">
        <f>'③回報計算FX調整'!J265</f>
        <v/>
      </c>
      <c r="D263" s="11" t="n"/>
      <c r="F263" s="5" t="n">
        <v>250</v>
      </c>
      <c r="G263" s="30">
        <f>SMALL('③回報計算FX調整'!$J$16:$J$265,250)</f>
        <v/>
      </c>
      <c r="H263" s="11" t="n"/>
      <c r="I263" s="11" t="n"/>
    </row>
    <row r="264"/>
    <row r="265"/>
    <row r="266">
      <c r="A266" s="2" t="inlineStr">
        <is>
          <t>▌ HS 計算結果（黃色格為公式，可點入驗證）</t>
        </is>
      </c>
    </row>
    <row r="267">
      <c r="A267" s="41" t="inlineStr">
        <is>
          <t>HS VaR（99%，1日，TWD）</t>
        </is>
      </c>
      <c r="B267" s="42">
        <f>-SMALL('③回報計算FX調整'!$J$16:$J$265,3)</f>
        <v/>
      </c>
    </row>
    <row r="268">
      <c r="A268" s="41" t="inlineStr">
        <is>
          <t>HS CVaR（TWD）</t>
        </is>
      </c>
      <c r="B268" s="42">
        <f>-(SMALL('③回報計算FX調整'!$J$16:$J$265,1)+SMALL('③回報計算FX調整'!$J$16:$J$265,2))/2</f>
        <v/>
      </c>
    </row>
    <row r="269">
      <c r="A269" s="41" t="inlineStr">
        <is>
          <t>CVaR / VaR 倍數</t>
        </is>
      </c>
      <c r="B269" s="43">
        <f>B268/B267</f>
        <v/>
      </c>
    </row>
    <row r="270">
      <c r="A270" s="41" t="inlineStr">
        <is>
          <t>組合市值（TWD）</t>
        </is>
      </c>
      <c r="B270" s="44" t="n">
        <v>1909957</v>
      </c>
    </row>
    <row r="271">
      <c r="A271" s="41" t="inlineStr">
        <is>
          <t>VaR %（占市值）</t>
        </is>
      </c>
      <c r="B271" s="45">
        <f>B267/B270</f>
        <v/>
      </c>
    </row>
    <row r="272"/>
    <row r="273"/>
    <row r="274">
      <c r="A274" s="2" t="inlineStr">
        <is>
          <t>▌ Component VaR（HS）</t>
        </is>
      </c>
    </row>
    <row r="275">
      <c r="A275" s="46" t="inlineStr">
        <is>
          <t>資產</t>
        </is>
      </c>
      <c r="B275" s="46" t="inlineStr">
        <is>
          <t>Component VaR(TWD)</t>
        </is>
      </c>
      <c r="C275" s="46" t="inlineStr">
        <is>
          <t>Component CVaR(TWD)</t>
        </is>
      </c>
      <c r="D275" s="46" t="inlineStr">
        <is>
          <t>風險貢獻%</t>
        </is>
      </c>
    </row>
    <row r="276">
      <c r="A276" s="26" t="inlineStr">
        <is>
          <t>台積電(2330.TW)</t>
        </is>
      </c>
      <c r="B276" s="47" t="n">
        <v>37369.67</v>
      </c>
      <c r="C276" s="47" t="n">
        <v>41571.69</v>
      </c>
      <c r="D276" s="48" t="n">
        <v>0.7086</v>
      </c>
    </row>
    <row r="277">
      <c r="A277" s="26" t="inlineStr">
        <is>
          <t>AAPL</t>
        </is>
      </c>
      <c r="B277" s="47" t="n">
        <v>37181.89</v>
      </c>
      <c r="C277" s="47" t="n">
        <v>44118.91</v>
      </c>
      <c r="D277" s="48" t="n">
        <v>0.7050999999999999</v>
      </c>
    </row>
    <row r="278">
      <c r="A278" s="26" t="inlineStr">
        <is>
          <t>三星(005930.KS)</t>
        </is>
      </c>
      <c r="B278" s="47" t="n">
        <v>598.8200000000001</v>
      </c>
      <c r="C278" s="47" t="n">
        <v>677.3099999999999</v>
      </c>
      <c r="D278" s="48" t="n">
        <v>0.0114</v>
      </c>
    </row>
    <row r="279"/>
    <row r="280">
      <c r="A280" s="14" t="inlineStr">
        <is>
          <t>HS VaR（Python 驗算）= 52,735.26 TWD，CVaR = 68,722.30 TWD。注意：HS Component VaR 各資產獨立分位數加總 ≠ 組合 VaR。</t>
        </is>
      </c>
    </row>
  </sheetData>
  <mergeCells count="14">
    <mergeCell ref="B9:I9"/>
    <mergeCell ref="A1:J1"/>
    <mergeCell ref="A266:L266"/>
    <mergeCell ref="A274:L274"/>
    <mergeCell ref="B7:I7"/>
    <mergeCell ref="B6:I6"/>
    <mergeCell ref="A11:L11"/>
    <mergeCell ref="A12:D12"/>
    <mergeCell ref="A280:K280"/>
    <mergeCell ref="F12:I12"/>
    <mergeCell ref="B5:I5"/>
    <mergeCell ref="A3:L3"/>
    <mergeCell ref="B8:I8"/>
    <mergeCell ref="B4: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8.4" customWidth="1" min="3" max="3"/>
    <col width="16.1" customWidth="1" min="4" max="4"/>
    <col width="14.95" customWidth="1" min="5" max="5"/>
    <col width="16.1" customWidth="1" min="6" max="6"/>
    <col width="13.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inlineStr">
        <is>
          <t>步驟三（Parametric）：Delta-Normal VaR 逐步計算</t>
        </is>
      </c>
    </row>
    <row r="2"/>
    <row r="3">
      <c r="A3" s="2" t="inlineStr">
        <is>
          <t>▌ 方法說明 &amp; 公式</t>
        </is>
      </c>
    </row>
    <row r="4">
      <c r="A4" s="34" t="inlineStr">
        <is>
          <t>Step 1</t>
        </is>
      </c>
      <c r="B4" s="26" t="inlineStr">
        <is>
          <t>計算 FX 調整後回報的樣本共變異數矩陣 Σ（基於 T=250 筆回報）</t>
        </is>
      </c>
    </row>
    <row r="5">
      <c r="A5" s="34" t="inlineStr">
        <is>
          <t>Step 2</t>
        </is>
      </c>
      <c r="B5" s="26" t="inlineStr">
        <is>
          <t>組合方差：σ²_P = w'Σw，w = TWD 市值向量</t>
        </is>
      </c>
    </row>
    <row r="6">
      <c r="A6" s="34" t="inlineStr">
        <is>
          <t>Step 3</t>
        </is>
      </c>
      <c r="B6" s="26" t="inlineStr">
        <is>
          <t>組合日標準差：σ_P = √(w'Σw) = 29,631.2436 TWD</t>
        </is>
      </c>
    </row>
    <row r="7">
      <c r="A7" s="34" t="inlineStr">
        <is>
          <t>Step 4</t>
        </is>
      </c>
      <c r="B7" s="26" t="inlineStr">
        <is>
          <t>z_α = NORM.S.INV(0.99) = 2.326348</t>
        </is>
      </c>
    </row>
    <row r="8">
      <c r="A8" s="34" t="inlineStr">
        <is>
          <t>Step 5</t>
        </is>
      </c>
      <c r="B8" s="26" t="inlineStr">
        <is>
          <t>VaR = z_α × σ_P = 2.3263 × 29,631.2436 = 68,932.58 TWD</t>
        </is>
      </c>
    </row>
    <row r="9">
      <c r="A9" s="34" t="inlineStr">
        <is>
          <t>Step 6</t>
        </is>
      </c>
      <c r="B9" s="26" t="inlineStr">
        <is>
          <t>CVaR = φ(z_α)/(1-α) × σ_P = 0.026652/0.01 × 29,631.2436 = 78,973.61 TWD</t>
        </is>
      </c>
    </row>
    <row r="10">
      <c r="A10" s="34" t="inlineStr">
        <is>
          <t>Step 7</t>
        </is>
      </c>
      <c r="B10" s="26" t="inlineStr">
        <is>
          <t>Component VaR_i = w_i × (Σw)_i / σ_P × z_α  ← 精確可加分解</t>
        </is>
      </c>
    </row>
    <row r="11">
      <c r="A11" s="35" t="inlineStr">
        <is>
          <t>驗證</t>
        </is>
      </c>
      <c r="B11" s="26" t="inlineStr">
        <is>
          <t>Σ Component VaR_i = Portfolio VaR（代數精確，見下方驗證列）</t>
        </is>
      </c>
    </row>
    <row r="12"/>
    <row r="13">
      <c r="A13" s="2" t="inlineStr">
        <is>
          <t>▌ 共變異數矩陣 Σ（樣本）</t>
        </is>
      </c>
    </row>
    <row r="14">
      <c r="A14" s="46" t="inlineStr"/>
      <c r="B14" s="46" t="inlineStr">
        <is>
          <t>台積電(2330.TW)</t>
        </is>
      </c>
      <c r="C14" s="46" t="inlineStr">
        <is>
          <t>AAPL</t>
        </is>
      </c>
      <c r="D14" s="46" t="inlineStr">
        <is>
          <t>三星(005930.KS)</t>
        </is>
      </c>
    </row>
    <row r="15">
      <c r="A15" s="41" t="inlineStr">
        <is>
          <t>台積電(2330.TW)</t>
        </is>
      </c>
      <c r="B15" s="49" t="n">
        <v>0.0003860204</v>
      </c>
      <c r="C15" s="50" t="n">
        <v>0.000111121</v>
      </c>
      <c r="D15" s="50" t="n">
        <v>5.3999e-05</v>
      </c>
    </row>
    <row r="16">
      <c r="A16" s="41" t="inlineStr">
        <is>
          <t>AAPL</t>
        </is>
      </c>
      <c r="B16" s="50" t="n">
        <v>0.000111121</v>
      </c>
      <c r="C16" s="49" t="n">
        <v>0.0003619692</v>
      </c>
      <c r="D16" s="50" t="n">
        <v>9.02743e-05</v>
      </c>
    </row>
    <row r="17">
      <c r="A17" s="41" t="inlineStr">
        <is>
          <t>三星(005930.KS)</t>
        </is>
      </c>
      <c r="B17" s="50" t="n">
        <v>5.3999e-05</v>
      </c>
      <c r="C17" s="50" t="n">
        <v>9.02743e-05</v>
      </c>
      <c r="D17" s="49" t="n">
        <v>0.0004823625</v>
      </c>
    </row>
    <row r="18"/>
    <row r="19">
      <c r="A19" s="2" t="inlineStr">
        <is>
          <t>▌ 相關係數矩陣 ρ</t>
        </is>
      </c>
    </row>
    <row r="20">
      <c r="A20" s="46" t="inlineStr"/>
      <c r="B20" s="46" t="inlineStr">
        <is>
          <t>台積電(2330.TW)</t>
        </is>
      </c>
      <c r="C20" s="46" t="inlineStr">
        <is>
          <t>AAPL</t>
        </is>
      </c>
      <c r="D20" s="46" t="inlineStr">
        <is>
          <t>三星(005930.KS)</t>
        </is>
      </c>
    </row>
    <row r="21">
      <c r="A21" s="41" t="inlineStr">
        <is>
          <t>台積電(2330.TW)</t>
        </is>
      </c>
      <c r="B21" s="51" t="n">
        <v>1</v>
      </c>
      <c r="C21" s="52" t="n">
        <v>0.2973</v>
      </c>
      <c r="D21" s="52" t="n">
        <v>0.1251</v>
      </c>
    </row>
    <row r="22">
      <c r="A22" s="41" t="inlineStr">
        <is>
          <t>AAPL</t>
        </is>
      </c>
      <c r="B22" s="52" t="n">
        <v>0.2973</v>
      </c>
      <c r="C22" s="51" t="n">
        <v>1</v>
      </c>
      <c r="D22" s="52" t="n">
        <v>0.216</v>
      </c>
    </row>
    <row r="23">
      <c r="A23" s="41" t="inlineStr">
        <is>
          <t>三星(005930.KS)</t>
        </is>
      </c>
      <c r="B23" s="52" t="n">
        <v>0.1251</v>
      </c>
      <c r="C23" s="52" t="n">
        <v>0.216</v>
      </c>
      <c r="D23" s="51" t="n">
        <v>1</v>
      </c>
    </row>
    <row r="24"/>
    <row r="25">
      <c r="A25" s="2" t="inlineStr">
        <is>
          <t>▌ σ_P 計算步驟（w'Σw）</t>
        </is>
      </c>
    </row>
    <row r="26">
      <c r="A26" s="46" t="inlineStr">
        <is>
          <t>資產</t>
        </is>
      </c>
      <c r="B26" s="46" t="inlineStr">
        <is>
          <t>w（TWD 市值）</t>
        </is>
      </c>
      <c r="C26" s="46" t="inlineStr">
        <is>
          <t>Σw（= Σ×w 第 i 元素）</t>
        </is>
      </c>
      <c r="D26" s="46" t="inlineStr">
        <is>
          <t>w_i × (Σw)_i</t>
        </is>
      </c>
      <c r="E26" s="46" t="inlineStr">
        <is>
          <t>加總 = σ²_P</t>
        </is>
      </c>
      <c r="F26" s="46" t="inlineStr"/>
    </row>
    <row r="27">
      <c r="A27" s="26" t="inlineStr">
        <is>
          <t>台積電(2330.TW)</t>
        </is>
      </c>
      <c r="B27" s="53" t="n">
        <v>858340</v>
      </c>
      <c r="C27" s="54" t="n">
        <v>447.564085</v>
      </c>
      <c r="D27" s="55" t="n">
        <v>384162064.6005</v>
      </c>
    </row>
    <row r="28">
      <c r="A28" s="26" t="inlineStr">
        <is>
          <t>AAPL</t>
        </is>
      </c>
      <c r="B28" s="53" t="n">
        <v>1040599</v>
      </c>
      <c r="C28" s="54" t="n">
        <v>473.039173</v>
      </c>
      <c r="D28" s="55" t="n">
        <v>492244298.6819</v>
      </c>
    </row>
    <row r="29">
      <c r="A29" s="26" t="inlineStr">
        <is>
          <t>三星(005930.KS)</t>
        </is>
      </c>
      <c r="B29" s="53" t="n">
        <v>11018</v>
      </c>
      <c r="C29" s="54" t="n">
        <v>145.603404</v>
      </c>
      <c r="D29" s="55" t="n">
        <v>1604231.347</v>
      </c>
    </row>
    <row r="30">
      <c r="A30" s="32" t="inlineStr">
        <is>
          <t>加總 = σ²_P</t>
        </is>
      </c>
      <c r="D30" s="56" t="n">
        <v>878010594.6295</v>
      </c>
    </row>
    <row r="31">
      <c r="A31" s="32" t="inlineStr">
        <is>
          <t>√σ²_P = σ_P (TWD)</t>
        </is>
      </c>
      <c r="D31" s="56" t="n">
        <v>29631.2436</v>
      </c>
    </row>
    <row r="32"/>
    <row r="33">
      <c r="A33" s="2" t="inlineStr">
        <is>
          <t>▌ Parametric 計算結果</t>
        </is>
      </c>
    </row>
    <row r="34">
      <c r="A34" s="46" t="inlineStr">
        <is>
          <t>項目</t>
        </is>
      </c>
      <c r="B34" s="46" t="inlineStr">
        <is>
          <t>公式</t>
        </is>
      </c>
      <c r="C34" s="46" t="inlineStr">
        <is>
          <t>數值</t>
        </is>
      </c>
    </row>
    <row r="35">
      <c r="A35" s="41" t="inlineStr">
        <is>
          <t>z_α</t>
        </is>
      </c>
      <c r="B35" s="26" t="inlineStr">
        <is>
          <t>NORM.S.INV(0.99)</t>
        </is>
      </c>
      <c r="C35" s="57" t="n">
        <v>2.326348</v>
      </c>
    </row>
    <row r="36">
      <c r="A36" s="41" t="inlineStr">
        <is>
          <t>σ_P（日，TWD）</t>
        </is>
      </c>
      <c r="B36" s="26" t="inlineStr">
        <is>
          <t>√(w'Σw)</t>
        </is>
      </c>
      <c r="C36" s="57" t="n">
        <v>29631.2436</v>
      </c>
    </row>
    <row r="37">
      <c r="A37" s="41" t="inlineStr">
        <is>
          <t>VaR（TWD）</t>
        </is>
      </c>
      <c r="B37" s="26" t="inlineStr">
        <is>
          <t>z_α × σ_P</t>
        </is>
      </c>
      <c r="C37" s="57" t="n">
        <v>68932.58</v>
      </c>
    </row>
    <row r="38">
      <c r="A38" s="41" t="inlineStr">
        <is>
          <t>CVaR（TWD）</t>
        </is>
      </c>
      <c r="B38" s="26" t="inlineStr">
        <is>
          <t>φ(z_α)/(1-α) × σ_P</t>
        </is>
      </c>
      <c r="C38" s="57" t="n">
        <v>78973.61</v>
      </c>
    </row>
    <row r="39">
      <c r="A39" s="41" t="inlineStr">
        <is>
          <t>VaR%</t>
        </is>
      </c>
      <c r="B39" s="26" t="inlineStr">
        <is>
          <t>VaR / 組合市值</t>
        </is>
      </c>
      <c r="C39" s="58" t="n">
        <v>0.036091</v>
      </c>
    </row>
    <row r="40">
      <c r="A40" s="41" t="inlineStr">
        <is>
          <t>CVaR/VaR</t>
        </is>
      </c>
      <c r="B40" s="26" t="inlineStr">
        <is>
          <t>CVaR / VaR</t>
        </is>
      </c>
      <c r="C40" s="57" t="n">
        <v>1.145665</v>
      </c>
    </row>
    <row r="41"/>
    <row r="42">
      <c r="A42" s="2" t="inlineStr">
        <is>
          <t>▌ Component VaR（精確可加分解驗證）</t>
        </is>
      </c>
    </row>
    <row r="43">
      <c r="A43" s="46" t="inlineStr">
        <is>
          <t>資產</t>
        </is>
      </c>
      <c r="B43" s="46" t="inlineStr">
        <is>
          <t>w_i (TWD)</t>
        </is>
      </c>
      <c r="C43" s="46" t="inlineStr">
        <is>
          <t>(Σw)_i/σ_P</t>
        </is>
      </c>
      <c r="D43" s="46" t="inlineStr">
        <is>
          <t>Marginal VaR</t>
        </is>
      </c>
      <c r="E43" s="46" t="inlineStr">
        <is>
          <t>Component VaR</t>
        </is>
      </c>
      <c r="F43" s="46" t="inlineStr">
        <is>
          <t>Component CVaR</t>
        </is>
      </c>
      <c r="G43" s="46" t="inlineStr">
        <is>
          <t>風險貢獻%</t>
        </is>
      </c>
    </row>
    <row r="44">
      <c r="A44" s="26" t="inlineStr">
        <is>
          <t>台積電(2330.TW)</t>
        </is>
      </c>
      <c r="B44" s="53" t="n">
        <v>858340</v>
      </c>
      <c r="C44" s="59" t="n">
        <v>0.01510447</v>
      </c>
      <c r="D44" s="59" t="n">
        <v>0.03513824</v>
      </c>
      <c r="E44" s="60" t="n">
        <v>30160.55</v>
      </c>
      <c r="F44" s="47" t="n">
        <v>34553.87</v>
      </c>
      <c r="G44" s="48" t="n">
        <v>0.4375</v>
      </c>
    </row>
    <row r="45">
      <c r="A45" s="26" t="inlineStr">
        <is>
          <t>AAPL</t>
        </is>
      </c>
      <c r="B45" s="53" t="n">
        <v>1040599</v>
      </c>
      <c r="C45" s="59" t="n">
        <v>0.0159642</v>
      </c>
      <c r="D45" s="59" t="n">
        <v>0.03713829</v>
      </c>
      <c r="E45" s="60" t="n">
        <v>38646.08</v>
      </c>
      <c r="F45" s="47" t="n">
        <v>44275.45</v>
      </c>
      <c r="G45" s="48" t="n">
        <v>0.5606</v>
      </c>
    </row>
    <row r="46">
      <c r="A46" s="26" t="inlineStr">
        <is>
          <t>三星(005930.KS)</t>
        </is>
      </c>
      <c r="B46" s="53" t="n">
        <v>11018</v>
      </c>
      <c r="C46" s="59" t="n">
        <v>0.00491385</v>
      </c>
      <c r="D46" s="59" t="n">
        <v>0.01143132</v>
      </c>
      <c r="E46" s="60" t="n">
        <v>125.95</v>
      </c>
      <c r="F46" s="47" t="n">
        <v>144.29</v>
      </c>
      <c r="G46" s="48" t="n">
        <v>0.0018</v>
      </c>
    </row>
    <row r="47">
      <c r="A47" s="32" t="inlineStr">
        <is>
          <t>加總（應 = VaR）</t>
        </is>
      </c>
      <c r="E47" s="61" t="n">
        <v>68932.58</v>
      </c>
      <c r="G47" s="62" t="inlineStr">
        <is>
          <t>✓ 誤差 &lt; 0.01%</t>
        </is>
      </c>
    </row>
    <row r="48">
      <c r="A48" s="32" t="inlineStr">
        <is>
          <t>Portfolio VaR（對照）</t>
        </is>
      </c>
      <c r="E48" s="57" t="n">
        <v>68932.58</v>
      </c>
    </row>
    <row r="49">
      <c r="A49" s="14" t="inlineStr">
        <is>
          <t>驗證：|加總 - VaR| = 0.000000e+00，相對誤差 = 0.00000000%（數值機器精度）</t>
        </is>
      </c>
    </row>
  </sheetData>
  <mergeCells count="16">
    <mergeCell ref="B7:J7"/>
    <mergeCell ref="B11:J11"/>
    <mergeCell ref="B5:J5"/>
    <mergeCell ref="A25:L25"/>
    <mergeCell ref="A42:L42"/>
    <mergeCell ref="B10:J10"/>
    <mergeCell ref="A19:L19"/>
    <mergeCell ref="A33:L33"/>
    <mergeCell ref="A1:L1"/>
    <mergeCell ref="A13:L13"/>
    <mergeCell ref="A49:K49"/>
    <mergeCell ref="B9:J9"/>
    <mergeCell ref="B8:J8"/>
    <mergeCell ref="B4:J4"/>
    <mergeCell ref="A3:L3"/>
    <mergeCell ref="B6:J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5.3" customWidth="1" min="3" max="3"/>
    <col width="14.95" customWidth="1" min="4" max="4"/>
    <col width="3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inlineStr">
        <is>
          <t>步驟四（MC）：蒙地卡羅法 VaR（5,000 條路徑）</t>
        </is>
      </c>
    </row>
    <row r="2"/>
    <row r="3">
      <c r="A3" s="2" t="inlineStr">
        <is>
          <t>▌ 方法說明 &amp; 公式</t>
        </is>
      </c>
    </row>
    <row r="4">
      <c r="A4" s="34" t="inlineStr">
        <is>
          <t>Step 1</t>
        </is>
      </c>
      <c r="B4" s="26" t="inlineStr">
        <is>
          <t>估計 FX 調整後回報的共變異數矩陣 Σ（同參數法）</t>
        </is>
      </c>
    </row>
    <row r="5">
      <c r="A5" s="34" t="inlineStr">
        <is>
          <t>Step 2</t>
        </is>
      </c>
      <c r="B5" s="26" t="inlineStr">
        <is>
          <t>對 Σ 進行 Cholesky 分解：Σ = L L'（L 為下三角矩陣）</t>
        </is>
      </c>
    </row>
    <row r="6">
      <c r="A6" s="34" t="inlineStr">
        <is>
          <t>Step 3</t>
        </is>
      </c>
      <c r="B6" s="26" t="inlineStr">
        <is>
          <t>模擬 M=5,000 組相關常態亂數：r_sim = L×z + μ，z ~ N(0,I)</t>
        </is>
      </c>
    </row>
    <row r="7">
      <c r="A7" s="34" t="inlineStr">
        <is>
          <t>Step 4</t>
        </is>
      </c>
      <c r="B7" s="26" t="inlineStr">
        <is>
          <t>各路徑損益：P&amp;L_k = Σ_i w_i × r_sim(k,i)</t>
        </is>
      </c>
    </row>
    <row r="8">
      <c r="A8" s="34" t="inlineStr">
        <is>
          <t>Step 5</t>
        </is>
      </c>
      <c r="B8" s="26" t="inlineStr">
        <is>
          <t>VaR = -PERCENTILE(P&amp;L, 1%) = 66,135.64 TWD</t>
        </is>
      </c>
    </row>
    <row r="9">
      <c r="A9" s="34" t="inlineStr">
        <is>
          <t>Step 6</t>
        </is>
      </c>
      <c r="B9" s="26" t="inlineStr">
        <is>
          <t>CVaR = -mean(P&amp;L[P&amp;L ≤ -VaR]) = 74,402.65 TWD</t>
        </is>
      </c>
    </row>
    <row r="10"/>
    <row r="11">
      <c r="A11" s="2" t="inlineStr">
        <is>
          <t>▌ Cholesky 分解 L（手算步驟）</t>
        </is>
      </c>
    </row>
    <row r="12">
      <c r="A12" s="46" t="inlineStr"/>
      <c r="B12" s="46" t="inlineStr">
        <is>
          <t>L[i,0]</t>
        </is>
      </c>
      <c r="C12" s="46" t="inlineStr">
        <is>
          <t>L[i,1]</t>
        </is>
      </c>
      <c r="D12" s="46" t="inlineStr">
        <is>
          <t>L[i,2]</t>
        </is>
      </c>
      <c r="E12" s="46" t="inlineStr">
        <is>
          <t>計算公式</t>
        </is>
      </c>
    </row>
    <row r="13">
      <c r="A13" s="41" t="inlineStr">
        <is>
          <t>台積電(2330.TW)</t>
        </is>
      </c>
      <c r="B13" s="63" t="n">
        <v>0.019647401</v>
      </c>
      <c r="C13" s="64" t="inlineStr">
        <is>
          <t>—</t>
        </is>
      </c>
      <c r="D13" s="64" t="inlineStr">
        <is>
          <t>—</t>
        </is>
      </c>
      <c r="E13" s="26" t="inlineStr">
        <is>
          <t>L[0,0] = √Σ[0,0]</t>
        </is>
      </c>
    </row>
    <row r="14">
      <c r="A14" s="41" t="inlineStr">
        <is>
          <t>AAPL</t>
        </is>
      </c>
      <c r="B14" s="63" t="n">
        <v>0.005655762</v>
      </c>
      <c r="C14" s="63" t="n">
        <v>0.018165395</v>
      </c>
      <c r="D14" s="64" t="inlineStr">
        <is>
          <t>—</t>
        </is>
      </c>
      <c r="E14" s="26" t="inlineStr">
        <is>
          <t>L[1,0]=Σ[1,0]/L[0,0]；L[1,1]=√(Σ[1,1]−L[1,0]²)</t>
        </is>
      </c>
    </row>
    <row r="15">
      <c r="A15" s="41" t="inlineStr">
        <is>
          <t>三星(005930.KS)</t>
        </is>
      </c>
      <c r="B15" s="63" t="n">
        <v>0.002748402</v>
      </c>
      <c r="C15" s="63" t="n">
        <v>0.004113864</v>
      </c>
      <c r="D15" s="63" t="n">
        <v>0.021398246</v>
      </c>
      <c r="E15" s="26" t="inlineStr">
        <is>
          <t>L[2,0]=Σ[2,0]/L[0,0]；L[2,1]=(Σ[2,1]−L[2,0]×L[1,0])/L[1,1]；L[2,2]=√(Σ[2,2]−L[2,0]²−L[2,1]²)</t>
        </is>
      </c>
    </row>
    <row r="16"/>
    <row r="17">
      <c r="A17" s="2" t="inlineStr">
        <is>
          <t>▌ 驗證 Cholesky：L × L' 應還原 Σ</t>
        </is>
      </c>
    </row>
    <row r="18">
      <c r="A18" s="65" t="inlineStr"/>
      <c r="B18" s="65" t="inlineStr">
        <is>
          <t>台積電(2330.TW)</t>
        </is>
      </c>
      <c r="C18" s="65" t="inlineStr">
        <is>
          <t>AAPL</t>
        </is>
      </c>
      <c r="D18" s="65" t="inlineStr">
        <is>
          <t>三星(005930.KS)</t>
        </is>
      </c>
    </row>
    <row r="19">
      <c r="A19" s="41" t="inlineStr">
        <is>
          <t>台積電(2330.TW)</t>
        </is>
      </c>
      <c r="B19" s="66" t="n">
        <v>0.0003860204</v>
      </c>
      <c r="C19" s="66" t="n">
        <v>0.000111121</v>
      </c>
      <c r="D19" s="66" t="n">
        <v>5.3999e-05</v>
      </c>
    </row>
    <row r="20">
      <c r="A20" s="41" t="inlineStr">
        <is>
          <t>AAPL</t>
        </is>
      </c>
      <c r="B20" s="66" t="n">
        <v>0.000111121</v>
      </c>
      <c r="C20" s="66" t="n">
        <v>0.0003619692</v>
      </c>
      <c r="D20" s="66" t="n">
        <v>9.02743e-05</v>
      </c>
    </row>
    <row r="21">
      <c r="A21" s="41" t="inlineStr">
        <is>
          <t>三星(005930.KS)</t>
        </is>
      </c>
      <c r="B21" s="66" t="n">
        <v>5.3999e-05</v>
      </c>
      <c r="C21" s="66" t="n">
        <v>9.02743e-05</v>
      </c>
      <c r="D21" s="66" t="n">
        <v>0.0004823625</v>
      </c>
    </row>
    <row r="22">
      <c r="A22" s="14" t="inlineStr">
        <is>
          <t>✓ 各格與 Σ 差距 &lt; 1e-10（數值機器精度），驗證 Cholesky 正確。</t>
        </is>
      </c>
    </row>
    <row r="23"/>
    <row r="24">
      <c r="A24" s="2" t="inlineStr">
        <is>
          <t>▌ 前 50 條模擬路徑（共 5,000 條）</t>
        </is>
      </c>
    </row>
    <row r="25">
      <c r="A25" s="46" t="inlineStr">
        <is>
          <t>路徑#</t>
        </is>
      </c>
      <c r="B25" s="46" t="inlineStr">
        <is>
          <t>r_sim[TSMC]</t>
        </is>
      </c>
      <c r="C25" s="46" t="inlineStr">
        <is>
          <t>r_sim[AAPL]</t>
        </is>
      </c>
      <c r="D25" s="46" t="inlineStr">
        <is>
          <t>r_sim[三星]</t>
        </is>
      </c>
      <c r="E25" s="46" t="inlineStr">
        <is>
          <t>P&amp;L (TWD)</t>
        </is>
      </c>
      <c r="F25" s="46" t="inlineStr">
        <is>
          <t>例外?</t>
        </is>
      </c>
    </row>
    <row r="26">
      <c r="A26" s="67" t="n">
        <v>1</v>
      </c>
      <c r="B26" s="68" t="n">
        <v>0.007419</v>
      </c>
      <c r="C26" s="68" t="n">
        <v>-0.014974</v>
      </c>
      <c r="D26" s="68" t="n">
        <v>0.011014</v>
      </c>
      <c r="E26" s="47" t="n">
        <v>-9092.559999999999</v>
      </c>
      <c r="F26" s="67" t="inlineStr"/>
    </row>
    <row r="27">
      <c r="A27" s="67" t="n">
        <v>2</v>
      </c>
      <c r="B27" s="68" t="n">
        <v>0.019912</v>
      </c>
      <c r="C27" s="68" t="n">
        <v>-0.027928</v>
      </c>
      <c r="D27" s="68" t="n">
        <v>-0.034909</v>
      </c>
      <c r="E27" s="47" t="n">
        <v>-12354.8</v>
      </c>
      <c r="F27" s="67" t="inlineStr"/>
    </row>
    <row r="28">
      <c r="A28" s="67" t="n">
        <v>3</v>
      </c>
      <c r="B28" s="68" t="n">
        <v>0.003944</v>
      </c>
      <c r="C28" s="68" t="n">
        <v>-0.002827</v>
      </c>
      <c r="D28" s="68" t="n">
        <v>-0.002912</v>
      </c>
      <c r="E28" s="69" t="n">
        <v>410.95</v>
      </c>
      <c r="F28" s="67" t="inlineStr"/>
    </row>
    <row r="29">
      <c r="A29" s="67" t="n">
        <v>4</v>
      </c>
      <c r="B29" s="68" t="n">
        <v>-0.015328</v>
      </c>
      <c r="C29" s="68" t="n">
        <v>0.013344</v>
      </c>
      <c r="D29" s="68" t="n">
        <v>0.016313</v>
      </c>
      <c r="E29" s="69" t="n">
        <v>909.1900000000001</v>
      </c>
      <c r="F29" s="67" t="inlineStr"/>
    </row>
    <row r="30">
      <c r="A30" s="67" t="n">
        <v>5</v>
      </c>
      <c r="B30" s="68" t="n">
        <v>0.00273</v>
      </c>
      <c r="C30" s="68" t="n">
        <v>0.023044</v>
      </c>
      <c r="D30" s="68" t="n">
        <v>0.013219</v>
      </c>
      <c r="E30" s="69" t="n">
        <v>26468.58</v>
      </c>
      <c r="F30" s="67" t="inlineStr"/>
    </row>
    <row r="31">
      <c r="A31" s="67" t="n">
        <v>6</v>
      </c>
      <c r="B31" s="68" t="n">
        <v>-0.015451</v>
      </c>
      <c r="C31" s="68" t="n">
        <v>0.004033</v>
      </c>
      <c r="D31" s="68" t="n">
        <v>-0.022966</v>
      </c>
      <c r="E31" s="47" t="n">
        <v>-9318.450000000001</v>
      </c>
      <c r="F31" s="67" t="inlineStr"/>
    </row>
    <row r="32">
      <c r="A32" s="67" t="n">
        <v>7</v>
      </c>
      <c r="B32" s="68" t="n">
        <v>0.018692</v>
      </c>
      <c r="C32" s="68" t="n">
        <v>0.006256</v>
      </c>
      <c r="D32" s="68" t="n">
        <v>-0.00335</v>
      </c>
      <c r="E32" s="69" t="n">
        <v>22516.31</v>
      </c>
      <c r="F32" s="67" t="inlineStr"/>
    </row>
    <row r="33">
      <c r="A33" s="67" t="n">
        <v>8</v>
      </c>
      <c r="B33" s="68" t="n">
        <v>-0.011946</v>
      </c>
      <c r="C33" s="68" t="n">
        <v>0.020551</v>
      </c>
      <c r="D33" s="68" t="n">
        <v>-0.001752</v>
      </c>
      <c r="E33" s="69" t="n">
        <v>11112.08</v>
      </c>
      <c r="F33" s="67" t="inlineStr"/>
    </row>
    <row r="34">
      <c r="A34" s="67" t="n">
        <v>9</v>
      </c>
      <c r="B34" s="68" t="n">
        <v>-0.006983</v>
      </c>
      <c r="C34" s="68" t="n">
        <v>-0.006625</v>
      </c>
      <c r="D34" s="68" t="n">
        <v>0.007161</v>
      </c>
      <c r="E34" s="47" t="n">
        <v>-12809.07</v>
      </c>
      <c r="F34" s="67" t="inlineStr"/>
    </row>
    <row r="35">
      <c r="A35" s="67" t="n">
        <v>10</v>
      </c>
      <c r="B35" s="68" t="n">
        <v>0.008612</v>
      </c>
      <c r="C35" s="68" t="n">
        <v>0.011758</v>
      </c>
      <c r="D35" s="68" t="n">
        <v>0.010318</v>
      </c>
      <c r="E35" s="69" t="n">
        <v>19741.84</v>
      </c>
      <c r="F35" s="67" t="inlineStr"/>
    </row>
    <row r="36">
      <c r="A36" s="67" t="n">
        <v>11</v>
      </c>
      <c r="B36" s="68" t="n">
        <v>0.04351</v>
      </c>
      <c r="C36" s="68" t="n">
        <v>0.006924</v>
      </c>
      <c r="D36" s="68" t="n">
        <v>-0.00835</v>
      </c>
      <c r="E36" s="69" t="n">
        <v>44459.68</v>
      </c>
      <c r="F36" s="67" t="inlineStr"/>
    </row>
    <row r="37">
      <c r="A37" s="67" t="n">
        <v>12</v>
      </c>
      <c r="B37" s="68" t="n">
        <v>-0.014556</v>
      </c>
      <c r="C37" s="68" t="n">
        <v>0.008781000000000001</v>
      </c>
      <c r="D37" s="68" t="n">
        <v>0.022852</v>
      </c>
      <c r="E37" s="47" t="n">
        <v>-3104.74</v>
      </c>
      <c r="F37" s="67" t="inlineStr"/>
    </row>
    <row r="38">
      <c r="A38" s="67" t="n">
        <v>13</v>
      </c>
      <c r="B38" s="68" t="n">
        <v>-0.000806</v>
      </c>
      <c r="C38" s="68" t="n">
        <v>-0.013712</v>
      </c>
      <c r="D38" s="68" t="n">
        <v>-0.023015</v>
      </c>
      <c r="E38" s="47" t="n">
        <v>-15214.59</v>
      </c>
      <c r="F38" s="67" t="inlineStr"/>
    </row>
    <row r="39">
      <c r="A39" s="67" t="n">
        <v>14</v>
      </c>
      <c r="B39" s="68" t="n">
        <v>0.014215</v>
      </c>
      <c r="C39" s="68" t="n">
        <v>0.019375</v>
      </c>
      <c r="D39" s="68" t="n">
        <v>0.014865</v>
      </c>
      <c r="E39" s="69" t="n">
        <v>32526.75</v>
      </c>
      <c r="F39" s="67" t="inlineStr"/>
    </row>
    <row r="40">
      <c r="A40" s="67" t="n">
        <v>15</v>
      </c>
      <c r="B40" s="68" t="n">
        <v>-0.011643</v>
      </c>
      <c r="C40" s="68" t="n">
        <v>0.002648</v>
      </c>
      <c r="D40" s="68" t="n">
        <v>2e-05</v>
      </c>
      <c r="E40" s="47" t="n">
        <v>-7238.66</v>
      </c>
      <c r="F40" s="67" t="inlineStr"/>
    </row>
    <row r="41">
      <c r="A41" s="67" t="n">
        <v>16</v>
      </c>
      <c r="B41" s="68" t="n">
        <v>0.005729</v>
      </c>
      <c r="C41" s="68" t="n">
        <v>0.019261</v>
      </c>
      <c r="D41" s="68" t="n">
        <v>0.007367</v>
      </c>
      <c r="E41" s="69" t="n">
        <v>25041.4</v>
      </c>
      <c r="F41" s="67" t="inlineStr"/>
    </row>
    <row r="42">
      <c r="A42" s="67" t="n">
        <v>17</v>
      </c>
      <c r="B42" s="68" t="n">
        <v>0.014771</v>
      </c>
      <c r="C42" s="68" t="n">
        <v>0.007262</v>
      </c>
      <c r="D42" s="68" t="n">
        <v>0.006727</v>
      </c>
      <c r="E42" s="69" t="n">
        <v>20309.16</v>
      </c>
      <c r="F42" s="67" t="inlineStr"/>
    </row>
    <row r="43">
      <c r="A43" s="67" t="n">
        <v>18</v>
      </c>
      <c r="B43" s="68" t="n">
        <v>0.013835</v>
      </c>
      <c r="C43" s="68" t="n">
        <v>-0.020705</v>
      </c>
      <c r="D43" s="68" t="n">
        <v>-0.012703</v>
      </c>
      <c r="E43" s="47" t="n">
        <v>-9810.290000000001</v>
      </c>
      <c r="F43" s="67" t="inlineStr"/>
    </row>
    <row r="44">
      <c r="A44" s="67" t="n">
        <v>19</v>
      </c>
      <c r="B44" s="68" t="n">
        <v>-0.007809</v>
      </c>
      <c r="C44" s="68" t="n">
        <v>-0.012072</v>
      </c>
      <c r="D44" s="68" t="n">
        <v>-0.011412</v>
      </c>
      <c r="E44" s="47" t="n">
        <v>-19390.5</v>
      </c>
      <c r="F44" s="67" t="inlineStr"/>
    </row>
    <row r="45">
      <c r="A45" s="67" t="n">
        <v>20</v>
      </c>
      <c r="B45" s="68" t="n">
        <v>0.030804</v>
      </c>
      <c r="C45" s="68" t="n">
        <v>-0.005079</v>
      </c>
      <c r="D45" s="68" t="n">
        <v>0.019663</v>
      </c>
      <c r="E45" s="69" t="n">
        <v>21371.77</v>
      </c>
      <c r="F45" s="67" t="inlineStr"/>
    </row>
    <row r="46">
      <c r="A46" s="67" t="n">
        <v>21</v>
      </c>
      <c r="B46" s="68" t="n">
        <v>-0.031632</v>
      </c>
      <c r="C46" s="68" t="n">
        <v>-0.013407</v>
      </c>
      <c r="D46" s="68" t="n">
        <v>-0.004123</v>
      </c>
      <c r="E46" s="47" t="n">
        <v>-41147.59</v>
      </c>
      <c r="F46" s="67" t="inlineStr"/>
    </row>
    <row r="47">
      <c r="A47" s="67" t="n">
        <v>22</v>
      </c>
      <c r="B47" s="68" t="n">
        <v>0.01295</v>
      </c>
      <c r="C47" s="68" t="n">
        <v>0.018429</v>
      </c>
      <c r="D47" s="68" t="n">
        <v>0.01991</v>
      </c>
      <c r="E47" s="69" t="n">
        <v>30512.52</v>
      </c>
      <c r="F47" s="67" t="inlineStr"/>
    </row>
    <row r="48">
      <c r="A48" s="67" t="n">
        <v>23</v>
      </c>
      <c r="B48" s="68" t="n">
        <v>-0.005419</v>
      </c>
      <c r="C48" s="68" t="n">
        <v>-0.008177</v>
      </c>
      <c r="D48" s="68" t="n">
        <v>0.013895</v>
      </c>
      <c r="E48" s="47" t="n">
        <v>-13007.39</v>
      </c>
      <c r="F48" s="67" t="inlineStr"/>
    </row>
    <row r="49">
      <c r="A49" s="67" t="n">
        <v>24</v>
      </c>
      <c r="B49" s="68" t="n">
        <v>-0.002326</v>
      </c>
      <c r="C49" s="68" t="n">
        <v>-0.022061</v>
      </c>
      <c r="D49" s="68" t="n">
        <v>-0.031627</v>
      </c>
      <c r="E49" s="47" t="n">
        <v>-25302.09</v>
      </c>
      <c r="F49" s="67" t="inlineStr"/>
    </row>
    <row r="50">
      <c r="A50" s="67" t="n">
        <v>25</v>
      </c>
      <c r="B50" s="68" t="n">
        <v>-0.016633</v>
      </c>
      <c r="C50" s="68" t="n">
        <v>0.006025</v>
      </c>
      <c r="D50" s="68" t="n">
        <v>0.000963</v>
      </c>
      <c r="E50" s="47" t="n">
        <v>-7996.09</v>
      </c>
      <c r="F50" s="67" t="inlineStr"/>
    </row>
    <row r="51">
      <c r="A51" s="67" t="n">
        <v>26</v>
      </c>
      <c r="B51" s="68" t="n">
        <v>0.014999</v>
      </c>
      <c r="C51" s="68" t="n">
        <v>-0.001662</v>
      </c>
      <c r="D51" s="68" t="n">
        <v>0.001929</v>
      </c>
      <c r="E51" s="69" t="n">
        <v>11165.79</v>
      </c>
      <c r="F51" s="67" t="inlineStr"/>
    </row>
    <row r="52">
      <c r="A52" s="67" t="n">
        <v>27</v>
      </c>
      <c r="B52" s="68" t="n">
        <v>0.013724</v>
      </c>
      <c r="C52" s="68" t="n">
        <v>0.000113</v>
      </c>
      <c r="D52" s="68" t="n">
        <v>0.008618000000000001</v>
      </c>
      <c r="E52" s="69" t="n">
        <v>11991.92</v>
      </c>
      <c r="F52" s="67" t="inlineStr"/>
    </row>
    <row r="53">
      <c r="A53" s="67" t="n">
        <v>28</v>
      </c>
      <c r="B53" s="68" t="n">
        <v>-0.011573</v>
      </c>
      <c r="C53" s="68" t="n">
        <v>-0.008144999999999999</v>
      </c>
      <c r="D53" s="68" t="n">
        <v>-0.013085</v>
      </c>
      <c r="E53" s="47" t="n">
        <v>-18552.81</v>
      </c>
      <c r="F53" s="67" t="inlineStr"/>
    </row>
    <row r="54">
      <c r="A54" s="67" t="n">
        <v>29</v>
      </c>
      <c r="B54" s="68" t="n">
        <v>-0.022063</v>
      </c>
      <c r="C54" s="68" t="n">
        <v>0.004277</v>
      </c>
      <c r="D54" s="68" t="n">
        <v>-0.012931</v>
      </c>
      <c r="E54" s="47" t="n">
        <v>-14629.44</v>
      </c>
      <c r="F54" s="67" t="inlineStr"/>
    </row>
    <row r="55">
      <c r="A55" s="67" t="n">
        <v>30</v>
      </c>
      <c r="B55" s="68" t="n">
        <v>0.001678</v>
      </c>
      <c r="C55" s="68" t="n">
        <v>0.010998</v>
      </c>
      <c r="D55" s="68" t="n">
        <v>0.009964000000000001</v>
      </c>
      <c r="E55" s="69" t="n">
        <v>12994.15</v>
      </c>
      <c r="F55" s="67" t="inlineStr"/>
    </row>
    <row r="56">
      <c r="A56" s="67" t="n">
        <v>31</v>
      </c>
      <c r="B56" s="68" t="n">
        <v>0.014505</v>
      </c>
      <c r="C56" s="68" t="n">
        <v>0.004168</v>
      </c>
      <c r="D56" s="68" t="n">
        <v>-0.009237</v>
      </c>
      <c r="E56" s="69" t="n">
        <v>16686.39</v>
      </c>
      <c r="F56" s="67" t="inlineStr"/>
    </row>
    <row r="57">
      <c r="A57" s="67" t="n">
        <v>32</v>
      </c>
      <c r="B57" s="68" t="n">
        <v>-0.000134</v>
      </c>
      <c r="C57" s="68" t="n">
        <v>-0.028908</v>
      </c>
      <c r="D57" s="68" t="n">
        <v>-0.039729</v>
      </c>
      <c r="E57" s="47" t="n">
        <v>-30634.17</v>
      </c>
      <c r="F57" s="67" t="inlineStr"/>
    </row>
    <row r="58">
      <c r="A58" s="67" t="n">
        <v>33</v>
      </c>
      <c r="B58" s="68" t="n">
        <v>-0.024555</v>
      </c>
      <c r="C58" s="68" t="n">
        <v>-0.023402</v>
      </c>
      <c r="D58" s="68" t="n">
        <v>-0.000787</v>
      </c>
      <c r="E58" s="47" t="n">
        <v>-45437.69</v>
      </c>
      <c r="F58" s="67" t="inlineStr"/>
    </row>
    <row r="59">
      <c r="A59" s="67" t="n">
        <v>34</v>
      </c>
      <c r="B59" s="68" t="n">
        <v>-0.016358</v>
      </c>
      <c r="C59" s="68" t="n">
        <v>-0.009795999999999999</v>
      </c>
      <c r="D59" s="68" t="n">
        <v>0.022154</v>
      </c>
      <c r="E59" s="47" t="n">
        <v>-23990.87</v>
      </c>
      <c r="F59" s="67" t="inlineStr"/>
    </row>
    <row r="60">
      <c r="A60" s="67" t="n">
        <v>35</v>
      </c>
      <c r="B60" s="68" t="n">
        <v>-0.005567</v>
      </c>
      <c r="C60" s="68" t="n">
        <v>0.013576</v>
      </c>
      <c r="D60" s="68" t="n">
        <v>-0.019526</v>
      </c>
      <c r="E60" s="69" t="n">
        <v>9133.84</v>
      </c>
      <c r="F60" s="67" t="inlineStr"/>
    </row>
    <row r="61">
      <c r="A61" s="67" t="n">
        <v>36</v>
      </c>
      <c r="B61" s="68" t="n">
        <v>-0.002604</v>
      </c>
      <c r="C61" s="68" t="n">
        <v>-0.016225</v>
      </c>
      <c r="D61" s="68" t="n">
        <v>-0.013331</v>
      </c>
      <c r="E61" s="47" t="n">
        <v>-19266.02</v>
      </c>
      <c r="F61" s="67" t="inlineStr"/>
    </row>
    <row r="62">
      <c r="A62" s="67" t="n">
        <v>37</v>
      </c>
      <c r="B62" s="68" t="n">
        <v>0.017942</v>
      </c>
      <c r="C62" s="68" t="n">
        <v>-0.024431</v>
      </c>
      <c r="D62" s="68" t="n">
        <v>0.002896</v>
      </c>
      <c r="E62" s="47" t="n">
        <v>-9990.209999999999</v>
      </c>
      <c r="F62" s="67" t="inlineStr"/>
    </row>
    <row r="63">
      <c r="A63" s="67" t="n">
        <v>38</v>
      </c>
      <c r="B63" s="68" t="n">
        <v>0.006103</v>
      </c>
      <c r="C63" s="68" t="n">
        <v>-0.007254</v>
      </c>
      <c r="D63" s="68" t="n">
        <v>-0.034337</v>
      </c>
      <c r="E63" s="47" t="n">
        <v>-2688.47</v>
      </c>
      <c r="F63" s="67" t="inlineStr"/>
    </row>
    <row r="64">
      <c r="A64" s="67" t="n">
        <v>39</v>
      </c>
      <c r="B64" s="68" t="n">
        <v>0.002849</v>
      </c>
      <c r="C64" s="68" t="n">
        <v>-0.007016</v>
      </c>
      <c r="D64" s="68" t="n">
        <v>0.001396</v>
      </c>
      <c r="E64" s="47" t="n">
        <v>-4840.03</v>
      </c>
      <c r="F64" s="67" t="inlineStr"/>
    </row>
    <row r="65">
      <c r="A65" s="67" t="n">
        <v>40</v>
      </c>
      <c r="B65" s="68" t="n">
        <v>0.001862</v>
      </c>
      <c r="C65" s="68" t="n">
        <v>0.031415</v>
      </c>
      <c r="D65" s="68" t="n">
        <v>-7.499999999999999e-05</v>
      </c>
      <c r="E65" s="69" t="n">
        <v>34287.19</v>
      </c>
      <c r="F65" s="67" t="inlineStr"/>
    </row>
    <row r="66">
      <c r="A66" s="67" t="n">
        <v>41</v>
      </c>
      <c r="B66" s="68" t="n">
        <v>-0.018677</v>
      </c>
      <c r="C66" s="68" t="n">
        <v>-0.000338</v>
      </c>
      <c r="D66" s="68" t="n">
        <v>0.001029</v>
      </c>
      <c r="E66" s="47" t="n">
        <v>-16371.29</v>
      </c>
      <c r="F66" s="67" t="inlineStr"/>
    </row>
    <row r="67">
      <c r="A67" s="67" t="n">
        <v>42</v>
      </c>
      <c r="B67" s="68" t="n">
        <v>0.028137</v>
      </c>
      <c r="C67" s="68" t="n">
        <v>0.025052</v>
      </c>
      <c r="D67" s="68" t="n">
        <v>0.013204</v>
      </c>
      <c r="E67" s="69" t="n">
        <v>50365.02</v>
      </c>
      <c r="F67" s="67" t="inlineStr"/>
    </row>
    <row r="68">
      <c r="A68" s="67" t="n">
        <v>43</v>
      </c>
      <c r="B68" s="68" t="n">
        <v>0.030182</v>
      </c>
      <c r="C68" s="68" t="n">
        <v>-0.011124</v>
      </c>
      <c r="D68" s="68" t="n">
        <v>-0.016161</v>
      </c>
      <c r="E68" s="69" t="n">
        <v>14152.95</v>
      </c>
      <c r="F68" s="67" t="inlineStr"/>
    </row>
    <row r="69">
      <c r="A69" s="67" t="n">
        <v>44</v>
      </c>
      <c r="B69" s="68" t="n">
        <v>-0.016773</v>
      </c>
      <c r="C69" s="68" t="n">
        <v>-0.010127</v>
      </c>
      <c r="D69" s="68" t="n">
        <v>-0.035212</v>
      </c>
      <c r="E69" s="47" t="n">
        <v>-25323.03</v>
      </c>
      <c r="F69" s="67" t="inlineStr"/>
    </row>
    <row r="70">
      <c r="A70" s="67" t="n">
        <v>45</v>
      </c>
      <c r="B70" s="68" t="n">
        <v>0.013911</v>
      </c>
      <c r="C70" s="68" t="n">
        <v>0.00175</v>
      </c>
      <c r="D70" s="68" t="n">
        <v>-0.032244</v>
      </c>
      <c r="E70" s="69" t="n">
        <v>13406.1</v>
      </c>
      <c r="F70" s="67" t="inlineStr"/>
    </row>
    <row r="71">
      <c r="A71" s="67" t="n">
        <v>46</v>
      </c>
      <c r="B71" s="68" t="n">
        <v>-0.018521</v>
      </c>
      <c r="C71" s="68" t="n">
        <v>0.002145</v>
      </c>
      <c r="D71" s="68" t="n">
        <v>0.01483</v>
      </c>
      <c r="E71" s="47" t="n">
        <v>-13501.6</v>
      </c>
      <c r="F71" s="67" t="inlineStr"/>
    </row>
    <row r="72">
      <c r="A72" s="67" t="n">
        <v>47</v>
      </c>
      <c r="B72" s="68" t="n">
        <v>0.040663</v>
      </c>
      <c r="C72" s="68" t="n">
        <v>0.06641900000000001</v>
      </c>
      <c r="D72" s="68" t="n">
        <v>0.024739</v>
      </c>
      <c r="E72" s="69" t="n">
        <v>104290.34</v>
      </c>
      <c r="F72" s="67" t="inlineStr"/>
    </row>
    <row r="73">
      <c r="A73" s="67" t="n">
        <v>48</v>
      </c>
      <c r="B73" s="68" t="n">
        <v>-0.01801</v>
      </c>
      <c r="C73" s="68" t="n">
        <v>-0.042132</v>
      </c>
      <c r="D73" s="68" t="n">
        <v>-0.007365</v>
      </c>
      <c r="E73" s="47" t="n">
        <v>-59381.9</v>
      </c>
      <c r="F73" s="67" t="inlineStr"/>
    </row>
    <row r="74">
      <c r="A74" s="67" t="n">
        <v>49</v>
      </c>
      <c r="B74" s="68" t="n">
        <v>-0.01454</v>
      </c>
      <c r="C74" s="68" t="n">
        <v>-0.009949</v>
      </c>
      <c r="D74" s="68" t="n">
        <v>-0.018644</v>
      </c>
      <c r="E74" s="47" t="n">
        <v>-23038.27</v>
      </c>
      <c r="F74" s="67" t="inlineStr"/>
    </row>
    <row r="75">
      <c r="A75" s="67" t="n">
        <v>50</v>
      </c>
      <c r="B75" s="68" t="n">
        <v>-0.001334</v>
      </c>
      <c r="C75" s="68" t="n">
        <v>0.020762</v>
      </c>
      <c r="D75" s="68" t="n">
        <v>0.005756</v>
      </c>
      <c r="E75" s="69" t="n">
        <v>20523.24</v>
      </c>
      <c r="F75" s="67" t="inlineStr"/>
    </row>
    <row r="76"/>
    <row r="77">
      <c r="A77" s="14" t="inlineStr">
        <is>
          <t>僅展示前 50 條路徑，完整 5,000 條用於計算 VaR/CVaR。</t>
        </is>
      </c>
    </row>
    <row r="78"/>
    <row r="79">
      <c r="A79" s="2" t="inlineStr">
        <is>
          <t>▌ MC 計算結果</t>
        </is>
      </c>
    </row>
    <row r="80">
      <c r="A80" s="41" t="inlineStr">
        <is>
          <t>MC VaR（TWD）</t>
        </is>
      </c>
      <c r="B80" s="57" t="n">
        <v>66135.64</v>
      </c>
      <c r="C80" s="26" t="inlineStr">
        <is>
          <t>-PERCENTILE(P&amp;L, 1%)</t>
        </is>
      </c>
    </row>
    <row r="81">
      <c r="A81" s="41" t="inlineStr">
        <is>
          <t>MC CVaR（TWD）</t>
        </is>
      </c>
      <c r="B81" s="57" t="n">
        <v>74402.64999999999</v>
      </c>
      <c r="C81" s="26" t="inlineStr">
        <is>
          <t>−mean(P&amp;L[P&amp;L ≤ −VaR])</t>
        </is>
      </c>
    </row>
    <row r="82">
      <c r="A82" s="41" t="inlineStr">
        <is>
          <t>VaR%（占市值）</t>
        </is>
      </c>
      <c r="B82" s="58" t="n">
        <v>0.034627</v>
      </c>
      <c r="C82" s="26" t="inlineStr">
        <is>
          <t>VaR / 組合市值</t>
        </is>
      </c>
    </row>
    <row r="83">
      <c r="A83" s="41" t="inlineStr">
        <is>
          <t>CVaR/VaR</t>
        </is>
      </c>
      <c r="B83" s="57" t="n">
        <v>1.125001</v>
      </c>
      <c r="C83" s="26" t="inlineStr">
        <is>
          <t>CVaR / VaR</t>
        </is>
      </c>
    </row>
    <row r="84">
      <c r="A84" s="41" t="inlineStr">
        <is>
          <t>例外路徑數</t>
        </is>
      </c>
      <c r="B84" s="70" t="n">
        <v>50</v>
      </c>
      <c r="C84" s="26" t="inlineStr">
        <is>
          <t>≈ 5000×1% = 50</t>
        </is>
      </c>
    </row>
    <row r="85"/>
    <row r="86">
      <c r="A86" s="2" t="inlineStr">
        <is>
          <t>▌ Component VaR（MC 尾端均值）</t>
        </is>
      </c>
    </row>
    <row r="87">
      <c r="A87" s="46" t="inlineStr">
        <is>
          <t>資產</t>
        </is>
      </c>
      <c r="B87" s="46" t="inlineStr">
        <is>
          <t>Component VaR(TWD)</t>
        </is>
      </c>
      <c r="C87" s="46" t="inlineStr">
        <is>
          <t>Component CVaR(TWD)</t>
        </is>
      </c>
      <c r="D87" s="46" t="inlineStr">
        <is>
          <t>風險貢獻%</t>
        </is>
      </c>
    </row>
    <row r="88">
      <c r="A88" s="26" t="inlineStr">
        <is>
          <t>台積電(2330.TW)</t>
        </is>
      </c>
      <c r="B88" s="47" t="n">
        <v>38488.62</v>
      </c>
      <c r="C88" s="47" t="n">
        <v>35983.1</v>
      </c>
      <c r="D88" s="48" t="n">
        <v>0.582</v>
      </c>
    </row>
    <row r="89">
      <c r="A89" s="26" t="inlineStr">
        <is>
          <t>AAPL</t>
        </is>
      </c>
      <c r="B89" s="47" t="n">
        <v>43723.62</v>
      </c>
      <c r="C89" s="47" t="n">
        <v>38301.94</v>
      </c>
      <c r="D89" s="48" t="n">
        <v>0.6611</v>
      </c>
    </row>
    <row r="90">
      <c r="A90" s="26" t="inlineStr">
        <is>
          <t>三星(005930.KS)</t>
        </is>
      </c>
      <c r="B90" s="47" t="n">
        <v>586.5599999999999</v>
      </c>
      <c r="C90" s="47" t="n">
        <v>117.61</v>
      </c>
      <c r="D90" s="48" t="n">
        <v>0.0089</v>
      </c>
    </row>
    <row r="91"/>
    <row r="92">
      <c r="A92" s="14" t="inlineStr">
        <is>
          <t>MC Component VaR：各資產在組合尾端場景（P&amp;L ≤ −VaR）下的平均損失。</t>
        </is>
      </c>
    </row>
  </sheetData>
  <mergeCells count="24">
    <mergeCell ref="A92:K92"/>
    <mergeCell ref="A77:K77"/>
    <mergeCell ref="E13:J13"/>
    <mergeCell ref="C82:F82"/>
    <mergeCell ref="B8:J8"/>
    <mergeCell ref="C81:F81"/>
    <mergeCell ref="A3:L3"/>
    <mergeCell ref="E15:J15"/>
    <mergeCell ref="A86:L86"/>
    <mergeCell ref="C83:F83"/>
    <mergeCell ref="B9:J9"/>
    <mergeCell ref="A17:L17"/>
    <mergeCell ref="B6:J6"/>
    <mergeCell ref="B5:J5"/>
    <mergeCell ref="B4:J4"/>
    <mergeCell ref="C84:F84"/>
    <mergeCell ref="B7:J7"/>
    <mergeCell ref="A22:K22"/>
    <mergeCell ref="A24:L24"/>
    <mergeCell ref="C80:F80"/>
    <mergeCell ref="A11:L11"/>
    <mergeCell ref="E14:J14"/>
    <mergeCell ref="A1:L1"/>
    <mergeCell ref="A79:L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30" customWidth="1" min="1" max="1"/>
    <col width="24.15" customWidth="1" min="2" max="2"/>
    <col width="26.45" customWidth="1" min="3" max="3"/>
    <col width="23" customWidth="1" min="4" max="4"/>
    <col width="27.6" customWidth="1" min="5" max="5"/>
    <col width="9.199999999999999" customWidth="1" min="6" max="6"/>
    <col width="8" customWidth="1" min="7" max="7"/>
    <col width="10.35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inlineStr">
        <is>
          <t>三方法 VaR 彙總比較 &amp; 驗證核對表</t>
        </is>
      </c>
    </row>
    <row r="2"/>
    <row r="3">
      <c r="A3" s="2" t="inlineStr">
        <is>
          <t>▌ 組合層級指標比較</t>
        </is>
      </c>
    </row>
    <row r="4">
      <c r="A4" s="3" t="inlineStr">
        <is>
          <t>指標</t>
        </is>
      </c>
      <c r="B4" s="3" t="inlineStr">
        <is>
          <t>Historical Simulation</t>
        </is>
      </c>
      <c r="C4" s="3" t="inlineStr">
        <is>
          <t>Parametric Delta-Normal</t>
        </is>
      </c>
      <c r="D4" s="3" t="inlineStr">
        <is>
          <t>Monte Carlo（M=5,000）</t>
        </is>
      </c>
      <c r="E4" s="3" t="inlineStr">
        <is>
          <t>說明</t>
        </is>
      </c>
    </row>
    <row r="5">
      <c r="A5" s="71" t="inlineStr">
        <is>
          <t>VaR（TWD）</t>
        </is>
      </c>
      <c r="B5" s="72" t="n">
        <v>52735.2563</v>
      </c>
      <c r="C5" s="7" t="n">
        <v>68932.58040000001</v>
      </c>
      <c r="D5" s="7" t="n">
        <v>66135.644</v>
      </c>
      <c r="E5" s="4" t="inlineStr">
        <is>
          <t>主要風險指標</t>
        </is>
      </c>
    </row>
    <row r="6">
      <c r="A6" s="71" t="inlineStr">
        <is>
          <t>CVaR（TWD）</t>
        </is>
      </c>
      <c r="B6" s="72" t="n">
        <v>68722.3024</v>
      </c>
      <c r="C6" s="7" t="n">
        <v>78973.61169999999</v>
      </c>
      <c r="D6" s="7" t="n">
        <v>74402.6452</v>
      </c>
      <c r="E6" s="4" t="inlineStr">
        <is>
          <t>一致性風險測度</t>
        </is>
      </c>
    </row>
    <row r="7">
      <c r="A7" s="71" t="inlineStr">
        <is>
          <t>VaR%（占市值）</t>
        </is>
      </c>
      <c r="B7" s="73" t="n">
        <v>0.0276</v>
      </c>
      <c r="C7" s="10" t="n">
        <v>0.0361</v>
      </c>
      <c r="D7" s="10" t="n">
        <v>0.0346</v>
      </c>
      <c r="E7" s="4" t="inlineStr">
        <is>
          <t>相對風險水準</t>
        </is>
      </c>
    </row>
    <row r="8">
      <c r="A8" s="71" t="inlineStr">
        <is>
          <t>CVaR / VaR</t>
        </is>
      </c>
      <c r="B8" s="74" t="n">
        <v>1.3032</v>
      </c>
      <c r="C8" s="75" t="n">
        <v>1.1457</v>
      </c>
      <c r="D8" s="75" t="n">
        <v>1.125</v>
      </c>
      <c r="E8" s="4" t="inlineStr">
        <is>
          <t>尾端形狀（常態≈1.29）</t>
        </is>
      </c>
    </row>
    <row r="9">
      <c r="A9" s="71" t="inlineStr">
        <is>
          <t>損益標準差（TWD）</t>
        </is>
      </c>
      <c r="B9" s="72" t="n">
        <v>29571.9217</v>
      </c>
      <c r="C9" s="7" t="n">
        <v>29631.2436</v>
      </c>
      <c r="D9" s="7" t="n">
        <v>29868.0764</v>
      </c>
      <c r="E9" s="4" t="inlineStr">
        <is>
          <t>1日組合損益σ</t>
        </is>
      </c>
    </row>
    <row r="10"/>
    <row r="11">
      <c r="A11" s="2" t="inlineStr">
        <is>
          <t>▌ 個別資產 Component VaR 比較（TWD）</t>
        </is>
      </c>
    </row>
    <row r="12">
      <c r="A12" s="3" t="inlineStr">
        <is>
          <t>資產</t>
        </is>
      </c>
      <c r="B12" s="3" t="inlineStr">
        <is>
          <t>市場</t>
        </is>
      </c>
      <c r="C12" s="3" t="inlineStr">
        <is>
          <t>幣別</t>
        </is>
      </c>
      <c r="D12" s="3" t="inlineStr">
        <is>
          <t>HS VaR</t>
        </is>
      </c>
      <c r="E12" s="3" t="inlineStr">
        <is>
          <t>Param VaR</t>
        </is>
      </c>
      <c r="F12" s="3" t="inlineStr">
        <is>
          <t>MC VaR</t>
        </is>
      </c>
      <c r="G12" s="3" t="inlineStr">
        <is>
          <t>HS 貢獻%</t>
        </is>
      </c>
      <c r="H12" s="3" t="inlineStr">
        <is>
          <t>Param 貢獻%</t>
        </is>
      </c>
      <c r="I12" s="3" t="inlineStr">
        <is>
          <t>MC 貢獻%</t>
        </is>
      </c>
    </row>
    <row r="13">
      <c r="A13" s="4" t="inlineStr">
        <is>
          <t>台積電(2330.TW)</t>
        </is>
      </c>
      <c r="B13" s="5" t="inlineStr">
        <is>
          <t>台灣 🇹🇼</t>
        </is>
      </c>
      <c r="C13" s="5" t="inlineStr">
        <is>
          <t>TWD</t>
        </is>
      </c>
      <c r="D13" s="7" t="n">
        <v>37369.67</v>
      </c>
      <c r="E13" s="7" t="n">
        <v>30160.55</v>
      </c>
      <c r="F13" s="7" t="n">
        <v>38488.62</v>
      </c>
      <c r="G13" s="10" t="n">
        <v>0.7086</v>
      </c>
      <c r="H13" s="10" t="n">
        <v>0.4375</v>
      </c>
      <c r="I13" s="10" t="n">
        <v>0.582</v>
      </c>
    </row>
    <row r="14">
      <c r="A14" s="4" t="inlineStr">
        <is>
          <t>AAPL</t>
        </is>
      </c>
      <c r="B14" s="5" t="inlineStr">
        <is>
          <t>美國 🇺🇸</t>
        </is>
      </c>
      <c r="C14" s="5" t="inlineStr">
        <is>
          <t>USD</t>
        </is>
      </c>
      <c r="D14" s="7" t="n">
        <v>37181.89</v>
      </c>
      <c r="E14" s="7" t="n">
        <v>38646.08</v>
      </c>
      <c r="F14" s="7" t="n">
        <v>43723.62</v>
      </c>
      <c r="G14" s="10" t="n">
        <v>0.7050999999999999</v>
      </c>
      <c r="H14" s="10" t="n">
        <v>0.5606</v>
      </c>
      <c r="I14" s="10" t="n">
        <v>0.6611</v>
      </c>
    </row>
    <row r="15">
      <c r="A15" s="4" t="inlineStr">
        <is>
          <t>三星(005930.KS)</t>
        </is>
      </c>
      <c r="B15" s="5" t="inlineStr">
        <is>
          <t>韓國 🇰🇷</t>
        </is>
      </c>
      <c r="C15" s="5" t="inlineStr">
        <is>
          <t>KRW</t>
        </is>
      </c>
      <c r="D15" s="7" t="n">
        <v>598.8200000000001</v>
      </c>
      <c r="E15" s="7" t="n">
        <v>125.95</v>
      </c>
      <c r="F15" s="7" t="n">
        <v>586.5599999999999</v>
      </c>
      <c r="G15" s="10" t="n">
        <v>0.0114</v>
      </c>
      <c r="H15" s="10" t="n">
        <v>0.0018</v>
      </c>
      <c r="I15" s="10" t="n">
        <v>0.0089</v>
      </c>
    </row>
    <row r="16"/>
    <row r="17">
      <c r="A17" s="2" t="inlineStr">
        <is>
          <t>▌ 驗證核對表</t>
        </is>
      </c>
    </row>
    <row r="18">
      <c r="A18" s="38" t="inlineStr">
        <is>
          <t>驗證項目</t>
        </is>
      </c>
      <c r="B18" s="38" t="inlineStr">
        <is>
          <t>HS</t>
        </is>
      </c>
      <c r="C18" s="38" t="inlineStr">
        <is>
          <t>Parametric</t>
        </is>
      </c>
      <c r="D18" s="38" t="inlineStr">
        <is>
          <t>Monte Carlo</t>
        </is>
      </c>
      <c r="E18" s="38" t="inlineStr">
        <is>
          <t>預期結果</t>
        </is>
      </c>
      <c r="F18" s="38" t="inlineStr">
        <is>
          <t>通過?</t>
        </is>
      </c>
    </row>
    <row r="19">
      <c r="A19" s="4" t="inlineStr">
        <is>
          <t>Component VaR 加總 = 組合 VaR</t>
        </is>
      </c>
      <c r="B19" s="4" t="inlineStr">
        <is>
          <t>75,150 ≠ 52,735（近似）</t>
        </is>
      </c>
      <c r="C19" s="4" t="inlineStr">
        <is>
          <t>68,933 ≈ 68,933（精確）</t>
        </is>
      </c>
      <c r="D19" s="4" t="inlineStr">
        <is>
          <t>82,799 ≠ 66,136（近似）</t>
        </is>
      </c>
      <c r="E19" s="4" t="inlineStr">
        <is>
          <t>HS/MC 近似；Parametric 代數精確</t>
        </is>
      </c>
      <c r="F19" s="76" t="inlineStr">
        <is>
          <t>Param ✓</t>
        </is>
      </c>
    </row>
    <row r="20">
      <c r="A20" s="4" t="inlineStr">
        <is>
          <t>CVaR &gt; VaR</t>
        </is>
      </c>
      <c r="B20" s="4" t="inlineStr">
        <is>
          <t>✓</t>
        </is>
      </c>
      <c r="C20" s="4" t="inlineStr">
        <is>
          <t>✓</t>
        </is>
      </c>
      <c r="D20" s="4" t="inlineStr">
        <is>
          <t>✓</t>
        </is>
      </c>
      <c r="E20" s="4" t="inlineStr">
        <is>
          <t>必然成立（定義性質）</t>
        </is>
      </c>
      <c r="F20" s="76" t="inlineStr">
        <is>
          <t>✓</t>
        </is>
      </c>
    </row>
    <row r="21">
      <c r="A21" s="4" t="inlineStr">
        <is>
          <t>VaR &gt; 0</t>
        </is>
      </c>
      <c r="B21" s="4" t="inlineStr">
        <is>
          <t>✓</t>
        </is>
      </c>
      <c r="C21" s="4" t="inlineStr">
        <is>
          <t>✓</t>
        </is>
      </c>
      <c r="D21" s="4" t="inlineStr">
        <is>
          <t>✓</t>
        </is>
      </c>
      <c r="E21" s="4" t="inlineStr">
        <is>
          <t>正常市場必然</t>
        </is>
      </c>
      <c r="F21" s="76" t="inlineStr">
        <is>
          <t>✓</t>
        </is>
      </c>
    </row>
    <row r="22">
      <c r="A22" s="4" t="inlineStr">
        <is>
          <t>MC → Parametric 收斂</t>
        </is>
      </c>
      <c r="B22" s="4" t="inlineStr">
        <is>
          <t>—</t>
        </is>
      </c>
      <c r="C22" s="4" t="inlineStr">
        <is>
          <t>68,933</t>
        </is>
      </c>
      <c r="D22" s="4" t="inlineStr">
        <is>
          <t>66,136（差 4.1%）</t>
        </is>
      </c>
      <c r="E22" s="4" t="inlineStr">
        <is>
          <t>大樣本下 MC ≈ Param（同常態假設）</t>
        </is>
      </c>
      <c r="F22" s="76" t="inlineStr">
        <is>
          <t>✓</t>
        </is>
      </c>
    </row>
    <row r="23"/>
    <row r="24">
      <c r="A24" s="14" t="inlineStr">
        <is>
          <t>資料期間：2024-01-16 ~ 2024-12-31，T=250，N_MC=5,000，α=99%，h=1日。</t>
        </is>
      </c>
    </row>
  </sheetData>
  <mergeCells count="5">
    <mergeCell ref="A11:L11"/>
    <mergeCell ref="A24:K24"/>
    <mergeCell ref="A17:L17"/>
    <mergeCell ref="A1:H1"/>
    <mergeCell ref="A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2026-04-13T08:25:34Z</dcterms:created>
  <dcterms:modified xmlns:dcterms="http://purl.org/dc/terms/" xmlns:xsi="http://www.w3.org/2001/XMLSchema-instance" xsi:type="dcterms:W3CDTF">2026-04-13T08:25:35Z</dcterms:modified>
</cp:coreProperties>
</file>