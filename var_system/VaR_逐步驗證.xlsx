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hs\Claude_DoctoCode\var_system\"/>
    </mc:Choice>
  </mc:AlternateContent>
  <xr:revisionPtr revIDLastSave="0" documentId="13_ncr:20001_{739F6DAE-D694-410D-AFE6-730E92EEC27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①基本設定" sheetId="1" r:id="rId1"/>
    <sheet name="②原始價格與FX" sheetId="2" r:id="rId2"/>
    <sheet name="③回報計算FX調整" sheetId="3" r:id="rId3"/>
    <sheet name="④HS歷史模擬法" sheetId="4" r:id="rId4"/>
    <sheet name="⑤參數法Parametric" sheetId="5" r:id="rId5"/>
    <sheet name="⑥Monte Carlo模擬" sheetId="6" r:id="rId6"/>
    <sheet name="⑦三法彙總比較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5" l="1"/>
  <c r="D16" i="5"/>
  <c r="D15" i="5"/>
  <c r="C15" i="5"/>
  <c r="C16" i="5"/>
  <c r="C17" i="5"/>
  <c r="B17" i="5"/>
  <c r="B16" i="5"/>
  <c r="B15" i="5"/>
  <c r="B14" i="6" s="1"/>
  <c r="B34" i="6"/>
  <c r="B33" i="6"/>
  <c r="B32" i="6"/>
  <c r="C47" i="5"/>
  <c r="C46" i="5"/>
  <c r="C45" i="5"/>
  <c r="C44" i="5"/>
  <c r="C43" i="5"/>
  <c r="B42" i="5"/>
  <c r="B29" i="5"/>
  <c r="B53" i="5" s="1"/>
  <c r="B28" i="5"/>
  <c r="B52" i="5" s="1"/>
  <c r="B27" i="5"/>
  <c r="F265" i="3"/>
  <c r="E265" i="3"/>
  <c r="D265" i="3"/>
  <c r="I265" i="3" s="1"/>
  <c r="C265" i="3"/>
  <c r="H265" i="3" s="1"/>
  <c r="B265" i="3"/>
  <c r="G265" i="3" s="1"/>
  <c r="J265" i="3" s="1"/>
  <c r="C263" i="4" s="1"/>
  <c r="I264" i="3"/>
  <c r="H264" i="3"/>
  <c r="G264" i="3"/>
  <c r="J264" i="3" s="1"/>
  <c r="C262" i="4" s="1"/>
  <c r="F264" i="3"/>
  <c r="E264" i="3"/>
  <c r="D264" i="3"/>
  <c r="C264" i="3"/>
  <c r="B264" i="3"/>
  <c r="I263" i="3"/>
  <c r="H263" i="3"/>
  <c r="F263" i="3"/>
  <c r="E263" i="3"/>
  <c r="D263" i="3"/>
  <c r="C263" i="3"/>
  <c r="B263" i="3"/>
  <c r="G263" i="3" s="1"/>
  <c r="F262" i="3"/>
  <c r="I262" i="3" s="1"/>
  <c r="E262" i="3"/>
  <c r="D262" i="3"/>
  <c r="C262" i="3"/>
  <c r="H262" i="3" s="1"/>
  <c r="B262" i="3"/>
  <c r="G262" i="3" s="1"/>
  <c r="J262" i="3" s="1"/>
  <c r="C260" i="4" s="1"/>
  <c r="F261" i="3"/>
  <c r="E261" i="3"/>
  <c r="D261" i="3"/>
  <c r="I261" i="3" s="1"/>
  <c r="C261" i="3"/>
  <c r="H261" i="3" s="1"/>
  <c r="B261" i="3"/>
  <c r="G261" i="3" s="1"/>
  <c r="I260" i="3"/>
  <c r="H260" i="3"/>
  <c r="G260" i="3"/>
  <c r="J260" i="3" s="1"/>
  <c r="C258" i="4" s="1"/>
  <c r="F260" i="3"/>
  <c r="E260" i="3"/>
  <c r="D260" i="3"/>
  <c r="C260" i="3"/>
  <c r="B260" i="3"/>
  <c r="I259" i="3"/>
  <c r="H259" i="3"/>
  <c r="F259" i="3"/>
  <c r="E259" i="3"/>
  <c r="D259" i="3"/>
  <c r="C259" i="3"/>
  <c r="B259" i="3"/>
  <c r="G259" i="3" s="1"/>
  <c r="J259" i="3" s="1"/>
  <c r="C257" i="4" s="1"/>
  <c r="F258" i="3"/>
  <c r="I258" i="3" s="1"/>
  <c r="E258" i="3"/>
  <c r="D258" i="3"/>
  <c r="C258" i="3"/>
  <c r="B258" i="3"/>
  <c r="G258" i="3" s="1"/>
  <c r="F257" i="3"/>
  <c r="E257" i="3"/>
  <c r="D257" i="3"/>
  <c r="I257" i="3" s="1"/>
  <c r="C257" i="3"/>
  <c r="H257" i="3" s="1"/>
  <c r="B257" i="3"/>
  <c r="G257" i="3" s="1"/>
  <c r="I256" i="3"/>
  <c r="H256" i="3"/>
  <c r="G256" i="3"/>
  <c r="J256" i="3" s="1"/>
  <c r="C254" i="4" s="1"/>
  <c r="F256" i="3"/>
  <c r="E256" i="3"/>
  <c r="D256" i="3"/>
  <c r="C256" i="3"/>
  <c r="B256" i="3"/>
  <c r="I255" i="3"/>
  <c r="H255" i="3"/>
  <c r="F255" i="3"/>
  <c r="E255" i="3"/>
  <c r="D255" i="3"/>
  <c r="C255" i="3"/>
  <c r="B255" i="3"/>
  <c r="G255" i="3" s="1"/>
  <c r="F254" i="3"/>
  <c r="I254" i="3" s="1"/>
  <c r="E254" i="3"/>
  <c r="D254" i="3"/>
  <c r="C254" i="3"/>
  <c r="H254" i="3" s="1"/>
  <c r="B254" i="3"/>
  <c r="G254" i="3" s="1"/>
  <c r="F253" i="3"/>
  <c r="E253" i="3"/>
  <c r="D253" i="3"/>
  <c r="I253" i="3" s="1"/>
  <c r="C253" i="3"/>
  <c r="H253" i="3" s="1"/>
  <c r="B253" i="3"/>
  <c r="G253" i="3" s="1"/>
  <c r="I252" i="3"/>
  <c r="H252" i="3"/>
  <c r="G252" i="3"/>
  <c r="J252" i="3" s="1"/>
  <c r="C250" i="4" s="1"/>
  <c r="F252" i="3"/>
  <c r="E252" i="3"/>
  <c r="D252" i="3"/>
  <c r="C252" i="3"/>
  <c r="B252" i="3"/>
  <c r="I251" i="3"/>
  <c r="H251" i="3"/>
  <c r="F251" i="3"/>
  <c r="E251" i="3"/>
  <c r="D251" i="3"/>
  <c r="C251" i="3"/>
  <c r="B251" i="3"/>
  <c r="G251" i="3" s="1"/>
  <c r="J251" i="3" s="1"/>
  <c r="C249" i="4" s="1"/>
  <c r="F250" i="3"/>
  <c r="I250" i="3" s="1"/>
  <c r="E250" i="3"/>
  <c r="D250" i="3"/>
  <c r="C250" i="3"/>
  <c r="H250" i="3" s="1"/>
  <c r="B250" i="3"/>
  <c r="G250" i="3" s="1"/>
  <c r="F249" i="3"/>
  <c r="I249" i="3" s="1"/>
  <c r="E249" i="3"/>
  <c r="D249" i="3"/>
  <c r="C249" i="3"/>
  <c r="H249" i="3" s="1"/>
  <c r="B249" i="3"/>
  <c r="G249" i="3" s="1"/>
  <c r="J249" i="3" s="1"/>
  <c r="C247" i="4" s="1"/>
  <c r="I248" i="3"/>
  <c r="H248" i="3"/>
  <c r="G248" i="3"/>
  <c r="F248" i="3"/>
  <c r="E248" i="3"/>
  <c r="D248" i="3"/>
  <c r="C248" i="3"/>
  <c r="B248" i="3"/>
  <c r="I247" i="3"/>
  <c r="F247" i="3"/>
  <c r="E247" i="3"/>
  <c r="H247" i="3" s="1"/>
  <c r="D247" i="3"/>
  <c r="C247" i="3"/>
  <c r="B247" i="3"/>
  <c r="G247" i="3" s="1"/>
  <c r="F246" i="3"/>
  <c r="I246" i="3" s="1"/>
  <c r="E246" i="3"/>
  <c r="D246" i="3"/>
  <c r="C246" i="3"/>
  <c r="B246" i="3"/>
  <c r="G246" i="3" s="1"/>
  <c r="F245" i="3"/>
  <c r="I245" i="3" s="1"/>
  <c r="E245" i="3"/>
  <c r="D245" i="3"/>
  <c r="C245" i="3"/>
  <c r="H245" i="3" s="1"/>
  <c r="B245" i="3"/>
  <c r="G245" i="3" s="1"/>
  <c r="I244" i="3"/>
  <c r="H244" i="3"/>
  <c r="G244" i="3"/>
  <c r="J244" i="3" s="1"/>
  <c r="C242" i="4" s="1"/>
  <c r="F244" i="3"/>
  <c r="E244" i="3"/>
  <c r="D244" i="3"/>
  <c r="C244" i="3"/>
  <c r="B244" i="3"/>
  <c r="I243" i="3"/>
  <c r="H243" i="3"/>
  <c r="F243" i="3"/>
  <c r="E243" i="3"/>
  <c r="D243" i="3"/>
  <c r="C243" i="3"/>
  <c r="B243" i="3"/>
  <c r="G243" i="3" s="1"/>
  <c r="J243" i="3" s="1"/>
  <c r="C241" i="4" s="1"/>
  <c r="F242" i="3"/>
  <c r="I242" i="3" s="1"/>
  <c r="E242" i="3"/>
  <c r="D242" i="3"/>
  <c r="C242" i="3"/>
  <c r="H242" i="3" s="1"/>
  <c r="B242" i="3"/>
  <c r="G242" i="3" s="1"/>
  <c r="F241" i="3"/>
  <c r="I241" i="3" s="1"/>
  <c r="E241" i="3"/>
  <c r="D241" i="3"/>
  <c r="C241" i="3"/>
  <c r="H241" i="3" s="1"/>
  <c r="B241" i="3"/>
  <c r="G241" i="3" s="1"/>
  <c r="J241" i="3" s="1"/>
  <c r="C239" i="4" s="1"/>
  <c r="I240" i="3"/>
  <c r="H240" i="3"/>
  <c r="G240" i="3"/>
  <c r="F240" i="3"/>
  <c r="E240" i="3"/>
  <c r="D240" i="3"/>
  <c r="C240" i="3"/>
  <c r="B240" i="3"/>
  <c r="I239" i="3"/>
  <c r="F239" i="3"/>
  <c r="E239" i="3"/>
  <c r="H239" i="3" s="1"/>
  <c r="D239" i="3"/>
  <c r="C239" i="3"/>
  <c r="B239" i="3"/>
  <c r="G239" i="3" s="1"/>
  <c r="F238" i="3"/>
  <c r="I238" i="3" s="1"/>
  <c r="E238" i="3"/>
  <c r="D238" i="3"/>
  <c r="C238" i="3"/>
  <c r="H238" i="3" s="1"/>
  <c r="B238" i="3"/>
  <c r="G238" i="3" s="1"/>
  <c r="F237" i="3"/>
  <c r="I237" i="3" s="1"/>
  <c r="E237" i="3"/>
  <c r="D237" i="3"/>
  <c r="C237" i="3"/>
  <c r="H237" i="3" s="1"/>
  <c r="B237" i="3"/>
  <c r="G237" i="3" s="1"/>
  <c r="I236" i="3"/>
  <c r="H236" i="3"/>
  <c r="G236" i="3"/>
  <c r="J236" i="3" s="1"/>
  <c r="C234" i="4" s="1"/>
  <c r="F236" i="3"/>
  <c r="E236" i="3"/>
  <c r="D236" i="3"/>
  <c r="C236" i="3"/>
  <c r="B236" i="3"/>
  <c r="I235" i="3"/>
  <c r="F235" i="3"/>
  <c r="E235" i="3"/>
  <c r="H235" i="3" s="1"/>
  <c r="D235" i="3"/>
  <c r="C235" i="3"/>
  <c r="B235" i="3"/>
  <c r="G235" i="3" s="1"/>
  <c r="F234" i="3"/>
  <c r="I234" i="3" s="1"/>
  <c r="E234" i="3"/>
  <c r="D234" i="3"/>
  <c r="C234" i="3"/>
  <c r="B234" i="3"/>
  <c r="G234" i="3" s="1"/>
  <c r="F233" i="3"/>
  <c r="I233" i="3" s="1"/>
  <c r="E233" i="3"/>
  <c r="D233" i="3"/>
  <c r="C233" i="3"/>
  <c r="H233" i="3" s="1"/>
  <c r="B233" i="3"/>
  <c r="G233" i="3" s="1"/>
  <c r="J233" i="3" s="1"/>
  <c r="C231" i="4" s="1"/>
  <c r="I232" i="3"/>
  <c r="H232" i="3"/>
  <c r="G232" i="3"/>
  <c r="F232" i="3"/>
  <c r="E232" i="3"/>
  <c r="D232" i="3"/>
  <c r="C232" i="3"/>
  <c r="B232" i="3"/>
  <c r="H231" i="3"/>
  <c r="F231" i="3"/>
  <c r="I231" i="3" s="1"/>
  <c r="E231" i="3"/>
  <c r="D231" i="3"/>
  <c r="C231" i="3"/>
  <c r="B231" i="3"/>
  <c r="G231" i="3" s="1"/>
  <c r="I230" i="3"/>
  <c r="F230" i="3"/>
  <c r="E230" i="3"/>
  <c r="D230" i="3"/>
  <c r="C230" i="3"/>
  <c r="H230" i="3" s="1"/>
  <c r="B230" i="3"/>
  <c r="G230" i="3" s="1"/>
  <c r="H229" i="3"/>
  <c r="F229" i="3"/>
  <c r="I229" i="3" s="1"/>
  <c r="E229" i="3"/>
  <c r="D229" i="3"/>
  <c r="C229" i="3"/>
  <c r="B229" i="3"/>
  <c r="G229" i="3" s="1"/>
  <c r="I228" i="3"/>
  <c r="G228" i="3"/>
  <c r="F228" i="3"/>
  <c r="E228" i="3"/>
  <c r="D228" i="3"/>
  <c r="C228" i="3"/>
  <c r="H228" i="3" s="1"/>
  <c r="B228" i="3"/>
  <c r="I227" i="3"/>
  <c r="H227" i="3"/>
  <c r="F227" i="3"/>
  <c r="E227" i="3"/>
  <c r="D227" i="3"/>
  <c r="C227" i="3"/>
  <c r="B227" i="3"/>
  <c r="G227" i="3" s="1"/>
  <c r="F226" i="3"/>
  <c r="I226" i="3" s="1"/>
  <c r="E226" i="3"/>
  <c r="D226" i="3"/>
  <c r="C226" i="3"/>
  <c r="H226" i="3" s="1"/>
  <c r="B226" i="3"/>
  <c r="G226" i="3" s="1"/>
  <c r="H225" i="3"/>
  <c r="J225" i="3" s="1"/>
  <c r="C223" i="4" s="1"/>
  <c r="F225" i="3"/>
  <c r="I225" i="3" s="1"/>
  <c r="E225" i="3"/>
  <c r="D225" i="3"/>
  <c r="C225" i="3"/>
  <c r="B225" i="3"/>
  <c r="G225" i="3" s="1"/>
  <c r="I224" i="3"/>
  <c r="G224" i="3"/>
  <c r="F224" i="3"/>
  <c r="E224" i="3"/>
  <c r="D224" i="3"/>
  <c r="C224" i="3"/>
  <c r="H224" i="3" s="1"/>
  <c r="B224" i="3"/>
  <c r="H223" i="3"/>
  <c r="F223" i="3"/>
  <c r="E223" i="3"/>
  <c r="D223" i="3"/>
  <c r="I223" i="3" s="1"/>
  <c r="C223" i="3"/>
  <c r="B223" i="3"/>
  <c r="G223" i="3" s="1"/>
  <c r="F222" i="3"/>
  <c r="I222" i="3" s="1"/>
  <c r="E222" i="3"/>
  <c r="D222" i="3"/>
  <c r="C222" i="3"/>
  <c r="B222" i="3"/>
  <c r="G222" i="3" s="1"/>
  <c r="F221" i="3"/>
  <c r="I221" i="3" s="1"/>
  <c r="E221" i="3"/>
  <c r="D221" i="3"/>
  <c r="C221" i="3"/>
  <c r="H221" i="3" s="1"/>
  <c r="B221" i="3"/>
  <c r="G221" i="3" s="1"/>
  <c r="J221" i="3" s="1"/>
  <c r="C219" i="4" s="1"/>
  <c r="I220" i="3"/>
  <c r="G220" i="3"/>
  <c r="F220" i="3"/>
  <c r="E220" i="3"/>
  <c r="D220" i="3"/>
  <c r="C220" i="3"/>
  <c r="H220" i="3" s="1"/>
  <c r="B220" i="3"/>
  <c r="F219" i="3"/>
  <c r="E219" i="3"/>
  <c r="H219" i="3" s="1"/>
  <c r="D219" i="3"/>
  <c r="I219" i="3" s="1"/>
  <c r="C219" i="3"/>
  <c r="B219" i="3"/>
  <c r="G219" i="3" s="1"/>
  <c r="F218" i="3"/>
  <c r="I218" i="3" s="1"/>
  <c r="E218" i="3"/>
  <c r="D218" i="3"/>
  <c r="C218" i="3"/>
  <c r="B218" i="3"/>
  <c r="G218" i="3" s="1"/>
  <c r="H217" i="3"/>
  <c r="J217" i="3" s="1"/>
  <c r="C215" i="4" s="1"/>
  <c r="F217" i="3"/>
  <c r="I217" i="3" s="1"/>
  <c r="E217" i="3"/>
  <c r="D217" i="3"/>
  <c r="C217" i="3"/>
  <c r="B217" i="3"/>
  <c r="G217" i="3" s="1"/>
  <c r="I216" i="3"/>
  <c r="G216" i="3"/>
  <c r="F216" i="3"/>
  <c r="E216" i="3"/>
  <c r="D216" i="3"/>
  <c r="C216" i="3"/>
  <c r="H216" i="3" s="1"/>
  <c r="B216" i="3"/>
  <c r="I215" i="3"/>
  <c r="H215" i="3"/>
  <c r="F215" i="3"/>
  <c r="E215" i="3"/>
  <c r="D215" i="3"/>
  <c r="C215" i="3"/>
  <c r="B215" i="3"/>
  <c r="G215" i="3" s="1"/>
  <c r="F214" i="3"/>
  <c r="I214" i="3" s="1"/>
  <c r="E214" i="3"/>
  <c r="D214" i="3"/>
  <c r="C214" i="3"/>
  <c r="H214" i="3" s="1"/>
  <c r="B214" i="3"/>
  <c r="G214" i="3" s="1"/>
  <c r="H213" i="3"/>
  <c r="J213" i="3" s="1"/>
  <c r="C211" i="4" s="1"/>
  <c r="F213" i="3"/>
  <c r="I213" i="3" s="1"/>
  <c r="E213" i="3"/>
  <c r="D213" i="3"/>
  <c r="C213" i="3"/>
  <c r="B213" i="3"/>
  <c r="G213" i="3" s="1"/>
  <c r="I212" i="3"/>
  <c r="G212" i="3"/>
  <c r="F212" i="3"/>
  <c r="E212" i="3"/>
  <c r="D212" i="3"/>
  <c r="C212" i="3"/>
  <c r="H212" i="3" s="1"/>
  <c r="B212" i="3"/>
  <c r="H211" i="3"/>
  <c r="F211" i="3"/>
  <c r="E211" i="3"/>
  <c r="D211" i="3"/>
  <c r="I211" i="3" s="1"/>
  <c r="C211" i="3"/>
  <c r="B211" i="3"/>
  <c r="G211" i="3" s="1"/>
  <c r="F210" i="3"/>
  <c r="I210" i="3" s="1"/>
  <c r="E210" i="3"/>
  <c r="D210" i="3"/>
  <c r="C210" i="3"/>
  <c r="B210" i="3"/>
  <c r="G210" i="3" s="1"/>
  <c r="F209" i="3"/>
  <c r="I209" i="3" s="1"/>
  <c r="E209" i="3"/>
  <c r="D209" i="3"/>
  <c r="C209" i="3"/>
  <c r="H209" i="3" s="1"/>
  <c r="B209" i="3"/>
  <c r="G209" i="3" s="1"/>
  <c r="J209" i="3" s="1"/>
  <c r="C207" i="4" s="1"/>
  <c r="I208" i="3"/>
  <c r="G208" i="3"/>
  <c r="F208" i="3"/>
  <c r="E208" i="3"/>
  <c r="D208" i="3"/>
  <c r="C208" i="3"/>
  <c r="H208" i="3" s="1"/>
  <c r="B208" i="3"/>
  <c r="F207" i="3"/>
  <c r="E207" i="3"/>
  <c r="H207" i="3" s="1"/>
  <c r="D207" i="3"/>
  <c r="I207" i="3" s="1"/>
  <c r="C207" i="3"/>
  <c r="B207" i="3"/>
  <c r="G207" i="3" s="1"/>
  <c r="F206" i="3"/>
  <c r="I206" i="3" s="1"/>
  <c r="E206" i="3"/>
  <c r="D206" i="3"/>
  <c r="C206" i="3"/>
  <c r="B206" i="3"/>
  <c r="G206" i="3" s="1"/>
  <c r="H205" i="3"/>
  <c r="J205" i="3" s="1"/>
  <c r="C203" i="4" s="1"/>
  <c r="F205" i="3"/>
  <c r="I205" i="3" s="1"/>
  <c r="E205" i="3"/>
  <c r="D205" i="3"/>
  <c r="C205" i="3"/>
  <c r="B205" i="3"/>
  <c r="G205" i="3" s="1"/>
  <c r="I204" i="3"/>
  <c r="G204" i="3"/>
  <c r="F204" i="3"/>
  <c r="E204" i="3"/>
  <c r="D204" i="3"/>
  <c r="C204" i="3"/>
  <c r="H204" i="3" s="1"/>
  <c r="B204" i="3"/>
  <c r="I203" i="3"/>
  <c r="H203" i="3"/>
  <c r="F203" i="3"/>
  <c r="E203" i="3"/>
  <c r="D203" i="3"/>
  <c r="C203" i="3"/>
  <c r="B203" i="3"/>
  <c r="G203" i="3" s="1"/>
  <c r="F202" i="3"/>
  <c r="I202" i="3" s="1"/>
  <c r="E202" i="3"/>
  <c r="D202" i="3"/>
  <c r="C202" i="3"/>
  <c r="H202" i="3" s="1"/>
  <c r="B202" i="3"/>
  <c r="G202" i="3" s="1"/>
  <c r="H201" i="3"/>
  <c r="J201" i="3" s="1"/>
  <c r="C199" i="4" s="1"/>
  <c r="F201" i="3"/>
  <c r="I201" i="3" s="1"/>
  <c r="E201" i="3"/>
  <c r="D201" i="3"/>
  <c r="C201" i="3"/>
  <c r="B201" i="3"/>
  <c r="G201" i="3" s="1"/>
  <c r="I200" i="3"/>
  <c r="G200" i="3"/>
  <c r="F200" i="3"/>
  <c r="E200" i="3"/>
  <c r="D200" i="3"/>
  <c r="C200" i="3"/>
  <c r="H200" i="3" s="1"/>
  <c r="B200" i="3"/>
  <c r="H199" i="3"/>
  <c r="F199" i="3"/>
  <c r="E199" i="3"/>
  <c r="D199" i="3"/>
  <c r="I199" i="3" s="1"/>
  <c r="C199" i="3"/>
  <c r="B199" i="3"/>
  <c r="G199" i="3" s="1"/>
  <c r="H198" i="3"/>
  <c r="F198" i="3"/>
  <c r="I198" i="3" s="1"/>
  <c r="E198" i="3"/>
  <c r="D198" i="3"/>
  <c r="C198" i="3"/>
  <c r="B198" i="3"/>
  <c r="G198" i="3" s="1"/>
  <c r="F197" i="3"/>
  <c r="I197" i="3" s="1"/>
  <c r="E197" i="3"/>
  <c r="D197" i="3"/>
  <c r="C197" i="3"/>
  <c r="H197" i="3" s="1"/>
  <c r="B197" i="3"/>
  <c r="G197" i="3" s="1"/>
  <c r="J197" i="3" s="1"/>
  <c r="C195" i="4" s="1"/>
  <c r="I196" i="3"/>
  <c r="H196" i="3"/>
  <c r="F196" i="3"/>
  <c r="E196" i="3"/>
  <c r="D196" i="3"/>
  <c r="C196" i="3"/>
  <c r="B196" i="3"/>
  <c r="G196" i="3" s="1"/>
  <c r="J196" i="3" s="1"/>
  <c r="C194" i="4" s="1"/>
  <c r="H195" i="3"/>
  <c r="F195" i="3"/>
  <c r="E195" i="3"/>
  <c r="D195" i="3"/>
  <c r="I195" i="3" s="1"/>
  <c r="C195" i="3"/>
  <c r="B195" i="3"/>
  <c r="G195" i="3" s="1"/>
  <c r="I194" i="3"/>
  <c r="H194" i="3"/>
  <c r="F194" i="3"/>
  <c r="E194" i="3"/>
  <c r="D194" i="3"/>
  <c r="C194" i="3"/>
  <c r="B194" i="3"/>
  <c r="G194" i="3" s="1"/>
  <c r="J194" i="3" s="1"/>
  <c r="C192" i="4" s="1"/>
  <c r="H193" i="3"/>
  <c r="J193" i="3" s="1"/>
  <c r="C191" i="4" s="1"/>
  <c r="F193" i="3"/>
  <c r="I193" i="3" s="1"/>
  <c r="E193" i="3"/>
  <c r="D193" i="3"/>
  <c r="C193" i="3"/>
  <c r="B193" i="3"/>
  <c r="G193" i="3" s="1"/>
  <c r="I192" i="3"/>
  <c r="G192" i="3"/>
  <c r="F192" i="3"/>
  <c r="E192" i="3"/>
  <c r="D192" i="3"/>
  <c r="C192" i="3"/>
  <c r="H192" i="3" s="1"/>
  <c r="B192" i="3"/>
  <c r="I191" i="3"/>
  <c r="F191" i="3"/>
  <c r="E191" i="3"/>
  <c r="H191" i="3" s="1"/>
  <c r="D191" i="3"/>
  <c r="C191" i="3"/>
  <c r="B191" i="3"/>
  <c r="G191" i="3" s="1"/>
  <c r="H190" i="3"/>
  <c r="F190" i="3"/>
  <c r="I190" i="3" s="1"/>
  <c r="E190" i="3"/>
  <c r="D190" i="3"/>
  <c r="C190" i="3"/>
  <c r="B190" i="3"/>
  <c r="G190" i="3" s="1"/>
  <c r="H189" i="3"/>
  <c r="F189" i="3"/>
  <c r="I189" i="3" s="1"/>
  <c r="E189" i="3"/>
  <c r="D189" i="3"/>
  <c r="C189" i="3"/>
  <c r="B189" i="3"/>
  <c r="G189" i="3" s="1"/>
  <c r="J189" i="3" s="1"/>
  <c r="C187" i="4" s="1"/>
  <c r="I188" i="3"/>
  <c r="H188" i="3"/>
  <c r="F188" i="3"/>
  <c r="E188" i="3"/>
  <c r="D188" i="3"/>
  <c r="C188" i="3"/>
  <c r="B188" i="3"/>
  <c r="G188" i="3" s="1"/>
  <c r="J188" i="3" s="1"/>
  <c r="C186" i="4" s="1"/>
  <c r="F187" i="3"/>
  <c r="E187" i="3"/>
  <c r="H187" i="3" s="1"/>
  <c r="D187" i="3"/>
  <c r="I187" i="3" s="1"/>
  <c r="C187" i="3"/>
  <c r="B187" i="3"/>
  <c r="G187" i="3" s="1"/>
  <c r="I186" i="3"/>
  <c r="F186" i="3"/>
  <c r="E186" i="3"/>
  <c r="D186" i="3"/>
  <c r="C186" i="3"/>
  <c r="H186" i="3" s="1"/>
  <c r="B186" i="3"/>
  <c r="G186" i="3" s="1"/>
  <c r="H185" i="3"/>
  <c r="J185" i="3" s="1"/>
  <c r="C183" i="4" s="1"/>
  <c r="F185" i="3"/>
  <c r="I185" i="3" s="1"/>
  <c r="E185" i="3"/>
  <c r="D185" i="3"/>
  <c r="C185" i="3"/>
  <c r="B185" i="3"/>
  <c r="G185" i="3" s="1"/>
  <c r="I184" i="3"/>
  <c r="G184" i="3"/>
  <c r="F184" i="3"/>
  <c r="E184" i="3"/>
  <c r="D184" i="3"/>
  <c r="C184" i="3"/>
  <c r="H184" i="3" s="1"/>
  <c r="B184" i="3"/>
  <c r="I183" i="3"/>
  <c r="H183" i="3"/>
  <c r="F183" i="3"/>
  <c r="E183" i="3"/>
  <c r="D183" i="3"/>
  <c r="C183" i="3"/>
  <c r="B183" i="3"/>
  <c r="G183" i="3" s="1"/>
  <c r="I182" i="3"/>
  <c r="F182" i="3"/>
  <c r="E182" i="3"/>
  <c r="H182" i="3" s="1"/>
  <c r="D182" i="3"/>
  <c r="C182" i="3"/>
  <c r="B182" i="3"/>
  <c r="G182" i="3" s="1"/>
  <c r="F181" i="3"/>
  <c r="I181" i="3" s="1"/>
  <c r="E181" i="3"/>
  <c r="D181" i="3"/>
  <c r="C181" i="3"/>
  <c r="H181" i="3" s="1"/>
  <c r="B181" i="3"/>
  <c r="G181" i="3" s="1"/>
  <c r="J181" i="3" s="1"/>
  <c r="C179" i="4" s="1"/>
  <c r="I180" i="3"/>
  <c r="H180" i="3"/>
  <c r="F180" i="3"/>
  <c r="E180" i="3"/>
  <c r="D180" i="3"/>
  <c r="C180" i="3"/>
  <c r="B180" i="3"/>
  <c r="G180" i="3" s="1"/>
  <c r="J180" i="3" s="1"/>
  <c r="C178" i="4" s="1"/>
  <c r="I179" i="3"/>
  <c r="F179" i="3"/>
  <c r="E179" i="3"/>
  <c r="H179" i="3" s="1"/>
  <c r="D179" i="3"/>
  <c r="C179" i="3"/>
  <c r="B179" i="3"/>
  <c r="G179" i="3" s="1"/>
  <c r="I178" i="3"/>
  <c r="H178" i="3"/>
  <c r="F178" i="3"/>
  <c r="E178" i="3"/>
  <c r="D178" i="3"/>
  <c r="C178" i="3"/>
  <c r="B178" i="3"/>
  <c r="G178" i="3" s="1"/>
  <c r="F177" i="3"/>
  <c r="I177" i="3" s="1"/>
  <c r="E177" i="3"/>
  <c r="H177" i="3" s="1"/>
  <c r="D177" i="3"/>
  <c r="C177" i="3"/>
  <c r="B177" i="3"/>
  <c r="G177" i="3" s="1"/>
  <c r="J177" i="3" s="1"/>
  <c r="C175" i="4" s="1"/>
  <c r="H176" i="3"/>
  <c r="F176" i="3"/>
  <c r="E176" i="3"/>
  <c r="D176" i="3"/>
  <c r="I176" i="3" s="1"/>
  <c r="C176" i="3"/>
  <c r="B176" i="3"/>
  <c r="G176" i="3" s="1"/>
  <c r="H175" i="3"/>
  <c r="F175" i="3"/>
  <c r="E175" i="3"/>
  <c r="D175" i="3"/>
  <c r="I175" i="3" s="1"/>
  <c r="C175" i="3"/>
  <c r="B175" i="3"/>
  <c r="G175" i="3" s="1"/>
  <c r="J175" i="3" s="1"/>
  <c r="C173" i="4" s="1"/>
  <c r="F174" i="3"/>
  <c r="I174" i="3" s="1"/>
  <c r="E174" i="3"/>
  <c r="D174" i="3"/>
  <c r="C174" i="3"/>
  <c r="H174" i="3" s="1"/>
  <c r="B174" i="3"/>
  <c r="G174" i="3" s="1"/>
  <c r="H173" i="3"/>
  <c r="F173" i="3"/>
  <c r="I173" i="3" s="1"/>
  <c r="E173" i="3"/>
  <c r="D173" i="3"/>
  <c r="C173" i="3"/>
  <c r="B173" i="3"/>
  <c r="G173" i="3" s="1"/>
  <c r="J173" i="3" s="1"/>
  <c r="C171" i="4" s="1"/>
  <c r="I172" i="3"/>
  <c r="G172" i="3"/>
  <c r="J172" i="3" s="1"/>
  <c r="C170" i="4" s="1"/>
  <c r="F172" i="3"/>
  <c r="E172" i="3"/>
  <c r="D172" i="3"/>
  <c r="C172" i="3"/>
  <c r="H172" i="3" s="1"/>
  <c r="B172" i="3"/>
  <c r="I171" i="3"/>
  <c r="G171" i="3"/>
  <c r="F171" i="3"/>
  <c r="E171" i="3"/>
  <c r="H171" i="3" s="1"/>
  <c r="D171" i="3"/>
  <c r="C171" i="3"/>
  <c r="B171" i="3"/>
  <c r="F170" i="3"/>
  <c r="I170" i="3" s="1"/>
  <c r="E170" i="3"/>
  <c r="D170" i="3"/>
  <c r="C170" i="3"/>
  <c r="H170" i="3" s="1"/>
  <c r="B170" i="3"/>
  <c r="G170" i="3" s="1"/>
  <c r="G169" i="3"/>
  <c r="F169" i="3"/>
  <c r="I169" i="3" s="1"/>
  <c r="E169" i="3"/>
  <c r="D169" i="3"/>
  <c r="C169" i="3"/>
  <c r="H169" i="3" s="1"/>
  <c r="J169" i="3" s="1"/>
  <c r="C167" i="4" s="1"/>
  <c r="B169" i="3"/>
  <c r="H168" i="3"/>
  <c r="F168" i="3"/>
  <c r="E168" i="3"/>
  <c r="D168" i="3"/>
  <c r="I168" i="3" s="1"/>
  <c r="C168" i="3"/>
  <c r="B168" i="3"/>
  <c r="G168" i="3" s="1"/>
  <c r="H167" i="3"/>
  <c r="F167" i="3"/>
  <c r="E167" i="3"/>
  <c r="D167" i="3"/>
  <c r="I167" i="3" s="1"/>
  <c r="C167" i="3"/>
  <c r="B167" i="3"/>
  <c r="G167" i="3" s="1"/>
  <c r="J167" i="3" s="1"/>
  <c r="C165" i="4" s="1"/>
  <c r="F166" i="3"/>
  <c r="I166" i="3" s="1"/>
  <c r="E166" i="3"/>
  <c r="D166" i="3"/>
  <c r="C166" i="3"/>
  <c r="H166" i="3" s="1"/>
  <c r="B166" i="3"/>
  <c r="G166" i="3" s="1"/>
  <c r="H165" i="3"/>
  <c r="F165" i="3"/>
  <c r="I165" i="3" s="1"/>
  <c r="E165" i="3"/>
  <c r="D165" i="3"/>
  <c r="C165" i="3"/>
  <c r="B165" i="3"/>
  <c r="G165" i="3" s="1"/>
  <c r="J165" i="3" s="1"/>
  <c r="C163" i="4" s="1"/>
  <c r="I164" i="3"/>
  <c r="G164" i="3"/>
  <c r="J164" i="3" s="1"/>
  <c r="C162" i="4" s="1"/>
  <c r="F164" i="3"/>
  <c r="E164" i="3"/>
  <c r="D164" i="3"/>
  <c r="C164" i="3"/>
  <c r="H164" i="3" s="1"/>
  <c r="B164" i="3"/>
  <c r="I163" i="3"/>
  <c r="G163" i="3"/>
  <c r="F163" i="3"/>
  <c r="E163" i="3"/>
  <c r="H163" i="3" s="1"/>
  <c r="D163" i="3"/>
  <c r="C163" i="3"/>
  <c r="B163" i="3"/>
  <c r="H162" i="3"/>
  <c r="F162" i="3"/>
  <c r="I162" i="3" s="1"/>
  <c r="J162" i="3" s="1"/>
  <c r="C160" i="4" s="1"/>
  <c r="E162" i="3"/>
  <c r="D162" i="3"/>
  <c r="C162" i="3"/>
  <c r="B162" i="3"/>
  <c r="G162" i="3" s="1"/>
  <c r="G161" i="3"/>
  <c r="F161" i="3"/>
  <c r="I161" i="3" s="1"/>
  <c r="E161" i="3"/>
  <c r="D161" i="3"/>
  <c r="C161" i="3"/>
  <c r="H161" i="3" s="1"/>
  <c r="B161" i="3"/>
  <c r="H160" i="3"/>
  <c r="F160" i="3"/>
  <c r="E160" i="3"/>
  <c r="D160" i="3"/>
  <c r="I160" i="3" s="1"/>
  <c r="C160" i="3"/>
  <c r="B160" i="3"/>
  <c r="G160" i="3" s="1"/>
  <c r="J160" i="3" s="1"/>
  <c r="C158" i="4" s="1"/>
  <c r="H159" i="3"/>
  <c r="F159" i="3"/>
  <c r="E159" i="3"/>
  <c r="D159" i="3"/>
  <c r="I159" i="3" s="1"/>
  <c r="C159" i="3"/>
  <c r="B159" i="3"/>
  <c r="G159" i="3" s="1"/>
  <c r="F158" i="3"/>
  <c r="I158" i="3" s="1"/>
  <c r="E158" i="3"/>
  <c r="D158" i="3"/>
  <c r="C158" i="3"/>
  <c r="H158" i="3" s="1"/>
  <c r="B158" i="3"/>
  <c r="G158" i="3" s="1"/>
  <c r="H157" i="3"/>
  <c r="F157" i="3"/>
  <c r="I157" i="3" s="1"/>
  <c r="E157" i="3"/>
  <c r="D157" i="3"/>
  <c r="C157" i="3"/>
  <c r="B157" i="3"/>
  <c r="G157" i="3" s="1"/>
  <c r="J157" i="3" s="1"/>
  <c r="C155" i="4" s="1"/>
  <c r="I156" i="3"/>
  <c r="G156" i="3"/>
  <c r="J156" i="3" s="1"/>
  <c r="C154" i="4" s="1"/>
  <c r="F156" i="3"/>
  <c r="E156" i="3"/>
  <c r="D156" i="3"/>
  <c r="C156" i="3"/>
  <c r="H156" i="3" s="1"/>
  <c r="B156" i="3"/>
  <c r="I155" i="3"/>
  <c r="G155" i="3"/>
  <c r="F155" i="3"/>
  <c r="E155" i="3"/>
  <c r="D155" i="3"/>
  <c r="C155" i="3"/>
  <c r="H155" i="3" s="1"/>
  <c r="B155" i="3"/>
  <c r="H154" i="3"/>
  <c r="F154" i="3"/>
  <c r="E154" i="3"/>
  <c r="D154" i="3"/>
  <c r="I154" i="3" s="1"/>
  <c r="C154" i="3"/>
  <c r="B154" i="3"/>
  <c r="G154" i="3" s="1"/>
  <c r="J154" i="3" s="1"/>
  <c r="C152" i="4" s="1"/>
  <c r="I153" i="3"/>
  <c r="G153" i="3"/>
  <c r="F153" i="3"/>
  <c r="E153" i="3"/>
  <c r="D153" i="3"/>
  <c r="C153" i="3"/>
  <c r="H153" i="3" s="1"/>
  <c r="B153" i="3"/>
  <c r="H152" i="3"/>
  <c r="F152" i="3"/>
  <c r="E152" i="3"/>
  <c r="D152" i="3"/>
  <c r="I152" i="3" s="1"/>
  <c r="C152" i="3"/>
  <c r="B152" i="3"/>
  <c r="G152" i="3" s="1"/>
  <c r="I151" i="3"/>
  <c r="G151" i="3"/>
  <c r="J151" i="3" s="1"/>
  <c r="C149" i="4" s="1"/>
  <c r="F151" i="3"/>
  <c r="E151" i="3"/>
  <c r="D151" i="3"/>
  <c r="C151" i="3"/>
  <c r="H151" i="3" s="1"/>
  <c r="B151" i="3"/>
  <c r="H150" i="3"/>
  <c r="F150" i="3"/>
  <c r="E150" i="3"/>
  <c r="D150" i="3"/>
  <c r="I150" i="3" s="1"/>
  <c r="C150" i="3"/>
  <c r="B150" i="3"/>
  <c r="G150" i="3" s="1"/>
  <c r="I149" i="3"/>
  <c r="G149" i="3"/>
  <c r="J149" i="3" s="1"/>
  <c r="C147" i="4" s="1"/>
  <c r="F149" i="3"/>
  <c r="E149" i="3"/>
  <c r="D149" i="3"/>
  <c r="C149" i="3"/>
  <c r="H149" i="3" s="1"/>
  <c r="B149" i="3"/>
  <c r="H148" i="3"/>
  <c r="F148" i="3"/>
  <c r="E148" i="3"/>
  <c r="D148" i="3"/>
  <c r="I148" i="3" s="1"/>
  <c r="C148" i="3"/>
  <c r="B148" i="3"/>
  <c r="G148" i="3" s="1"/>
  <c r="J148" i="3" s="1"/>
  <c r="C146" i="4" s="1"/>
  <c r="I147" i="3"/>
  <c r="G147" i="3"/>
  <c r="J147" i="3" s="1"/>
  <c r="C145" i="4" s="1"/>
  <c r="F147" i="3"/>
  <c r="E147" i="3"/>
  <c r="D147" i="3"/>
  <c r="C147" i="3"/>
  <c r="H147" i="3" s="1"/>
  <c r="B147" i="3"/>
  <c r="H146" i="3"/>
  <c r="F146" i="3"/>
  <c r="E146" i="3"/>
  <c r="D146" i="3"/>
  <c r="I146" i="3" s="1"/>
  <c r="C146" i="3"/>
  <c r="B146" i="3"/>
  <c r="G146" i="3" s="1"/>
  <c r="J146" i="3" s="1"/>
  <c r="C144" i="4" s="1"/>
  <c r="I145" i="3"/>
  <c r="G145" i="3"/>
  <c r="J145" i="3" s="1"/>
  <c r="C143" i="4" s="1"/>
  <c r="F145" i="3"/>
  <c r="E145" i="3"/>
  <c r="D145" i="3"/>
  <c r="C145" i="3"/>
  <c r="H145" i="3" s="1"/>
  <c r="B145" i="3"/>
  <c r="H144" i="3"/>
  <c r="F144" i="3"/>
  <c r="E144" i="3"/>
  <c r="D144" i="3"/>
  <c r="I144" i="3" s="1"/>
  <c r="C144" i="3"/>
  <c r="B144" i="3"/>
  <c r="G144" i="3" s="1"/>
  <c r="I143" i="3"/>
  <c r="G143" i="3"/>
  <c r="F143" i="3"/>
  <c r="E143" i="3"/>
  <c r="D143" i="3"/>
  <c r="C143" i="3"/>
  <c r="H143" i="3" s="1"/>
  <c r="B143" i="3"/>
  <c r="H142" i="3"/>
  <c r="F142" i="3"/>
  <c r="E142" i="3"/>
  <c r="D142" i="3"/>
  <c r="I142" i="3" s="1"/>
  <c r="C142" i="3"/>
  <c r="B142" i="3"/>
  <c r="G142" i="3" s="1"/>
  <c r="J142" i="3" s="1"/>
  <c r="C140" i="4" s="1"/>
  <c r="I141" i="3"/>
  <c r="G141" i="3"/>
  <c r="F141" i="3"/>
  <c r="E141" i="3"/>
  <c r="D141" i="3"/>
  <c r="C141" i="3"/>
  <c r="H141" i="3" s="1"/>
  <c r="B141" i="3"/>
  <c r="H140" i="3"/>
  <c r="F140" i="3"/>
  <c r="E140" i="3"/>
  <c r="D140" i="3"/>
  <c r="I140" i="3" s="1"/>
  <c r="C140" i="3"/>
  <c r="B140" i="3"/>
  <c r="G140" i="3" s="1"/>
  <c r="I139" i="3"/>
  <c r="G139" i="3"/>
  <c r="J139" i="3" s="1"/>
  <c r="C137" i="4" s="1"/>
  <c r="F139" i="3"/>
  <c r="E139" i="3"/>
  <c r="D139" i="3"/>
  <c r="C139" i="3"/>
  <c r="H139" i="3" s="1"/>
  <c r="B139" i="3"/>
  <c r="H138" i="3"/>
  <c r="F138" i="3"/>
  <c r="E138" i="3"/>
  <c r="D138" i="3"/>
  <c r="I138" i="3" s="1"/>
  <c r="C138" i="3"/>
  <c r="B138" i="3"/>
  <c r="G138" i="3" s="1"/>
  <c r="I137" i="3"/>
  <c r="G137" i="3"/>
  <c r="F137" i="3"/>
  <c r="E137" i="3"/>
  <c r="D137" i="3"/>
  <c r="C137" i="3"/>
  <c r="H137" i="3" s="1"/>
  <c r="B137" i="3"/>
  <c r="H136" i="3"/>
  <c r="F136" i="3"/>
  <c r="E136" i="3"/>
  <c r="D136" i="3"/>
  <c r="I136" i="3" s="1"/>
  <c r="C136" i="3"/>
  <c r="B136" i="3"/>
  <c r="G136" i="3" s="1"/>
  <c r="J136" i="3" s="1"/>
  <c r="C134" i="4" s="1"/>
  <c r="I135" i="3"/>
  <c r="G135" i="3"/>
  <c r="F135" i="3"/>
  <c r="E135" i="3"/>
  <c r="D135" i="3"/>
  <c r="C135" i="3"/>
  <c r="H135" i="3" s="1"/>
  <c r="B135" i="3"/>
  <c r="H134" i="3"/>
  <c r="F134" i="3"/>
  <c r="E134" i="3"/>
  <c r="D134" i="3"/>
  <c r="I134" i="3" s="1"/>
  <c r="C134" i="3"/>
  <c r="B134" i="3"/>
  <c r="G134" i="3" s="1"/>
  <c r="I133" i="3"/>
  <c r="G133" i="3"/>
  <c r="F133" i="3"/>
  <c r="E133" i="3"/>
  <c r="D133" i="3"/>
  <c r="C133" i="3"/>
  <c r="H133" i="3" s="1"/>
  <c r="B133" i="3"/>
  <c r="H132" i="3"/>
  <c r="F132" i="3"/>
  <c r="E132" i="3"/>
  <c r="D132" i="3"/>
  <c r="I132" i="3" s="1"/>
  <c r="C132" i="3"/>
  <c r="B132" i="3"/>
  <c r="G132" i="3" s="1"/>
  <c r="J132" i="3" s="1"/>
  <c r="C130" i="4" s="1"/>
  <c r="I131" i="3"/>
  <c r="G131" i="3"/>
  <c r="F131" i="3"/>
  <c r="E131" i="3"/>
  <c r="D131" i="3"/>
  <c r="C131" i="3"/>
  <c r="H131" i="3" s="1"/>
  <c r="B131" i="3"/>
  <c r="H130" i="3"/>
  <c r="F130" i="3"/>
  <c r="E130" i="3"/>
  <c r="D130" i="3"/>
  <c r="I130" i="3" s="1"/>
  <c r="C130" i="3"/>
  <c r="B130" i="3"/>
  <c r="G130" i="3" s="1"/>
  <c r="J130" i="3" s="1"/>
  <c r="C128" i="4" s="1"/>
  <c r="I129" i="3"/>
  <c r="G129" i="3"/>
  <c r="F129" i="3"/>
  <c r="E129" i="3"/>
  <c r="D129" i="3"/>
  <c r="C129" i="3"/>
  <c r="H129" i="3" s="1"/>
  <c r="B129" i="3"/>
  <c r="H128" i="3"/>
  <c r="F128" i="3"/>
  <c r="E128" i="3"/>
  <c r="D128" i="3"/>
  <c r="I128" i="3" s="1"/>
  <c r="C128" i="3"/>
  <c r="B128" i="3"/>
  <c r="G128" i="3" s="1"/>
  <c r="I127" i="3"/>
  <c r="G127" i="3"/>
  <c r="J127" i="3" s="1"/>
  <c r="C125" i="4" s="1"/>
  <c r="F127" i="3"/>
  <c r="E127" i="3"/>
  <c r="D127" i="3"/>
  <c r="C127" i="3"/>
  <c r="H127" i="3" s="1"/>
  <c r="B127" i="3"/>
  <c r="H126" i="3"/>
  <c r="F126" i="3"/>
  <c r="E126" i="3"/>
  <c r="D126" i="3"/>
  <c r="I126" i="3" s="1"/>
  <c r="C126" i="3"/>
  <c r="B126" i="3"/>
  <c r="G126" i="3" s="1"/>
  <c r="I125" i="3"/>
  <c r="G125" i="3"/>
  <c r="J125" i="3" s="1"/>
  <c r="C123" i="4" s="1"/>
  <c r="F125" i="3"/>
  <c r="E125" i="3"/>
  <c r="D125" i="3"/>
  <c r="C125" i="3"/>
  <c r="H125" i="3" s="1"/>
  <c r="B125" i="3"/>
  <c r="H124" i="3"/>
  <c r="F124" i="3"/>
  <c r="E124" i="3"/>
  <c r="D124" i="3"/>
  <c r="I124" i="3" s="1"/>
  <c r="C124" i="3"/>
  <c r="B124" i="3"/>
  <c r="G124" i="3" s="1"/>
  <c r="J124" i="3" s="1"/>
  <c r="C122" i="4" s="1"/>
  <c r="I123" i="3"/>
  <c r="G123" i="3"/>
  <c r="J123" i="3" s="1"/>
  <c r="C121" i="4" s="1"/>
  <c r="F123" i="3"/>
  <c r="E123" i="3"/>
  <c r="D123" i="3"/>
  <c r="C123" i="3"/>
  <c r="H123" i="3" s="1"/>
  <c r="B123" i="3"/>
  <c r="H122" i="3"/>
  <c r="F122" i="3"/>
  <c r="E122" i="3"/>
  <c r="D122" i="3"/>
  <c r="I122" i="3" s="1"/>
  <c r="C122" i="3"/>
  <c r="B122" i="3"/>
  <c r="G122" i="3" s="1"/>
  <c r="J122" i="3" s="1"/>
  <c r="C120" i="4" s="1"/>
  <c r="I121" i="3"/>
  <c r="G121" i="3"/>
  <c r="J121" i="3" s="1"/>
  <c r="C119" i="4" s="1"/>
  <c r="F121" i="3"/>
  <c r="E121" i="3"/>
  <c r="D121" i="3"/>
  <c r="C121" i="3"/>
  <c r="H121" i="3" s="1"/>
  <c r="B121" i="3"/>
  <c r="H120" i="3"/>
  <c r="F120" i="3"/>
  <c r="E120" i="3"/>
  <c r="D120" i="3"/>
  <c r="I120" i="3" s="1"/>
  <c r="C120" i="3"/>
  <c r="B120" i="3"/>
  <c r="G120" i="3" s="1"/>
  <c r="I119" i="3"/>
  <c r="G119" i="3"/>
  <c r="F119" i="3"/>
  <c r="E119" i="3"/>
  <c r="D119" i="3"/>
  <c r="C119" i="3"/>
  <c r="H119" i="3" s="1"/>
  <c r="B119" i="3"/>
  <c r="H118" i="3"/>
  <c r="F118" i="3"/>
  <c r="E118" i="3"/>
  <c r="D118" i="3"/>
  <c r="I118" i="3" s="1"/>
  <c r="C118" i="3"/>
  <c r="B118" i="3"/>
  <c r="G118" i="3" s="1"/>
  <c r="J118" i="3" s="1"/>
  <c r="C116" i="4" s="1"/>
  <c r="I117" i="3"/>
  <c r="G117" i="3"/>
  <c r="F117" i="3"/>
  <c r="E117" i="3"/>
  <c r="D117" i="3"/>
  <c r="C117" i="3"/>
  <c r="H117" i="3" s="1"/>
  <c r="B117" i="3"/>
  <c r="H116" i="3"/>
  <c r="F116" i="3"/>
  <c r="E116" i="3"/>
  <c r="D116" i="3"/>
  <c r="I116" i="3" s="1"/>
  <c r="C116" i="3"/>
  <c r="B116" i="3"/>
  <c r="G116" i="3" s="1"/>
  <c r="I115" i="3"/>
  <c r="G115" i="3"/>
  <c r="J115" i="3" s="1"/>
  <c r="C113" i="4" s="1"/>
  <c r="F115" i="3"/>
  <c r="E115" i="3"/>
  <c r="D115" i="3"/>
  <c r="C115" i="3"/>
  <c r="H115" i="3" s="1"/>
  <c r="B115" i="3"/>
  <c r="H114" i="3"/>
  <c r="F114" i="3"/>
  <c r="E114" i="3"/>
  <c r="D114" i="3"/>
  <c r="I114" i="3" s="1"/>
  <c r="C114" i="3"/>
  <c r="B114" i="3"/>
  <c r="G114" i="3" s="1"/>
  <c r="I113" i="3"/>
  <c r="G113" i="3"/>
  <c r="F113" i="3"/>
  <c r="E113" i="3"/>
  <c r="D113" i="3"/>
  <c r="C113" i="3"/>
  <c r="H113" i="3" s="1"/>
  <c r="B113" i="3"/>
  <c r="H112" i="3"/>
  <c r="F112" i="3"/>
  <c r="E112" i="3"/>
  <c r="D112" i="3"/>
  <c r="I112" i="3" s="1"/>
  <c r="C112" i="3"/>
  <c r="B112" i="3"/>
  <c r="G112" i="3" s="1"/>
  <c r="J112" i="3" s="1"/>
  <c r="C110" i="4" s="1"/>
  <c r="I111" i="3"/>
  <c r="G111" i="3"/>
  <c r="F111" i="3"/>
  <c r="E111" i="3"/>
  <c r="D111" i="3"/>
  <c r="C111" i="3"/>
  <c r="H111" i="3" s="1"/>
  <c r="B111" i="3"/>
  <c r="H110" i="3"/>
  <c r="F110" i="3"/>
  <c r="E110" i="3"/>
  <c r="D110" i="3"/>
  <c r="I110" i="3" s="1"/>
  <c r="C110" i="3"/>
  <c r="B110" i="3"/>
  <c r="G110" i="3" s="1"/>
  <c r="I109" i="3"/>
  <c r="G109" i="3"/>
  <c r="F109" i="3"/>
  <c r="E109" i="3"/>
  <c r="D109" i="3"/>
  <c r="C109" i="3"/>
  <c r="H109" i="3" s="1"/>
  <c r="B109" i="3"/>
  <c r="H108" i="3"/>
  <c r="F108" i="3"/>
  <c r="E108" i="3"/>
  <c r="D108" i="3"/>
  <c r="I108" i="3" s="1"/>
  <c r="C108" i="3"/>
  <c r="B108" i="3"/>
  <c r="G108" i="3" s="1"/>
  <c r="J108" i="3" s="1"/>
  <c r="C106" i="4" s="1"/>
  <c r="I107" i="3"/>
  <c r="G107" i="3"/>
  <c r="F107" i="3"/>
  <c r="E107" i="3"/>
  <c r="D107" i="3"/>
  <c r="C107" i="3"/>
  <c r="H107" i="3" s="1"/>
  <c r="B107" i="3"/>
  <c r="H106" i="3"/>
  <c r="F106" i="3"/>
  <c r="E106" i="3"/>
  <c r="D106" i="3"/>
  <c r="I106" i="3" s="1"/>
  <c r="C106" i="3"/>
  <c r="B106" i="3"/>
  <c r="G106" i="3" s="1"/>
  <c r="J106" i="3" s="1"/>
  <c r="C104" i="4" s="1"/>
  <c r="I105" i="3"/>
  <c r="G105" i="3"/>
  <c r="F105" i="3"/>
  <c r="E105" i="3"/>
  <c r="D105" i="3"/>
  <c r="C105" i="3"/>
  <c r="H105" i="3" s="1"/>
  <c r="B105" i="3"/>
  <c r="H104" i="3"/>
  <c r="F104" i="3"/>
  <c r="E104" i="3"/>
  <c r="D104" i="3"/>
  <c r="I104" i="3" s="1"/>
  <c r="C104" i="3"/>
  <c r="B104" i="3"/>
  <c r="G104" i="3" s="1"/>
  <c r="I103" i="3"/>
  <c r="G103" i="3"/>
  <c r="J103" i="3" s="1"/>
  <c r="C101" i="4" s="1"/>
  <c r="F103" i="3"/>
  <c r="E103" i="3"/>
  <c r="D103" i="3"/>
  <c r="C103" i="3"/>
  <c r="H103" i="3" s="1"/>
  <c r="B103" i="3"/>
  <c r="H102" i="3"/>
  <c r="F102" i="3"/>
  <c r="E102" i="3"/>
  <c r="D102" i="3"/>
  <c r="I102" i="3" s="1"/>
  <c r="C102" i="3"/>
  <c r="B102" i="3"/>
  <c r="G102" i="3" s="1"/>
  <c r="I101" i="3"/>
  <c r="G101" i="3"/>
  <c r="J101" i="3" s="1"/>
  <c r="C99" i="4" s="1"/>
  <c r="F101" i="3"/>
  <c r="E101" i="3"/>
  <c r="D101" i="3"/>
  <c r="C101" i="3"/>
  <c r="H101" i="3" s="1"/>
  <c r="B101" i="3"/>
  <c r="H100" i="3"/>
  <c r="F100" i="3"/>
  <c r="E100" i="3"/>
  <c r="D100" i="3"/>
  <c r="I100" i="3" s="1"/>
  <c r="C100" i="3"/>
  <c r="B100" i="3"/>
  <c r="G100" i="3" s="1"/>
  <c r="J100" i="3" s="1"/>
  <c r="C98" i="4" s="1"/>
  <c r="I99" i="3"/>
  <c r="G99" i="3"/>
  <c r="J99" i="3" s="1"/>
  <c r="C97" i="4" s="1"/>
  <c r="F99" i="3"/>
  <c r="E99" i="3"/>
  <c r="D99" i="3"/>
  <c r="C99" i="3"/>
  <c r="H99" i="3" s="1"/>
  <c r="B99" i="3"/>
  <c r="H98" i="3"/>
  <c r="F98" i="3"/>
  <c r="E98" i="3"/>
  <c r="D98" i="3"/>
  <c r="I98" i="3" s="1"/>
  <c r="C98" i="3"/>
  <c r="B98" i="3"/>
  <c r="G98" i="3" s="1"/>
  <c r="J98" i="3" s="1"/>
  <c r="C96" i="4" s="1"/>
  <c r="I97" i="3"/>
  <c r="G97" i="3"/>
  <c r="J97" i="3" s="1"/>
  <c r="C95" i="4" s="1"/>
  <c r="F97" i="3"/>
  <c r="E97" i="3"/>
  <c r="D97" i="3"/>
  <c r="C97" i="3"/>
  <c r="H97" i="3" s="1"/>
  <c r="B97" i="3"/>
  <c r="H96" i="3"/>
  <c r="F96" i="3"/>
  <c r="E96" i="3"/>
  <c r="D96" i="3"/>
  <c r="I96" i="3" s="1"/>
  <c r="C96" i="3"/>
  <c r="B96" i="3"/>
  <c r="G96" i="3" s="1"/>
  <c r="I95" i="3"/>
  <c r="G95" i="3"/>
  <c r="F95" i="3"/>
  <c r="E95" i="3"/>
  <c r="D95" i="3"/>
  <c r="C95" i="3"/>
  <c r="H95" i="3" s="1"/>
  <c r="B95" i="3"/>
  <c r="H94" i="3"/>
  <c r="F94" i="3"/>
  <c r="E94" i="3"/>
  <c r="D94" i="3"/>
  <c r="I94" i="3" s="1"/>
  <c r="C94" i="3"/>
  <c r="B94" i="3"/>
  <c r="G94" i="3" s="1"/>
  <c r="J94" i="3" s="1"/>
  <c r="C92" i="4" s="1"/>
  <c r="I93" i="3"/>
  <c r="G93" i="3"/>
  <c r="F93" i="3"/>
  <c r="E93" i="3"/>
  <c r="D93" i="3"/>
  <c r="C93" i="3"/>
  <c r="H93" i="3" s="1"/>
  <c r="B93" i="3"/>
  <c r="H92" i="3"/>
  <c r="F92" i="3"/>
  <c r="E92" i="3"/>
  <c r="D92" i="3"/>
  <c r="I92" i="3" s="1"/>
  <c r="C92" i="3"/>
  <c r="B92" i="3"/>
  <c r="G92" i="3" s="1"/>
  <c r="I91" i="3"/>
  <c r="G91" i="3"/>
  <c r="J91" i="3" s="1"/>
  <c r="C89" i="4" s="1"/>
  <c r="F91" i="3"/>
  <c r="E91" i="3"/>
  <c r="D91" i="3"/>
  <c r="C91" i="3"/>
  <c r="H91" i="3" s="1"/>
  <c r="B91" i="3"/>
  <c r="H90" i="3"/>
  <c r="F90" i="3"/>
  <c r="E90" i="3"/>
  <c r="D90" i="3"/>
  <c r="I90" i="3" s="1"/>
  <c r="C90" i="3"/>
  <c r="B90" i="3"/>
  <c r="G90" i="3" s="1"/>
  <c r="I89" i="3"/>
  <c r="G89" i="3"/>
  <c r="F89" i="3"/>
  <c r="E89" i="3"/>
  <c r="D89" i="3"/>
  <c r="C89" i="3"/>
  <c r="H89" i="3" s="1"/>
  <c r="B89" i="3"/>
  <c r="H88" i="3"/>
  <c r="F88" i="3"/>
  <c r="E88" i="3"/>
  <c r="D88" i="3"/>
  <c r="I88" i="3" s="1"/>
  <c r="C88" i="3"/>
  <c r="B88" i="3"/>
  <c r="G88" i="3" s="1"/>
  <c r="J88" i="3" s="1"/>
  <c r="C86" i="4" s="1"/>
  <c r="I87" i="3"/>
  <c r="G87" i="3"/>
  <c r="F87" i="3"/>
  <c r="E87" i="3"/>
  <c r="D87" i="3"/>
  <c r="C87" i="3"/>
  <c r="H87" i="3" s="1"/>
  <c r="B87" i="3"/>
  <c r="H86" i="3"/>
  <c r="F86" i="3"/>
  <c r="E86" i="3"/>
  <c r="D86" i="3"/>
  <c r="I86" i="3" s="1"/>
  <c r="C86" i="3"/>
  <c r="B86" i="3"/>
  <c r="G86" i="3" s="1"/>
  <c r="I85" i="3"/>
  <c r="G85" i="3"/>
  <c r="F85" i="3"/>
  <c r="E85" i="3"/>
  <c r="D85" i="3"/>
  <c r="C85" i="3"/>
  <c r="H85" i="3" s="1"/>
  <c r="B85" i="3"/>
  <c r="H84" i="3"/>
  <c r="F84" i="3"/>
  <c r="E84" i="3"/>
  <c r="D84" i="3"/>
  <c r="I84" i="3" s="1"/>
  <c r="C84" i="3"/>
  <c r="B84" i="3"/>
  <c r="G84" i="3" s="1"/>
  <c r="I83" i="3"/>
  <c r="G83" i="3"/>
  <c r="F83" i="3"/>
  <c r="E83" i="3"/>
  <c r="D83" i="3"/>
  <c r="C83" i="3"/>
  <c r="H83" i="3" s="1"/>
  <c r="B83" i="3"/>
  <c r="H82" i="3"/>
  <c r="F82" i="3"/>
  <c r="E82" i="3"/>
  <c r="D82" i="3"/>
  <c r="I82" i="3" s="1"/>
  <c r="C82" i="3"/>
  <c r="B82" i="3"/>
  <c r="G82" i="3" s="1"/>
  <c r="J82" i="3" s="1"/>
  <c r="C80" i="4" s="1"/>
  <c r="I81" i="3"/>
  <c r="G81" i="3"/>
  <c r="F81" i="3"/>
  <c r="E81" i="3"/>
  <c r="D81" i="3"/>
  <c r="C81" i="3"/>
  <c r="H81" i="3" s="1"/>
  <c r="B81" i="3"/>
  <c r="H80" i="3"/>
  <c r="F80" i="3"/>
  <c r="E80" i="3"/>
  <c r="D80" i="3"/>
  <c r="I80" i="3" s="1"/>
  <c r="C80" i="3"/>
  <c r="B80" i="3"/>
  <c r="G80" i="3" s="1"/>
  <c r="I79" i="3"/>
  <c r="G79" i="3"/>
  <c r="J79" i="3" s="1"/>
  <c r="C77" i="4" s="1"/>
  <c r="F79" i="3"/>
  <c r="E79" i="3"/>
  <c r="D79" i="3"/>
  <c r="C79" i="3"/>
  <c r="H79" i="3" s="1"/>
  <c r="B79" i="3"/>
  <c r="H78" i="3"/>
  <c r="F78" i="3"/>
  <c r="E78" i="3"/>
  <c r="D78" i="3"/>
  <c r="I78" i="3" s="1"/>
  <c r="C78" i="3"/>
  <c r="B78" i="3"/>
  <c r="G78" i="3" s="1"/>
  <c r="I77" i="3"/>
  <c r="G77" i="3"/>
  <c r="J77" i="3" s="1"/>
  <c r="C75" i="4" s="1"/>
  <c r="F77" i="3"/>
  <c r="E77" i="3"/>
  <c r="D77" i="3"/>
  <c r="C77" i="3"/>
  <c r="H77" i="3" s="1"/>
  <c r="B77" i="3"/>
  <c r="H76" i="3"/>
  <c r="F76" i="3"/>
  <c r="E76" i="3"/>
  <c r="D76" i="3"/>
  <c r="I76" i="3" s="1"/>
  <c r="C76" i="3"/>
  <c r="B76" i="3"/>
  <c r="G76" i="3" s="1"/>
  <c r="J76" i="3" s="1"/>
  <c r="C74" i="4" s="1"/>
  <c r="I75" i="3"/>
  <c r="G75" i="3"/>
  <c r="J75" i="3" s="1"/>
  <c r="C73" i="4" s="1"/>
  <c r="F75" i="3"/>
  <c r="E75" i="3"/>
  <c r="D75" i="3"/>
  <c r="C75" i="3"/>
  <c r="H75" i="3" s="1"/>
  <c r="B75" i="3"/>
  <c r="H74" i="3"/>
  <c r="F74" i="3"/>
  <c r="E74" i="3"/>
  <c r="D74" i="3"/>
  <c r="I74" i="3" s="1"/>
  <c r="C74" i="3"/>
  <c r="B74" i="3"/>
  <c r="G74" i="3" s="1"/>
  <c r="J74" i="3" s="1"/>
  <c r="C72" i="4" s="1"/>
  <c r="I73" i="3"/>
  <c r="G73" i="3"/>
  <c r="J73" i="3" s="1"/>
  <c r="C71" i="4" s="1"/>
  <c r="F73" i="3"/>
  <c r="E73" i="3"/>
  <c r="D73" i="3"/>
  <c r="C73" i="3"/>
  <c r="H73" i="3" s="1"/>
  <c r="B73" i="3"/>
  <c r="H72" i="3"/>
  <c r="F72" i="3"/>
  <c r="E72" i="3"/>
  <c r="D72" i="3"/>
  <c r="I72" i="3" s="1"/>
  <c r="C72" i="3"/>
  <c r="B72" i="3"/>
  <c r="G72" i="3" s="1"/>
  <c r="I71" i="3"/>
  <c r="G71" i="3"/>
  <c r="F71" i="3"/>
  <c r="E71" i="3"/>
  <c r="D71" i="3"/>
  <c r="C71" i="3"/>
  <c r="H71" i="3" s="1"/>
  <c r="B71" i="3"/>
  <c r="H70" i="3"/>
  <c r="F70" i="3"/>
  <c r="E70" i="3"/>
  <c r="D70" i="3"/>
  <c r="I70" i="3" s="1"/>
  <c r="C70" i="3"/>
  <c r="B70" i="3"/>
  <c r="G70" i="3" s="1"/>
  <c r="J70" i="3" s="1"/>
  <c r="C68" i="4" s="1"/>
  <c r="I69" i="3"/>
  <c r="G69" i="3"/>
  <c r="F69" i="3"/>
  <c r="E69" i="3"/>
  <c r="D69" i="3"/>
  <c r="C69" i="3"/>
  <c r="H69" i="3" s="1"/>
  <c r="B69" i="3"/>
  <c r="H68" i="3"/>
  <c r="F68" i="3"/>
  <c r="E68" i="3"/>
  <c r="D68" i="3"/>
  <c r="I68" i="3" s="1"/>
  <c r="C68" i="3"/>
  <c r="B68" i="3"/>
  <c r="G68" i="3" s="1"/>
  <c r="I67" i="3"/>
  <c r="G67" i="3"/>
  <c r="J67" i="3" s="1"/>
  <c r="C65" i="4" s="1"/>
  <c r="F67" i="3"/>
  <c r="E67" i="3"/>
  <c r="D67" i="3"/>
  <c r="C67" i="3"/>
  <c r="H67" i="3" s="1"/>
  <c r="B67" i="3"/>
  <c r="H66" i="3"/>
  <c r="F66" i="3"/>
  <c r="E66" i="3"/>
  <c r="D66" i="3"/>
  <c r="I66" i="3" s="1"/>
  <c r="C66" i="3"/>
  <c r="B66" i="3"/>
  <c r="G66" i="3" s="1"/>
  <c r="I65" i="3"/>
  <c r="G65" i="3"/>
  <c r="F65" i="3"/>
  <c r="E65" i="3"/>
  <c r="D65" i="3"/>
  <c r="C65" i="3"/>
  <c r="H65" i="3" s="1"/>
  <c r="B65" i="3"/>
  <c r="H64" i="3"/>
  <c r="F64" i="3"/>
  <c r="E64" i="3"/>
  <c r="D64" i="3"/>
  <c r="I64" i="3" s="1"/>
  <c r="C64" i="3"/>
  <c r="B64" i="3"/>
  <c r="G64" i="3" s="1"/>
  <c r="J64" i="3" s="1"/>
  <c r="C62" i="4" s="1"/>
  <c r="I63" i="3"/>
  <c r="G63" i="3"/>
  <c r="F63" i="3"/>
  <c r="E63" i="3"/>
  <c r="D63" i="3"/>
  <c r="C63" i="3"/>
  <c r="H63" i="3" s="1"/>
  <c r="B63" i="3"/>
  <c r="H62" i="3"/>
  <c r="F62" i="3"/>
  <c r="E62" i="3"/>
  <c r="D62" i="3"/>
  <c r="I62" i="3" s="1"/>
  <c r="C62" i="3"/>
  <c r="B62" i="3"/>
  <c r="G62" i="3" s="1"/>
  <c r="I61" i="3"/>
  <c r="G61" i="3"/>
  <c r="F61" i="3"/>
  <c r="E61" i="3"/>
  <c r="D61" i="3"/>
  <c r="C61" i="3"/>
  <c r="H61" i="3" s="1"/>
  <c r="B61" i="3"/>
  <c r="H60" i="3"/>
  <c r="F60" i="3"/>
  <c r="E60" i="3"/>
  <c r="D60" i="3"/>
  <c r="I60" i="3" s="1"/>
  <c r="C60" i="3"/>
  <c r="B60" i="3"/>
  <c r="G60" i="3" s="1"/>
  <c r="I59" i="3"/>
  <c r="G59" i="3"/>
  <c r="F59" i="3"/>
  <c r="E59" i="3"/>
  <c r="D59" i="3"/>
  <c r="C59" i="3"/>
  <c r="H59" i="3" s="1"/>
  <c r="B59" i="3"/>
  <c r="H58" i="3"/>
  <c r="F58" i="3"/>
  <c r="E58" i="3"/>
  <c r="D58" i="3"/>
  <c r="I58" i="3" s="1"/>
  <c r="C58" i="3"/>
  <c r="B58" i="3"/>
  <c r="G58" i="3" s="1"/>
  <c r="J58" i="3" s="1"/>
  <c r="C56" i="4" s="1"/>
  <c r="I57" i="3"/>
  <c r="G57" i="3"/>
  <c r="F57" i="3"/>
  <c r="E57" i="3"/>
  <c r="D57" i="3"/>
  <c r="C57" i="3"/>
  <c r="H57" i="3" s="1"/>
  <c r="B57" i="3"/>
  <c r="H56" i="3"/>
  <c r="F56" i="3"/>
  <c r="E56" i="3"/>
  <c r="D56" i="3"/>
  <c r="I56" i="3" s="1"/>
  <c r="C56" i="3"/>
  <c r="B56" i="3"/>
  <c r="G56" i="3" s="1"/>
  <c r="I55" i="3"/>
  <c r="G55" i="3"/>
  <c r="J55" i="3" s="1"/>
  <c r="C53" i="4" s="1"/>
  <c r="F55" i="3"/>
  <c r="E55" i="3"/>
  <c r="D55" i="3"/>
  <c r="C55" i="3"/>
  <c r="H55" i="3" s="1"/>
  <c r="B55" i="3"/>
  <c r="H54" i="3"/>
  <c r="F54" i="3"/>
  <c r="E54" i="3"/>
  <c r="D54" i="3"/>
  <c r="I54" i="3" s="1"/>
  <c r="C54" i="3"/>
  <c r="B54" i="3"/>
  <c r="G54" i="3" s="1"/>
  <c r="I53" i="3"/>
  <c r="G53" i="3"/>
  <c r="J53" i="3" s="1"/>
  <c r="C51" i="4" s="1"/>
  <c r="F53" i="3"/>
  <c r="E53" i="3"/>
  <c r="D53" i="3"/>
  <c r="C53" i="3"/>
  <c r="H53" i="3" s="1"/>
  <c r="B53" i="3"/>
  <c r="H52" i="3"/>
  <c r="F52" i="3"/>
  <c r="E52" i="3"/>
  <c r="D52" i="3"/>
  <c r="I52" i="3" s="1"/>
  <c r="C52" i="3"/>
  <c r="B52" i="3"/>
  <c r="G52" i="3" s="1"/>
  <c r="J52" i="3" s="1"/>
  <c r="C50" i="4" s="1"/>
  <c r="I51" i="3"/>
  <c r="G51" i="3"/>
  <c r="J51" i="3" s="1"/>
  <c r="C49" i="4" s="1"/>
  <c r="F51" i="3"/>
  <c r="E51" i="3"/>
  <c r="D51" i="3"/>
  <c r="C51" i="3"/>
  <c r="H51" i="3" s="1"/>
  <c r="B51" i="3"/>
  <c r="H50" i="3"/>
  <c r="F50" i="3"/>
  <c r="E50" i="3"/>
  <c r="D50" i="3"/>
  <c r="I50" i="3" s="1"/>
  <c r="C50" i="3"/>
  <c r="B50" i="3"/>
  <c r="G50" i="3" s="1"/>
  <c r="J50" i="3" s="1"/>
  <c r="C48" i="4" s="1"/>
  <c r="I49" i="3"/>
  <c r="G49" i="3"/>
  <c r="J49" i="3" s="1"/>
  <c r="C47" i="4" s="1"/>
  <c r="F49" i="3"/>
  <c r="E49" i="3"/>
  <c r="D49" i="3"/>
  <c r="C49" i="3"/>
  <c r="H49" i="3" s="1"/>
  <c r="B49" i="3"/>
  <c r="H48" i="3"/>
  <c r="F48" i="3"/>
  <c r="E48" i="3"/>
  <c r="D48" i="3"/>
  <c r="I48" i="3" s="1"/>
  <c r="C48" i="3"/>
  <c r="B48" i="3"/>
  <c r="G48" i="3" s="1"/>
  <c r="I47" i="3"/>
  <c r="G47" i="3"/>
  <c r="F47" i="3"/>
  <c r="E47" i="3"/>
  <c r="D47" i="3"/>
  <c r="C47" i="3"/>
  <c r="H47" i="3" s="1"/>
  <c r="B47" i="3"/>
  <c r="H46" i="3"/>
  <c r="F46" i="3"/>
  <c r="E46" i="3"/>
  <c r="D46" i="3"/>
  <c r="I46" i="3" s="1"/>
  <c r="C46" i="3"/>
  <c r="B46" i="3"/>
  <c r="G46" i="3" s="1"/>
  <c r="J46" i="3" s="1"/>
  <c r="C44" i="4" s="1"/>
  <c r="I45" i="3"/>
  <c r="G45" i="3"/>
  <c r="F45" i="3"/>
  <c r="E45" i="3"/>
  <c r="D45" i="3"/>
  <c r="C45" i="3"/>
  <c r="H45" i="3" s="1"/>
  <c r="B45" i="3"/>
  <c r="H44" i="3"/>
  <c r="F44" i="3"/>
  <c r="E44" i="3"/>
  <c r="D44" i="3"/>
  <c r="I44" i="3" s="1"/>
  <c r="C44" i="3"/>
  <c r="B44" i="3"/>
  <c r="G44" i="3" s="1"/>
  <c r="I43" i="3"/>
  <c r="G43" i="3"/>
  <c r="J43" i="3" s="1"/>
  <c r="C41" i="4" s="1"/>
  <c r="F43" i="3"/>
  <c r="E43" i="3"/>
  <c r="D43" i="3"/>
  <c r="C43" i="3"/>
  <c r="H43" i="3" s="1"/>
  <c r="B43" i="3"/>
  <c r="H42" i="3"/>
  <c r="F42" i="3"/>
  <c r="E42" i="3"/>
  <c r="D42" i="3"/>
  <c r="I42" i="3" s="1"/>
  <c r="C42" i="3"/>
  <c r="B42" i="3"/>
  <c r="G42" i="3" s="1"/>
  <c r="I41" i="3"/>
  <c r="G41" i="3"/>
  <c r="F41" i="3"/>
  <c r="E41" i="3"/>
  <c r="D41" i="3"/>
  <c r="C41" i="3"/>
  <c r="H41" i="3" s="1"/>
  <c r="B41" i="3"/>
  <c r="H40" i="3"/>
  <c r="F40" i="3"/>
  <c r="E40" i="3"/>
  <c r="D40" i="3"/>
  <c r="I40" i="3" s="1"/>
  <c r="C40" i="3"/>
  <c r="B40" i="3"/>
  <c r="G40" i="3" s="1"/>
  <c r="J40" i="3" s="1"/>
  <c r="C38" i="4" s="1"/>
  <c r="I39" i="3"/>
  <c r="G39" i="3"/>
  <c r="F39" i="3"/>
  <c r="E39" i="3"/>
  <c r="D39" i="3"/>
  <c r="C39" i="3"/>
  <c r="H39" i="3" s="1"/>
  <c r="B39" i="3"/>
  <c r="H38" i="3"/>
  <c r="F38" i="3"/>
  <c r="E38" i="3"/>
  <c r="D38" i="3"/>
  <c r="I38" i="3" s="1"/>
  <c r="C38" i="3"/>
  <c r="B38" i="3"/>
  <c r="G38" i="3" s="1"/>
  <c r="I37" i="3"/>
  <c r="G37" i="3"/>
  <c r="F37" i="3"/>
  <c r="E37" i="3"/>
  <c r="D37" i="3"/>
  <c r="C37" i="3"/>
  <c r="H37" i="3" s="1"/>
  <c r="B37" i="3"/>
  <c r="H36" i="3"/>
  <c r="F36" i="3"/>
  <c r="E36" i="3"/>
  <c r="D36" i="3"/>
  <c r="I36" i="3" s="1"/>
  <c r="C36" i="3"/>
  <c r="B36" i="3"/>
  <c r="G36" i="3" s="1"/>
  <c r="I35" i="3"/>
  <c r="G35" i="3"/>
  <c r="F35" i="3"/>
  <c r="E35" i="3"/>
  <c r="D35" i="3"/>
  <c r="C35" i="3"/>
  <c r="H35" i="3" s="1"/>
  <c r="B35" i="3"/>
  <c r="H34" i="3"/>
  <c r="F34" i="3"/>
  <c r="E34" i="3"/>
  <c r="D34" i="3"/>
  <c r="I34" i="3" s="1"/>
  <c r="C34" i="3"/>
  <c r="B34" i="3"/>
  <c r="G34" i="3" s="1"/>
  <c r="J34" i="3" s="1"/>
  <c r="C32" i="4" s="1"/>
  <c r="I33" i="3"/>
  <c r="G33" i="3"/>
  <c r="F33" i="3"/>
  <c r="E33" i="3"/>
  <c r="D33" i="3"/>
  <c r="C33" i="3"/>
  <c r="H33" i="3" s="1"/>
  <c r="B33" i="3"/>
  <c r="H32" i="3"/>
  <c r="F32" i="3"/>
  <c r="E32" i="3"/>
  <c r="D32" i="3"/>
  <c r="I32" i="3" s="1"/>
  <c r="C32" i="3"/>
  <c r="B32" i="3"/>
  <c r="G32" i="3" s="1"/>
  <c r="I31" i="3"/>
  <c r="G31" i="3"/>
  <c r="J31" i="3" s="1"/>
  <c r="C29" i="4" s="1"/>
  <c r="F31" i="3"/>
  <c r="E31" i="3"/>
  <c r="D31" i="3"/>
  <c r="C31" i="3"/>
  <c r="H31" i="3" s="1"/>
  <c r="B31" i="3"/>
  <c r="H30" i="3"/>
  <c r="F30" i="3"/>
  <c r="E30" i="3"/>
  <c r="D30" i="3"/>
  <c r="I30" i="3" s="1"/>
  <c r="C30" i="3"/>
  <c r="B30" i="3"/>
  <c r="G30" i="3" s="1"/>
  <c r="I29" i="3"/>
  <c r="G29" i="3"/>
  <c r="J29" i="3" s="1"/>
  <c r="C27" i="4" s="1"/>
  <c r="F29" i="3"/>
  <c r="E29" i="3"/>
  <c r="D29" i="3"/>
  <c r="C29" i="3"/>
  <c r="H29" i="3" s="1"/>
  <c r="B29" i="3"/>
  <c r="H28" i="3"/>
  <c r="F28" i="3"/>
  <c r="E28" i="3"/>
  <c r="D28" i="3"/>
  <c r="I28" i="3" s="1"/>
  <c r="C28" i="3"/>
  <c r="B28" i="3"/>
  <c r="G28" i="3" s="1"/>
  <c r="J28" i="3" s="1"/>
  <c r="C26" i="4" s="1"/>
  <c r="I27" i="3"/>
  <c r="G27" i="3"/>
  <c r="J27" i="3" s="1"/>
  <c r="C25" i="4" s="1"/>
  <c r="F27" i="3"/>
  <c r="E27" i="3"/>
  <c r="D27" i="3"/>
  <c r="C27" i="3"/>
  <c r="H27" i="3" s="1"/>
  <c r="B27" i="3"/>
  <c r="H26" i="3"/>
  <c r="F26" i="3"/>
  <c r="E26" i="3"/>
  <c r="D26" i="3"/>
  <c r="I26" i="3" s="1"/>
  <c r="C26" i="3"/>
  <c r="B26" i="3"/>
  <c r="G26" i="3" s="1"/>
  <c r="J26" i="3" s="1"/>
  <c r="C24" i="4" s="1"/>
  <c r="I25" i="3"/>
  <c r="G25" i="3"/>
  <c r="J25" i="3" s="1"/>
  <c r="C23" i="4" s="1"/>
  <c r="F25" i="3"/>
  <c r="E25" i="3"/>
  <c r="D25" i="3"/>
  <c r="C25" i="3"/>
  <c r="H25" i="3" s="1"/>
  <c r="B25" i="3"/>
  <c r="H24" i="3"/>
  <c r="F24" i="3"/>
  <c r="E24" i="3"/>
  <c r="D24" i="3"/>
  <c r="I24" i="3" s="1"/>
  <c r="C24" i="3"/>
  <c r="B24" i="3"/>
  <c r="G24" i="3" s="1"/>
  <c r="I23" i="3"/>
  <c r="G23" i="3"/>
  <c r="F23" i="3"/>
  <c r="E23" i="3"/>
  <c r="D23" i="3"/>
  <c r="C23" i="3"/>
  <c r="H23" i="3" s="1"/>
  <c r="B23" i="3"/>
  <c r="H22" i="3"/>
  <c r="F22" i="3"/>
  <c r="E22" i="3"/>
  <c r="D22" i="3"/>
  <c r="I22" i="3" s="1"/>
  <c r="C22" i="3"/>
  <c r="B22" i="3"/>
  <c r="G22" i="3" s="1"/>
  <c r="J22" i="3" s="1"/>
  <c r="C20" i="4" s="1"/>
  <c r="I21" i="3"/>
  <c r="G21" i="3"/>
  <c r="F21" i="3"/>
  <c r="E21" i="3"/>
  <c r="D21" i="3"/>
  <c r="C21" i="3"/>
  <c r="H21" i="3" s="1"/>
  <c r="B21" i="3"/>
  <c r="H20" i="3"/>
  <c r="F20" i="3"/>
  <c r="E20" i="3"/>
  <c r="D20" i="3"/>
  <c r="I20" i="3" s="1"/>
  <c r="C20" i="3"/>
  <c r="B20" i="3"/>
  <c r="G20" i="3" s="1"/>
  <c r="I19" i="3"/>
  <c r="G19" i="3"/>
  <c r="J19" i="3" s="1"/>
  <c r="C17" i="4" s="1"/>
  <c r="F19" i="3"/>
  <c r="E19" i="3"/>
  <c r="D19" i="3"/>
  <c r="C19" i="3"/>
  <c r="H19" i="3" s="1"/>
  <c r="B19" i="3"/>
  <c r="H18" i="3"/>
  <c r="F18" i="3"/>
  <c r="E18" i="3"/>
  <c r="D18" i="3"/>
  <c r="I18" i="3" s="1"/>
  <c r="C18" i="3"/>
  <c r="B18" i="3"/>
  <c r="G18" i="3" s="1"/>
  <c r="I17" i="3"/>
  <c r="G17" i="3"/>
  <c r="F17" i="3"/>
  <c r="E17" i="3"/>
  <c r="D17" i="3"/>
  <c r="C17" i="3"/>
  <c r="H17" i="3" s="1"/>
  <c r="B17" i="3"/>
  <c r="H16" i="3"/>
  <c r="F16" i="3"/>
  <c r="E16" i="3"/>
  <c r="D16" i="3"/>
  <c r="I16" i="3" s="1"/>
  <c r="C16" i="3"/>
  <c r="B16" i="3"/>
  <c r="G16" i="3" s="1"/>
  <c r="C21" i="5" l="1"/>
  <c r="B15" i="6"/>
  <c r="B21" i="6" s="1"/>
  <c r="D22" i="5"/>
  <c r="B21" i="5"/>
  <c r="J61" i="3"/>
  <c r="C59" i="4" s="1"/>
  <c r="J135" i="3"/>
  <c r="C133" i="4" s="1"/>
  <c r="J17" i="3"/>
  <c r="C15" i="4" s="1"/>
  <c r="J38" i="3"/>
  <c r="C36" i="4" s="1"/>
  <c r="J41" i="3"/>
  <c r="C39" i="4" s="1"/>
  <c r="J62" i="3"/>
  <c r="C60" i="4" s="1"/>
  <c r="J65" i="3"/>
  <c r="C63" i="4" s="1"/>
  <c r="J86" i="3"/>
  <c r="C84" i="4" s="1"/>
  <c r="J89" i="3"/>
  <c r="C87" i="4" s="1"/>
  <c r="J110" i="3"/>
  <c r="C108" i="4" s="1"/>
  <c r="J113" i="3"/>
  <c r="C111" i="4" s="1"/>
  <c r="J134" i="3"/>
  <c r="C132" i="4" s="1"/>
  <c r="J137" i="3"/>
  <c r="C135" i="4" s="1"/>
  <c r="J158" i="3"/>
  <c r="C156" i="4" s="1"/>
  <c r="J168" i="3"/>
  <c r="C166" i="4" s="1"/>
  <c r="J176" i="3"/>
  <c r="C174" i="4" s="1"/>
  <c r="J166" i="3"/>
  <c r="C164" i="4" s="1"/>
  <c r="J170" i="3"/>
  <c r="C168" i="4" s="1"/>
  <c r="J174" i="3"/>
  <c r="C172" i="4" s="1"/>
  <c r="B26" i="6"/>
  <c r="E138" i="6" s="1"/>
  <c r="G267" i="3"/>
  <c r="J16" i="3"/>
  <c r="G268" i="3"/>
  <c r="J18" i="3"/>
  <c r="C16" i="4" s="1"/>
  <c r="J21" i="3"/>
  <c r="C19" i="4" s="1"/>
  <c r="J42" i="3"/>
  <c r="C40" i="4" s="1"/>
  <c r="J45" i="3"/>
  <c r="C43" i="4" s="1"/>
  <c r="J66" i="3"/>
  <c r="C64" i="4" s="1"/>
  <c r="J69" i="3"/>
  <c r="C67" i="4" s="1"/>
  <c r="J90" i="3"/>
  <c r="C88" i="4" s="1"/>
  <c r="J93" i="3"/>
  <c r="C91" i="4" s="1"/>
  <c r="J114" i="3"/>
  <c r="C112" i="4" s="1"/>
  <c r="J117" i="3"/>
  <c r="C115" i="4" s="1"/>
  <c r="J138" i="3"/>
  <c r="C136" i="4" s="1"/>
  <c r="J141" i="3"/>
  <c r="C139" i="4" s="1"/>
  <c r="B28" i="6"/>
  <c r="I267" i="3"/>
  <c r="I268" i="3"/>
  <c r="J20" i="3"/>
  <c r="C18" i="4" s="1"/>
  <c r="J23" i="3"/>
  <c r="C21" i="4" s="1"/>
  <c r="J44" i="3"/>
  <c r="C42" i="4" s="1"/>
  <c r="J47" i="3"/>
  <c r="C45" i="4" s="1"/>
  <c r="J68" i="3"/>
  <c r="C66" i="4" s="1"/>
  <c r="J71" i="3"/>
  <c r="C69" i="4" s="1"/>
  <c r="J92" i="3"/>
  <c r="C90" i="4" s="1"/>
  <c r="J95" i="3"/>
  <c r="C93" i="4" s="1"/>
  <c r="J116" i="3"/>
  <c r="C114" i="4" s="1"/>
  <c r="J119" i="3"/>
  <c r="C117" i="4" s="1"/>
  <c r="J140" i="3"/>
  <c r="C138" i="4" s="1"/>
  <c r="J143" i="3"/>
  <c r="C141" i="4" s="1"/>
  <c r="J24" i="3"/>
  <c r="C22" i="4" s="1"/>
  <c r="J48" i="3"/>
  <c r="C46" i="4" s="1"/>
  <c r="J72" i="3"/>
  <c r="C70" i="4" s="1"/>
  <c r="J96" i="3"/>
  <c r="C94" i="4" s="1"/>
  <c r="J120" i="3"/>
  <c r="C118" i="4" s="1"/>
  <c r="J144" i="3"/>
  <c r="C142" i="4" s="1"/>
  <c r="J159" i="3"/>
  <c r="C157" i="4" s="1"/>
  <c r="J57" i="3"/>
  <c r="C55" i="4" s="1"/>
  <c r="J81" i="3"/>
  <c r="C79" i="4" s="1"/>
  <c r="J150" i="3"/>
  <c r="C148" i="4" s="1"/>
  <c r="J30" i="3"/>
  <c r="C28" i="4" s="1"/>
  <c r="J33" i="3"/>
  <c r="C31" i="4" s="1"/>
  <c r="J54" i="3"/>
  <c r="C52" i="4" s="1"/>
  <c r="J78" i="3"/>
  <c r="C76" i="4" s="1"/>
  <c r="J102" i="3"/>
  <c r="C100" i="4" s="1"/>
  <c r="J105" i="3"/>
  <c r="C103" i="4" s="1"/>
  <c r="J126" i="3"/>
  <c r="C124" i="4" s="1"/>
  <c r="J129" i="3"/>
  <c r="C127" i="4" s="1"/>
  <c r="J153" i="3"/>
  <c r="C151" i="4" s="1"/>
  <c r="J32" i="3"/>
  <c r="C30" i="4" s="1"/>
  <c r="J35" i="3"/>
  <c r="C33" i="4" s="1"/>
  <c r="J56" i="3"/>
  <c r="C54" i="4" s="1"/>
  <c r="J59" i="3"/>
  <c r="C57" i="4" s="1"/>
  <c r="J80" i="3"/>
  <c r="C78" i="4" s="1"/>
  <c r="J83" i="3"/>
  <c r="C81" i="4" s="1"/>
  <c r="J104" i="3"/>
  <c r="C102" i="4" s="1"/>
  <c r="J107" i="3"/>
  <c r="C105" i="4" s="1"/>
  <c r="J128" i="3"/>
  <c r="C126" i="4" s="1"/>
  <c r="J131" i="3"/>
  <c r="C129" i="4" s="1"/>
  <c r="J152" i="3"/>
  <c r="C150" i="4" s="1"/>
  <c r="J37" i="3"/>
  <c r="C35" i="4" s="1"/>
  <c r="J85" i="3"/>
  <c r="C83" i="4" s="1"/>
  <c r="J109" i="3"/>
  <c r="C107" i="4" s="1"/>
  <c r="J161" i="3"/>
  <c r="C159" i="4" s="1"/>
  <c r="J133" i="3"/>
  <c r="C131" i="4" s="1"/>
  <c r="J36" i="3"/>
  <c r="C34" i="4" s="1"/>
  <c r="J39" i="3"/>
  <c r="C37" i="4" s="1"/>
  <c r="J60" i="3"/>
  <c r="C58" i="4" s="1"/>
  <c r="J63" i="3"/>
  <c r="C61" i="4" s="1"/>
  <c r="J84" i="3"/>
  <c r="C82" i="4" s="1"/>
  <c r="J87" i="3"/>
  <c r="C85" i="4" s="1"/>
  <c r="J111" i="3"/>
  <c r="C109" i="4" s="1"/>
  <c r="J199" i="3"/>
  <c r="C197" i="4" s="1"/>
  <c r="J171" i="3"/>
  <c r="C169" i="4" s="1"/>
  <c r="J200" i="3"/>
  <c r="C198" i="4" s="1"/>
  <c r="J211" i="3"/>
  <c r="C209" i="4" s="1"/>
  <c r="J212" i="3"/>
  <c r="C210" i="4" s="1"/>
  <c r="J223" i="3"/>
  <c r="C221" i="4" s="1"/>
  <c r="J224" i="3"/>
  <c r="C222" i="4" s="1"/>
  <c r="J230" i="3"/>
  <c r="C228" i="4" s="1"/>
  <c r="J245" i="3"/>
  <c r="C243" i="4" s="1"/>
  <c r="J255" i="3"/>
  <c r="C253" i="4" s="1"/>
  <c r="J186" i="3"/>
  <c r="C184" i="4" s="1"/>
  <c r="J191" i="3"/>
  <c r="C189" i="4" s="1"/>
  <c r="J192" i="3"/>
  <c r="C190" i="4" s="1"/>
  <c r="J206" i="3"/>
  <c r="C204" i="4" s="1"/>
  <c r="J218" i="3"/>
  <c r="C216" i="4" s="1"/>
  <c r="J155" i="3"/>
  <c r="C153" i="4" s="1"/>
  <c r="H206" i="3"/>
  <c r="H218" i="3"/>
  <c r="J234" i="3"/>
  <c r="C232" i="4" s="1"/>
  <c r="J253" i="3"/>
  <c r="C251" i="4" s="1"/>
  <c r="J263" i="3"/>
  <c r="C261" i="4" s="1"/>
  <c r="E191" i="6"/>
  <c r="J178" i="3"/>
  <c r="C176" i="4" s="1"/>
  <c r="J183" i="3"/>
  <c r="C181" i="4" s="1"/>
  <c r="J184" i="3"/>
  <c r="C182" i="4" s="1"/>
  <c r="J203" i="3"/>
  <c r="C201" i="4" s="1"/>
  <c r="J204" i="3"/>
  <c r="C202" i="4" s="1"/>
  <c r="J215" i="3"/>
  <c r="C213" i="4" s="1"/>
  <c r="J216" i="3"/>
  <c r="C214" i="4" s="1"/>
  <c r="J227" i="3"/>
  <c r="C225" i="4" s="1"/>
  <c r="J228" i="3"/>
  <c r="C226" i="4" s="1"/>
  <c r="H234" i="3"/>
  <c r="J238" i="3"/>
  <c r="C236" i="4" s="1"/>
  <c r="J257" i="3"/>
  <c r="C255" i="4" s="1"/>
  <c r="J198" i="3"/>
  <c r="C196" i="4" s="1"/>
  <c r="J242" i="3"/>
  <c r="C240" i="4" s="1"/>
  <c r="J261" i="3"/>
  <c r="C259" i="4" s="1"/>
  <c r="J163" i="3"/>
  <c r="C161" i="4" s="1"/>
  <c r="J210" i="3"/>
  <c r="C208" i="4" s="1"/>
  <c r="J222" i="3"/>
  <c r="C220" i="4" s="1"/>
  <c r="J190" i="3"/>
  <c r="C188" i="4" s="1"/>
  <c r="J195" i="3"/>
  <c r="C193" i="4" s="1"/>
  <c r="H210" i="3"/>
  <c r="H222" i="3"/>
  <c r="J229" i="3"/>
  <c r="C227" i="4" s="1"/>
  <c r="J231" i="3"/>
  <c r="C229" i="4" s="1"/>
  <c r="J232" i="3"/>
  <c r="C230" i="4" s="1"/>
  <c r="H246" i="3"/>
  <c r="J246" i="3" s="1"/>
  <c r="C244" i="4" s="1"/>
  <c r="J250" i="3"/>
  <c r="C248" i="4" s="1"/>
  <c r="C15" i="6"/>
  <c r="C21" i="6" s="1"/>
  <c r="J207" i="3"/>
  <c r="C205" i="4" s="1"/>
  <c r="J208" i="3"/>
  <c r="C206" i="4" s="1"/>
  <c r="J219" i="3"/>
  <c r="C217" i="4" s="1"/>
  <c r="J220" i="3"/>
  <c r="C218" i="4" s="1"/>
  <c r="J235" i="3"/>
  <c r="C233" i="4" s="1"/>
  <c r="J254" i="3"/>
  <c r="C252" i="4" s="1"/>
  <c r="J182" i="3"/>
  <c r="C180" i="4" s="1"/>
  <c r="J187" i="3"/>
  <c r="C185" i="4" s="1"/>
  <c r="J239" i="3"/>
  <c r="C237" i="4" s="1"/>
  <c r="J240" i="3"/>
  <c r="C238" i="4" s="1"/>
  <c r="J258" i="3"/>
  <c r="C256" i="4" s="1"/>
  <c r="J202" i="3"/>
  <c r="C200" i="4" s="1"/>
  <c r="J214" i="3"/>
  <c r="C212" i="4" s="1"/>
  <c r="J226" i="3"/>
  <c r="C224" i="4" s="1"/>
  <c r="H258" i="3"/>
  <c r="H267" i="3"/>
  <c r="H268" i="3"/>
  <c r="J179" i="3"/>
  <c r="C177" i="4" s="1"/>
  <c r="J237" i="3"/>
  <c r="C235" i="4" s="1"/>
  <c r="J247" i="3"/>
  <c r="C245" i="4" s="1"/>
  <c r="J248" i="3"/>
  <c r="C246" i="4" s="1"/>
  <c r="B35" i="5"/>
  <c r="C53" i="5" s="1"/>
  <c r="E52" i="6"/>
  <c r="D23" i="5"/>
  <c r="C23" i="5"/>
  <c r="B23" i="5"/>
  <c r="E274" i="6"/>
  <c r="E296" i="6"/>
  <c r="E184" i="6"/>
  <c r="E332" i="6"/>
  <c r="B16" i="6"/>
  <c r="D20" i="6" s="1"/>
  <c r="E537" i="6"/>
  <c r="E534" i="6"/>
  <c r="E531" i="6"/>
  <c r="E528" i="6"/>
  <c r="E525" i="6"/>
  <c r="E522" i="6"/>
  <c r="E519" i="6"/>
  <c r="E516" i="6"/>
  <c r="E513" i="6"/>
  <c r="E510" i="6"/>
  <c r="E507" i="6"/>
  <c r="E504" i="6"/>
  <c r="E501" i="6"/>
  <c r="E498" i="6"/>
  <c r="E495" i="6"/>
  <c r="E492" i="6"/>
  <c r="E489" i="6"/>
  <c r="E486" i="6"/>
  <c r="E483" i="6"/>
  <c r="E480" i="6"/>
  <c r="E477" i="6"/>
  <c r="E474" i="6"/>
  <c r="E471" i="6"/>
  <c r="E468" i="6"/>
  <c r="E465" i="6"/>
  <c r="E462" i="6"/>
  <c r="E459" i="6"/>
  <c r="E456" i="6"/>
  <c r="E453" i="6"/>
  <c r="E450" i="6"/>
  <c r="E447" i="6"/>
  <c r="E444" i="6"/>
  <c r="E441" i="6"/>
  <c r="E438" i="6"/>
  <c r="E435" i="6"/>
  <c r="E432" i="6"/>
  <c r="E429" i="6"/>
  <c r="E426" i="6"/>
  <c r="E423" i="6"/>
  <c r="E420" i="6"/>
  <c r="E417" i="6"/>
  <c r="E414" i="6"/>
  <c r="E411" i="6"/>
  <c r="E408" i="6"/>
  <c r="E405" i="6"/>
  <c r="E402" i="6"/>
  <c r="E399" i="6"/>
  <c r="E396" i="6"/>
  <c r="E393" i="6"/>
  <c r="E390" i="6"/>
  <c r="E387" i="6"/>
  <c r="E384" i="6"/>
  <c r="E381" i="6"/>
  <c r="E378" i="6"/>
  <c r="E375" i="6"/>
  <c r="E372" i="6"/>
  <c r="E369" i="6"/>
  <c r="E366" i="6"/>
  <c r="E363" i="6"/>
  <c r="E360" i="6"/>
  <c r="E357" i="6"/>
  <c r="E354" i="6"/>
  <c r="E351" i="6"/>
  <c r="E348" i="6"/>
  <c r="E345" i="6"/>
  <c r="E342" i="6"/>
  <c r="E339" i="6"/>
  <c r="E336" i="6"/>
  <c r="E333" i="6"/>
  <c r="E330" i="6"/>
  <c r="E327" i="6"/>
  <c r="E324" i="6"/>
  <c r="E321" i="6"/>
  <c r="E318" i="6"/>
  <c r="E315" i="6"/>
  <c r="E312" i="6"/>
  <c r="E309" i="6"/>
  <c r="E306" i="6"/>
  <c r="E303" i="6"/>
  <c r="E300" i="6"/>
  <c r="E297" i="6"/>
  <c r="E294" i="6"/>
  <c r="E291" i="6"/>
  <c r="E288" i="6"/>
  <c r="E538" i="6"/>
  <c r="E535" i="6"/>
  <c r="E532" i="6"/>
  <c r="E529" i="6"/>
  <c r="E526" i="6"/>
  <c r="E523" i="6"/>
  <c r="E520" i="6"/>
  <c r="E517" i="6"/>
  <c r="E514" i="6"/>
  <c r="E511" i="6"/>
  <c r="E508" i="6"/>
  <c r="E505" i="6"/>
  <c r="E502" i="6"/>
  <c r="E499" i="6"/>
  <c r="E496" i="6"/>
  <c r="E493" i="6"/>
  <c r="E490" i="6"/>
  <c r="E487" i="6"/>
  <c r="E484" i="6"/>
  <c r="E481" i="6"/>
  <c r="E478" i="6"/>
  <c r="E475" i="6"/>
  <c r="E472" i="6"/>
  <c r="E469" i="6"/>
  <c r="E466" i="6"/>
  <c r="E463" i="6"/>
  <c r="E460" i="6"/>
  <c r="E457" i="6"/>
  <c r="E454" i="6"/>
  <c r="E451" i="6"/>
  <c r="E448" i="6"/>
  <c r="E445" i="6"/>
  <c r="E442" i="6"/>
  <c r="E439" i="6"/>
  <c r="E436" i="6"/>
  <c r="E433" i="6"/>
  <c r="E430" i="6"/>
  <c r="E427" i="6"/>
  <c r="E424" i="6"/>
  <c r="E421" i="6"/>
  <c r="E418" i="6"/>
  <c r="E415" i="6"/>
  <c r="E412" i="6"/>
  <c r="E409" i="6"/>
  <c r="E406" i="6"/>
  <c r="E403" i="6"/>
  <c r="E400" i="6"/>
  <c r="E397" i="6"/>
  <c r="E394" i="6"/>
  <c r="E391" i="6"/>
  <c r="E388" i="6"/>
  <c r="E385" i="6"/>
  <c r="E382" i="6"/>
  <c r="E379" i="6"/>
  <c r="E376" i="6"/>
  <c r="E373" i="6"/>
  <c r="E370" i="6"/>
  <c r="E367" i="6"/>
  <c r="E364" i="6"/>
  <c r="E361" i="6"/>
  <c r="E358" i="6"/>
  <c r="E355" i="6"/>
  <c r="E352" i="6"/>
  <c r="E349" i="6"/>
  <c r="E346" i="6"/>
  <c r="E343" i="6"/>
  <c r="E340" i="6"/>
  <c r="E337" i="6"/>
  <c r="E334" i="6"/>
  <c r="E331" i="6"/>
  <c r="E328" i="6"/>
  <c r="E325" i="6"/>
  <c r="E322" i="6"/>
  <c r="E319" i="6"/>
  <c r="E316" i="6"/>
  <c r="E313" i="6"/>
  <c r="E310" i="6"/>
  <c r="E307" i="6"/>
  <c r="E304" i="6"/>
  <c r="E301" i="6"/>
  <c r="E298" i="6"/>
  <c r="E295" i="6"/>
  <c r="E292" i="6"/>
  <c r="E289" i="6"/>
  <c r="E286" i="6"/>
  <c r="E518" i="6"/>
  <c r="E482" i="6"/>
  <c r="E446" i="6"/>
  <c r="E410" i="6"/>
  <c r="E374" i="6"/>
  <c r="E338" i="6"/>
  <c r="E290" i="6"/>
  <c r="E503" i="6"/>
  <c r="E524" i="6"/>
  <c r="E488" i="6"/>
  <c r="E452" i="6"/>
  <c r="E416" i="6"/>
  <c r="E380" i="6"/>
  <c r="E344" i="6"/>
  <c r="E285" i="6"/>
  <c r="E282" i="6"/>
  <c r="E279" i="6"/>
  <c r="E276" i="6"/>
  <c r="E273" i="6"/>
  <c r="E270" i="6"/>
  <c r="E267" i="6"/>
  <c r="E264" i="6"/>
  <c r="E261" i="6"/>
  <c r="E258" i="6"/>
  <c r="E255" i="6"/>
  <c r="E252" i="6"/>
  <c r="E249" i="6"/>
  <c r="E246" i="6"/>
  <c r="E243" i="6"/>
  <c r="E240" i="6"/>
  <c r="E237" i="6"/>
  <c r="E234" i="6"/>
  <c r="E231" i="6"/>
  <c r="E228" i="6"/>
  <c r="E225" i="6"/>
  <c r="E222" i="6"/>
  <c r="E219" i="6"/>
  <c r="E216" i="6"/>
  <c r="E213" i="6"/>
  <c r="E210" i="6"/>
  <c r="E207" i="6"/>
  <c r="E204" i="6"/>
  <c r="E201" i="6"/>
  <c r="E198" i="6"/>
  <c r="E195" i="6"/>
  <c r="E192" i="6"/>
  <c r="E189" i="6"/>
  <c r="E186" i="6"/>
  <c r="E183" i="6"/>
  <c r="E180" i="6"/>
  <c r="E177" i="6"/>
  <c r="E174" i="6"/>
  <c r="E171" i="6"/>
  <c r="E168" i="6"/>
  <c r="E165" i="6"/>
  <c r="E162" i="6"/>
  <c r="E159" i="6"/>
  <c r="E156" i="6"/>
  <c r="E153" i="6"/>
  <c r="E150" i="6"/>
  <c r="E147" i="6"/>
  <c r="E144" i="6"/>
  <c r="E509" i="6"/>
  <c r="E473" i="6"/>
  <c r="E437" i="6"/>
  <c r="E401" i="6"/>
  <c r="E365" i="6"/>
  <c r="E329" i="6"/>
  <c r="E299" i="6"/>
  <c r="E530" i="6"/>
  <c r="E494" i="6"/>
  <c r="E458" i="6"/>
  <c r="E422" i="6"/>
  <c r="E386" i="6"/>
  <c r="E350" i="6"/>
  <c r="E515" i="6"/>
  <c r="E479" i="6"/>
  <c r="E443" i="6"/>
  <c r="E407" i="6"/>
  <c r="E371" i="6"/>
  <c r="E335" i="6"/>
  <c r="E314" i="6"/>
  <c r="E293" i="6"/>
  <c r="E536" i="6"/>
  <c r="E500" i="6"/>
  <c r="E464" i="6"/>
  <c r="E428" i="6"/>
  <c r="E392" i="6"/>
  <c r="E356" i="6"/>
  <c r="E320" i="6"/>
  <c r="E308" i="6"/>
  <c r="E284" i="6"/>
  <c r="E281" i="6"/>
  <c r="E278" i="6"/>
  <c r="E275" i="6"/>
  <c r="E272" i="6"/>
  <c r="E269" i="6"/>
  <c r="E266" i="6"/>
  <c r="E263" i="6"/>
  <c r="E260" i="6"/>
  <c r="E521" i="6"/>
  <c r="E485" i="6"/>
  <c r="E506" i="6"/>
  <c r="E470" i="6"/>
  <c r="E434" i="6"/>
  <c r="E398" i="6"/>
  <c r="E362" i="6"/>
  <c r="E533" i="6"/>
  <c r="E497" i="6"/>
  <c r="E449" i="6"/>
  <c r="E287" i="6"/>
  <c r="E257" i="6"/>
  <c r="E253" i="6"/>
  <c r="E248" i="6"/>
  <c r="E244" i="6"/>
  <c r="E239" i="6"/>
  <c r="E235" i="6"/>
  <c r="E230" i="6"/>
  <c r="E218" i="6"/>
  <c r="E211" i="6"/>
  <c r="E200" i="6"/>
  <c r="E193" i="6"/>
  <c r="E182" i="6"/>
  <c r="E172" i="6"/>
  <c r="E149" i="6"/>
  <c r="E431" i="6"/>
  <c r="E377" i="6"/>
  <c r="E527" i="6"/>
  <c r="E395" i="6"/>
  <c r="E317" i="6"/>
  <c r="E221" i="6"/>
  <c r="E158" i="6"/>
  <c r="E145" i="6"/>
  <c r="E359" i="6"/>
  <c r="E305" i="6"/>
  <c r="E256" i="6"/>
  <c r="E251" i="6"/>
  <c r="E247" i="6"/>
  <c r="E242" i="6"/>
  <c r="E238" i="6"/>
  <c r="E233" i="6"/>
  <c r="E229" i="6"/>
  <c r="E217" i="6"/>
  <c r="E206" i="6"/>
  <c r="E199" i="6"/>
  <c r="E188" i="6"/>
  <c r="E181" i="6"/>
  <c r="E161" i="6"/>
  <c r="E148" i="6"/>
  <c r="E461" i="6"/>
  <c r="E341" i="6"/>
  <c r="E164" i="6"/>
  <c r="E151" i="6"/>
  <c r="E425" i="6"/>
  <c r="E326" i="6"/>
  <c r="E302" i="6"/>
  <c r="E476" i="6"/>
  <c r="E440" i="6"/>
  <c r="E389" i="6"/>
  <c r="E220" i="6"/>
  <c r="E170" i="6"/>
  <c r="E157" i="6"/>
  <c r="E383" i="6"/>
  <c r="E323" i="6"/>
  <c r="E223" i="6"/>
  <c r="E215" i="6"/>
  <c r="E208" i="6"/>
  <c r="E197" i="6"/>
  <c r="E190" i="6"/>
  <c r="E179" i="6"/>
  <c r="E166" i="6"/>
  <c r="E143" i="6"/>
  <c r="E140" i="6"/>
  <c r="E137" i="6"/>
  <c r="E134" i="6"/>
  <c r="E131" i="6"/>
  <c r="E128" i="6"/>
  <c r="E125" i="6"/>
  <c r="E122" i="6"/>
  <c r="E368" i="6"/>
  <c r="E227" i="6"/>
  <c r="E176" i="6"/>
  <c r="E163" i="6"/>
  <c r="E132" i="6"/>
  <c r="E117" i="6"/>
  <c r="E113" i="6"/>
  <c r="E108" i="6"/>
  <c r="E104" i="6"/>
  <c r="E99" i="6"/>
  <c r="E95" i="6"/>
  <c r="E90" i="6"/>
  <c r="E86" i="6"/>
  <c r="E81" i="6"/>
  <c r="E55" i="6"/>
  <c r="E169" i="6"/>
  <c r="E127" i="6"/>
  <c r="E77" i="6"/>
  <c r="E73" i="6"/>
  <c r="E69" i="6"/>
  <c r="E62" i="6"/>
  <c r="E51" i="6"/>
  <c r="E44" i="6"/>
  <c r="E512" i="6"/>
  <c r="E268" i="6"/>
  <c r="E226" i="6"/>
  <c r="E175" i="6"/>
  <c r="E126" i="6"/>
  <c r="E58" i="6"/>
  <c r="E40" i="6"/>
  <c r="E419" i="6"/>
  <c r="E283" i="6"/>
  <c r="E265" i="6"/>
  <c r="E203" i="6"/>
  <c r="E196" i="6"/>
  <c r="E155" i="6"/>
  <c r="E142" i="6"/>
  <c r="E121" i="6"/>
  <c r="E112" i="6"/>
  <c r="E103" i="6"/>
  <c r="E94" i="6"/>
  <c r="E85" i="6"/>
  <c r="E72" i="6"/>
  <c r="E65" i="6"/>
  <c r="E54" i="6"/>
  <c r="E47" i="6"/>
  <c r="E491" i="6"/>
  <c r="E413" i="6"/>
  <c r="E353" i="6"/>
  <c r="E311" i="6"/>
  <c r="E224" i="6"/>
  <c r="E209" i="6"/>
  <c r="E202" i="6"/>
  <c r="E167" i="6"/>
  <c r="E154" i="6"/>
  <c r="E141" i="6"/>
  <c r="E136" i="6"/>
  <c r="E120" i="6"/>
  <c r="E116" i="6"/>
  <c r="E111" i="6"/>
  <c r="E107" i="6"/>
  <c r="E102" i="6"/>
  <c r="E98" i="6"/>
  <c r="E93" i="6"/>
  <c r="E89" i="6"/>
  <c r="E84" i="6"/>
  <c r="E80" i="6"/>
  <c r="E76" i="6"/>
  <c r="E61" i="6"/>
  <c r="E43" i="6"/>
  <c r="E404" i="6"/>
  <c r="E347" i="6"/>
  <c r="E250" i="6"/>
  <c r="E241" i="6"/>
  <c r="E232" i="6"/>
  <c r="E194" i="6"/>
  <c r="E187" i="6"/>
  <c r="E173" i="6"/>
  <c r="E160" i="6"/>
  <c r="E135" i="6"/>
  <c r="E68" i="6"/>
  <c r="E57" i="6"/>
  <c r="E50" i="6"/>
  <c r="E39" i="6"/>
  <c r="E280" i="6"/>
  <c r="E262" i="6"/>
  <c r="E130" i="6"/>
  <c r="E75" i="6"/>
  <c r="E64" i="6"/>
  <c r="E46" i="6"/>
  <c r="C20" i="6"/>
  <c r="E467" i="6"/>
  <c r="E277" i="6"/>
  <c r="E259" i="6"/>
  <c r="E146" i="6"/>
  <c r="E129" i="6"/>
  <c r="E115" i="6"/>
  <c r="E106" i="6"/>
  <c r="E97" i="6"/>
  <c r="E88" i="6"/>
  <c r="E79" i="6"/>
  <c r="E71" i="6"/>
  <c r="E60" i="6"/>
  <c r="E53" i="6"/>
  <c r="E42" i="6"/>
  <c r="B20" i="6"/>
  <c r="E455" i="6"/>
  <c r="E152" i="6"/>
  <c r="E124" i="6"/>
  <c r="E119" i="6"/>
  <c r="E114" i="6"/>
  <c r="E110" i="6"/>
  <c r="E105" i="6"/>
  <c r="E101" i="6"/>
  <c r="E96" i="6"/>
  <c r="E92" i="6"/>
  <c r="E87" i="6"/>
  <c r="E83" i="6"/>
  <c r="E67" i="6"/>
  <c r="E49" i="6"/>
  <c r="E214" i="6"/>
  <c r="E185" i="6"/>
  <c r="E178" i="6"/>
  <c r="E139" i="6"/>
  <c r="E123" i="6"/>
  <c r="E78" i="6"/>
  <c r="E63" i="6"/>
  <c r="E56" i="6"/>
  <c r="E45" i="6"/>
  <c r="E271" i="6"/>
  <c r="E254" i="6"/>
  <c r="E245" i="6"/>
  <c r="E236" i="6"/>
  <c r="E212" i="6"/>
  <c r="E205" i="6"/>
  <c r="E133" i="6"/>
  <c r="E118" i="6"/>
  <c r="E109" i="6"/>
  <c r="E100" i="6"/>
  <c r="E91" i="6"/>
  <c r="E82" i="6"/>
  <c r="E66" i="6"/>
  <c r="E59" i="6"/>
  <c r="E48" i="6"/>
  <c r="E41" i="6"/>
  <c r="E70" i="6"/>
  <c r="E74" i="6"/>
  <c r="D21" i="5"/>
  <c r="B33" i="5"/>
  <c r="C51" i="5" s="1"/>
  <c r="C22" i="5"/>
  <c r="B51" i="5"/>
  <c r="B34" i="5"/>
  <c r="C52" i="5" s="1"/>
  <c r="B22" i="5"/>
  <c r="B22" i="6" l="1"/>
  <c r="C16" i="6"/>
  <c r="G259" i="4"/>
  <c r="G253" i="4"/>
  <c r="G247" i="4"/>
  <c r="G241" i="4"/>
  <c r="G235" i="4"/>
  <c r="G229" i="4"/>
  <c r="G223" i="4"/>
  <c r="G217" i="4"/>
  <c r="G211" i="4"/>
  <c r="G205" i="4"/>
  <c r="G199" i="4"/>
  <c r="G193" i="4"/>
  <c r="G187" i="4"/>
  <c r="G181" i="4"/>
  <c r="G175" i="4"/>
  <c r="G169" i="4"/>
  <c r="G163" i="4"/>
  <c r="G157" i="4"/>
  <c r="G151" i="4"/>
  <c r="G145" i="4"/>
  <c r="G139" i="4"/>
  <c r="G263" i="4"/>
  <c r="G257" i="4"/>
  <c r="G251" i="4"/>
  <c r="G245" i="4"/>
  <c r="G239" i="4"/>
  <c r="G233" i="4"/>
  <c r="G227" i="4"/>
  <c r="G221" i="4"/>
  <c r="G215" i="4"/>
  <c r="G209" i="4"/>
  <c r="G203" i="4"/>
  <c r="G197" i="4"/>
  <c r="G191" i="4"/>
  <c r="G185" i="4"/>
  <c r="G179" i="4"/>
  <c r="G173" i="4"/>
  <c r="G167" i="4"/>
  <c r="G161" i="4"/>
  <c r="G155" i="4"/>
  <c r="G149" i="4"/>
  <c r="G143" i="4"/>
  <c r="G137" i="4"/>
  <c r="G131" i="4"/>
  <c r="G125" i="4"/>
  <c r="G119" i="4"/>
  <c r="G113" i="4"/>
  <c r="G107" i="4"/>
  <c r="G101" i="4"/>
  <c r="G95" i="4"/>
  <c r="G89" i="4"/>
  <c r="G83" i="4"/>
  <c r="G77" i="4"/>
  <c r="G71" i="4"/>
  <c r="G65" i="4"/>
  <c r="G59" i="4"/>
  <c r="G262" i="4"/>
  <c r="G256" i="4"/>
  <c r="G250" i="4"/>
  <c r="G244" i="4"/>
  <c r="G238" i="4"/>
  <c r="G232" i="4"/>
  <c r="G226" i="4"/>
  <c r="G220" i="4"/>
  <c r="G214" i="4"/>
  <c r="G208" i="4"/>
  <c r="G202" i="4"/>
  <c r="G196" i="4"/>
  <c r="G190" i="4"/>
  <c r="G184" i="4"/>
  <c r="G178" i="4"/>
  <c r="G172" i="4"/>
  <c r="G166" i="4"/>
  <c r="G160" i="4"/>
  <c r="G154" i="4"/>
  <c r="G261" i="4"/>
  <c r="G255" i="4"/>
  <c r="G260" i="4"/>
  <c r="G254" i="4"/>
  <c r="G248" i="4"/>
  <c r="G242" i="4"/>
  <c r="G236" i="4"/>
  <c r="G230" i="4"/>
  <c r="G224" i="4"/>
  <c r="G218" i="4"/>
  <c r="G212" i="4"/>
  <c r="G206" i="4"/>
  <c r="G200" i="4"/>
  <c r="G194" i="4"/>
  <c r="G188" i="4"/>
  <c r="G182" i="4"/>
  <c r="G176" i="4"/>
  <c r="G170" i="4"/>
  <c r="G164" i="4"/>
  <c r="G158" i="4"/>
  <c r="G152" i="4"/>
  <c r="G146" i="4"/>
  <c r="G140" i="4"/>
  <c r="G134" i="4"/>
  <c r="G128" i="4"/>
  <c r="G122" i="4"/>
  <c r="G116" i="4"/>
  <c r="G110" i="4"/>
  <c r="G104" i="4"/>
  <c r="G98" i="4"/>
  <c r="G92" i="4"/>
  <c r="G86" i="4"/>
  <c r="G80" i="4"/>
  <c r="G74" i="4"/>
  <c r="G68" i="4"/>
  <c r="G62" i="4"/>
  <c r="G234" i="4"/>
  <c r="G219" i="4"/>
  <c r="G162" i="4"/>
  <c r="G148" i="4"/>
  <c r="G136" i="4"/>
  <c r="G126" i="4"/>
  <c r="G115" i="4"/>
  <c r="G106" i="4"/>
  <c r="G90" i="4"/>
  <c r="G82" i="4"/>
  <c r="G66" i="4"/>
  <c r="G204" i="4"/>
  <c r="G189" i="4"/>
  <c r="G147" i="4"/>
  <c r="G135" i="4"/>
  <c r="G105" i="4"/>
  <c r="G97" i="4"/>
  <c r="G81" i="4"/>
  <c r="G73" i="4"/>
  <c r="G58" i="4"/>
  <c r="G52" i="4"/>
  <c r="G46" i="4"/>
  <c r="G40" i="4"/>
  <c r="G34" i="4"/>
  <c r="G28" i="4"/>
  <c r="G22" i="4"/>
  <c r="G16" i="4"/>
  <c r="G246" i="4"/>
  <c r="G231" i="4"/>
  <c r="G174" i="4"/>
  <c r="G159" i="4"/>
  <c r="G124" i="4"/>
  <c r="G114" i="4"/>
  <c r="B268" i="4"/>
  <c r="B269" i="4" s="1"/>
  <c r="G216" i="4"/>
  <c r="G201" i="4"/>
  <c r="G133" i="4"/>
  <c r="G123" i="4"/>
  <c r="G96" i="4"/>
  <c r="G88" i="4"/>
  <c r="G72" i="4"/>
  <c r="G64" i="4"/>
  <c r="G57" i="4"/>
  <c r="G51" i="4"/>
  <c r="G45" i="4"/>
  <c r="G39" i="4"/>
  <c r="G33" i="4"/>
  <c r="G27" i="4"/>
  <c r="G21" i="4"/>
  <c r="G15" i="4"/>
  <c r="B267" i="4"/>
  <c r="B271" i="4" s="1"/>
  <c r="G243" i="4"/>
  <c r="G186" i="4"/>
  <c r="G171" i="4"/>
  <c r="G144" i="4"/>
  <c r="G112" i="4"/>
  <c r="G103" i="4"/>
  <c r="G87" i="4"/>
  <c r="G79" i="4"/>
  <c r="G228" i="4"/>
  <c r="G213" i="4"/>
  <c r="G156" i="4"/>
  <c r="G132" i="4"/>
  <c r="G121" i="4"/>
  <c r="G111" i="4"/>
  <c r="G63" i="4"/>
  <c r="G56" i="4"/>
  <c r="G50" i="4"/>
  <c r="G44" i="4"/>
  <c r="G38" i="4"/>
  <c r="G32" i="4"/>
  <c r="G26" i="4"/>
  <c r="G20" i="4"/>
  <c r="G14" i="4"/>
  <c r="G258" i="4"/>
  <c r="G198" i="4"/>
  <c r="G183" i="4"/>
  <c r="G142" i="4"/>
  <c r="G102" i="4"/>
  <c r="G94" i="4"/>
  <c r="G78" i="4"/>
  <c r="G70" i="4"/>
  <c r="C14" i="4"/>
  <c r="G240" i="4"/>
  <c r="G225" i="4"/>
  <c r="G168" i="4"/>
  <c r="G153" i="4"/>
  <c r="G141" i="4"/>
  <c r="G130" i="4"/>
  <c r="G120" i="4"/>
  <c r="G93" i="4"/>
  <c r="G85" i="4"/>
  <c r="G69" i="4"/>
  <c r="G55" i="4"/>
  <c r="G49" i="4"/>
  <c r="G43" i="4"/>
  <c r="G37" i="4"/>
  <c r="G31" i="4"/>
  <c r="G25" i="4"/>
  <c r="G19" i="4"/>
  <c r="J268" i="3"/>
  <c r="G210" i="4"/>
  <c r="G195" i="4"/>
  <c r="G129" i="4"/>
  <c r="G109" i="4"/>
  <c r="G61" i="4"/>
  <c r="G252" i="4"/>
  <c r="G237" i="4"/>
  <c r="G180" i="4"/>
  <c r="G165" i="4"/>
  <c r="G118" i="4"/>
  <c r="G100" i="4"/>
  <c r="G84" i="4"/>
  <c r="G76" i="4"/>
  <c r="G54" i="4"/>
  <c r="G48" i="4"/>
  <c r="G42" i="4"/>
  <c r="G36" i="4"/>
  <c r="G30" i="4"/>
  <c r="G24" i="4"/>
  <c r="G18" i="4"/>
  <c r="G47" i="4"/>
  <c r="J267" i="3"/>
  <c r="G222" i="4"/>
  <c r="G138" i="4"/>
  <c r="G41" i="4"/>
  <c r="G207" i="4"/>
  <c r="G127" i="4"/>
  <c r="G75" i="4"/>
  <c r="G35" i="4"/>
  <c r="G117" i="4"/>
  <c r="G67" i="4"/>
  <c r="G192" i="4"/>
  <c r="G29" i="4"/>
  <c r="G108" i="4"/>
  <c r="G60" i="4"/>
  <c r="G177" i="4"/>
  <c r="G23" i="4"/>
  <c r="G99" i="4"/>
  <c r="G249" i="4"/>
  <c r="G53" i="4"/>
  <c r="G17" i="4"/>
  <c r="G150" i="4"/>
  <c r="G91" i="4"/>
  <c r="B27" i="6"/>
  <c r="F80" i="6" s="1"/>
  <c r="F133" i="6"/>
  <c r="F56" i="6"/>
  <c r="F83" i="6"/>
  <c r="F411" i="6"/>
  <c r="F362" i="6"/>
  <c r="F468" i="6"/>
  <c r="F532" i="6"/>
  <c r="B37" i="5"/>
  <c r="B38" i="5" s="1"/>
  <c r="F218" i="6"/>
  <c r="F127" i="6"/>
  <c r="F240" i="6"/>
  <c r="F521" i="6"/>
  <c r="F315" i="6"/>
  <c r="F516" i="6"/>
  <c r="F111" i="6" l="1"/>
  <c r="F475" i="6"/>
  <c r="F403" i="6"/>
  <c r="F331" i="6"/>
  <c r="F336" i="6"/>
  <c r="F507" i="6"/>
  <c r="F260" i="6"/>
  <c r="F257" i="6"/>
  <c r="F247" i="6"/>
  <c r="F209" i="6"/>
  <c r="F354" i="6"/>
  <c r="F173" i="6"/>
  <c r="F244" i="6"/>
  <c r="F215" i="6"/>
  <c r="F178" i="6"/>
  <c r="F109" i="6"/>
  <c r="F144" i="6"/>
  <c r="F508" i="6"/>
  <c r="F472" i="6"/>
  <c r="F436" i="6"/>
  <c r="F400" i="6"/>
  <c r="F364" i="6"/>
  <c r="F328" i="6"/>
  <c r="F402" i="6"/>
  <c r="F488" i="6"/>
  <c r="F329" i="6"/>
  <c r="F422" i="6"/>
  <c r="F450" i="6"/>
  <c r="F500" i="6"/>
  <c r="F303" i="6"/>
  <c r="F528" i="6"/>
  <c r="F513" i="6"/>
  <c r="F525" i="6"/>
  <c r="F497" i="6"/>
  <c r="F175" i="6"/>
  <c r="F242" i="6"/>
  <c r="F148" i="6"/>
  <c r="F164" i="6"/>
  <c r="F202" i="6"/>
  <c r="F123" i="6"/>
  <c r="F87" i="6"/>
  <c r="F312" i="6"/>
  <c r="F259" i="6"/>
  <c r="F160" i="6"/>
  <c r="F249" i="6"/>
  <c r="F143" i="6"/>
  <c r="F235" i="6"/>
  <c r="F196" i="6"/>
  <c r="F353" i="6"/>
  <c r="F89" i="6"/>
  <c r="F208" i="6"/>
  <c r="F53" i="6"/>
  <c r="F119" i="6"/>
  <c r="F165" i="6"/>
  <c r="F145" i="6"/>
  <c r="F104" i="6"/>
  <c r="F59" i="6"/>
  <c r="F228" i="6"/>
  <c r="F166" i="6"/>
  <c r="F538" i="6"/>
  <c r="F502" i="6"/>
  <c r="F466" i="6"/>
  <c r="F430" i="6"/>
  <c r="F394" i="6"/>
  <c r="F358" i="6"/>
  <c r="F322" i="6"/>
  <c r="F366" i="6"/>
  <c r="F509" i="6"/>
  <c r="F299" i="6"/>
  <c r="F386" i="6"/>
  <c r="F414" i="6"/>
  <c r="F464" i="6"/>
  <c r="F288" i="6"/>
  <c r="F492" i="6"/>
  <c r="F534" i="6"/>
  <c r="F489" i="6"/>
  <c r="F416" i="6"/>
  <c r="F152" i="6"/>
  <c r="F233" i="6"/>
  <c r="F410" i="6"/>
  <c r="F519" i="6"/>
  <c r="F184" i="6"/>
  <c r="F117" i="6"/>
  <c r="F81" i="6"/>
  <c r="F512" i="6"/>
  <c r="F250" i="6"/>
  <c r="F504" i="6"/>
  <c r="F231" i="6"/>
  <c r="F122" i="6"/>
  <c r="F211" i="6"/>
  <c r="F142" i="6"/>
  <c r="F252" i="6"/>
  <c r="F76" i="6"/>
  <c r="F262" i="6"/>
  <c r="F396" i="6"/>
  <c r="F101" i="6"/>
  <c r="F134" i="6"/>
  <c r="F70" i="6"/>
  <c r="F86" i="6"/>
  <c r="F100" i="6"/>
  <c r="F481" i="6"/>
  <c r="F409" i="6"/>
  <c r="F373" i="6"/>
  <c r="F467" i="6"/>
  <c r="F465" i="6"/>
  <c r="F293" i="6"/>
  <c r="F377" i="6"/>
  <c r="F297" i="6"/>
  <c r="F181" i="6"/>
  <c r="F96" i="6"/>
  <c r="F535" i="6"/>
  <c r="F499" i="6"/>
  <c r="F463" i="6"/>
  <c r="F427" i="6"/>
  <c r="F391" i="6"/>
  <c r="F355" i="6"/>
  <c r="F319" i="6"/>
  <c r="F359" i="6"/>
  <c r="F480" i="6"/>
  <c r="F294" i="6"/>
  <c r="F357" i="6"/>
  <c r="F407" i="6"/>
  <c r="F435" i="6"/>
  <c r="F284" i="6"/>
  <c r="F485" i="6"/>
  <c r="F527" i="6"/>
  <c r="F482" i="6"/>
  <c r="F381" i="6"/>
  <c r="F533" i="6"/>
  <c r="F229" i="6"/>
  <c r="F344" i="6"/>
  <c r="F477" i="6"/>
  <c r="F177" i="6"/>
  <c r="F114" i="6"/>
  <c r="F78" i="6"/>
  <c r="F423" i="6"/>
  <c r="F245" i="6"/>
  <c r="F453" i="6"/>
  <c r="F204" i="6"/>
  <c r="F77" i="6"/>
  <c r="F182" i="6"/>
  <c r="F121" i="6"/>
  <c r="F243" i="6"/>
  <c r="F61" i="6"/>
  <c r="F201" i="6"/>
  <c r="F153" i="6"/>
  <c r="F301" i="6"/>
  <c r="F92" i="6"/>
  <c r="F63" i="6"/>
  <c r="F52" i="6"/>
  <c r="F55" i="6"/>
  <c r="F246" i="6"/>
  <c r="F213" i="6"/>
  <c r="F493" i="6"/>
  <c r="F421" i="6"/>
  <c r="F385" i="6"/>
  <c r="F313" i="6"/>
  <c r="F323" i="6"/>
  <c r="F537" i="6"/>
  <c r="F321" i="6"/>
  <c r="F399" i="6"/>
  <c r="F449" i="6"/>
  <c r="F491" i="6"/>
  <c r="F347" i="6"/>
  <c r="F217" i="6"/>
  <c r="F279" i="6"/>
  <c r="F154" i="6"/>
  <c r="F108" i="6"/>
  <c r="F369" i="6"/>
  <c r="F236" i="6"/>
  <c r="F169" i="6"/>
  <c r="F69" i="6"/>
  <c r="F103" i="6"/>
  <c r="F210" i="6"/>
  <c r="F125" i="6"/>
  <c r="F115" i="6"/>
  <c r="F239" i="6"/>
  <c r="F45" i="6"/>
  <c r="F324" i="6"/>
  <c r="F48" i="6"/>
  <c r="F531" i="6"/>
  <c r="F529" i="6"/>
  <c r="F457" i="6"/>
  <c r="F349" i="6"/>
  <c r="F444" i="6"/>
  <c r="F371" i="6"/>
  <c r="F278" i="6"/>
  <c r="F452" i="6"/>
  <c r="F483" i="6"/>
  <c r="F425" i="6"/>
  <c r="F72" i="6"/>
  <c r="F351" i="6"/>
  <c r="F137" i="6"/>
  <c r="F67" i="6"/>
  <c r="F128" i="6"/>
  <c r="F337" i="6"/>
  <c r="F222" i="6"/>
  <c r="F41" i="6"/>
  <c r="F526" i="6"/>
  <c r="F490" i="6"/>
  <c r="F454" i="6"/>
  <c r="F418" i="6"/>
  <c r="F382" i="6"/>
  <c r="F346" i="6"/>
  <c r="F510" i="6"/>
  <c r="F305" i="6"/>
  <c r="F437" i="6"/>
  <c r="F530" i="6"/>
  <c r="F309" i="6"/>
  <c r="F342" i="6"/>
  <c r="F392" i="6"/>
  <c r="F275" i="6"/>
  <c r="F420" i="6"/>
  <c r="F462" i="6"/>
  <c r="F417" i="6"/>
  <c r="F318" i="6"/>
  <c r="F446" i="6"/>
  <c r="F206" i="6"/>
  <c r="F273" i="6"/>
  <c r="F374" i="6"/>
  <c r="F141" i="6"/>
  <c r="F105" i="6"/>
  <c r="F476" i="6"/>
  <c r="F339" i="6"/>
  <c r="F232" i="6"/>
  <c r="F310" i="6"/>
  <c r="F156" i="6"/>
  <c r="F62" i="6"/>
  <c r="F58" i="6"/>
  <c r="F94" i="6"/>
  <c r="F168" i="6"/>
  <c r="F216" i="6"/>
  <c r="F64" i="6"/>
  <c r="F106" i="6"/>
  <c r="F230" i="6"/>
  <c r="F49" i="6"/>
  <c r="F332" i="6"/>
  <c r="F227" i="6"/>
  <c r="F447" i="6"/>
  <c r="F237" i="6"/>
  <c r="F220" i="6"/>
  <c r="F523" i="6"/>
  <c r="F487" i="6"/>
  <c r="F451" i="6"/>
  <c r="F415" i="6"/>
  <c r="F379" i="6"/>
  <c r="F343" i="6"/>
  <c r="F503" i="6"/>
  <c r="F300" i="6"/>
  <c r="F408" i="6"/>
  <c r="F501" i="6"/>
  <c r="F304" i="6"/>
  <c r="F335" i="6"/>
  <c r="F363" i="6"/>
  <c r="F272" i="6"/>
  <c r="F413" i="6"/>
  <c r="F455" i="6"/>
  <c r="F398" i="6"/>
  <c r="F307" i="6"/>
  <c r="F375" i="6"/>
  <c r="F199" i="6"/>
  <c r="F267" i="6"/>
  <c r="F326" i="6"/>
  <c r="F138" i="6"/>
  <c r="F102" i="6"/>
  <c r="F459" i="6"/>
  <c r="F291" i="6"/>
  <c r="F212" i="6"/>
  <c r="F282" i="6"/>
  <c r="F146" i="6"/>
  <c r="F51" i="6"/>
  <c r="F40" i="6"/>
  <c r="F85" i="6"/>
  <c r="F136" i="6"/>
  <c r="F180" i="6"/>
  <c r="F46" i="6"/>
  <c r="F97" i="6"/>
  <c r="F200" i="6"/>
  <c r="F387" i="6"/>
  <c r="F296" i="6"/>
  <c r="F183" i="6"/>
  <c r="F198" i="6"/>
  <c r="F91" i="6"/>
  <c r="F520" i="6"/>
  <c r="F484" i="6"/>
  <c r="F448" i="6"/>
  <c r="F412" i="6"/>
  <c r="F376" i="6"/>
  <c r="F340" i="6"/>
  <c r="F474" i="6"/>
  <c r="F295" i="6"/>
  <c r="F401" i="6"/>
  <c r="F494" i="6"/>
  <c r="F522" i="6"/>
  <c r="F314" i="6"/>
  <c r="F356" i="6"/>
  <c r="F269" i="6"/>
  <c r="F384" i="6"/>
  <c r="F426" i="6"/>
  <c r="F333" i="6"/>
  <c r="F226" i="6"/>
  <c r="F345" i="6"/>
  <c r="F188" i="6"/>
  <c r="F261" i="6"/>
  <c r="F302" i="6"/>
  <c r="F135" i="6"/>
  <c r="F99" i="6"/>
  <c r="F440" i="6"/>
  <c r="F283" i="6"/>
  <c r="F205" i="6"/>
  <c r="F276" i="6"/>
  <c r="F290" i="6"/>
  <c r="F44" i="6"/>
  <c r="F360" i="6"/>
  <c r="F65" i="6"/>
  <c r="F131" i="6"/>
  <c r="F68" i="6"/>
  <c r="F470" i="6"/>
  <c r="F88" i="6"/>
  <c r="F193" i="6"/>
  <c r="F338" i="6"/>
  <c r="F274" i="6"/>
  <c r="F176" i="6"/>
  <c r="F380" i="6"/>
  <c r="F445" i="6"/>
  <c r="F372" i="6"/>
  <c r="F515" i="6"/>
  <c r="F266" i="6"/>
  <c r="F419" i="6"/>
  <c r="F256" i="6"/>
  <c r="F132" i="6"/>
  <c r="F194" i="6"/>
  <c r="F517" i="6"/>
  <c r="F327" i="6"/>
  <c r="F292" i="6"/>
  <c r="F511" i="6"/>
  <c r="F439" i="6"/>
  <c r="F367" i="6"/>
  <c r="F431" i="6"/>
  <c r="F495" i="6"/>
  <c r="F429" i="6"/>
  <c r="F479" i="6"/>
  <c r="F308" i="6"/>
  <c r="F341" i="6"/>
  <c r="F383" i="6"/>
  <c r="F189" i="6"/>
  <c r="F161" i="6"/>
  <c r="F174" i="6"/>
  <c r="F126" i="6"/>
  <c r="F90" i="6"/>
  <c r="F265" i="6"/>
  <c r="F258" i="6"/>
  <c r="F190" i="6"/>
  <c r="F203" i="6"/>
  <c r="F98" i="6"/>
  <c r="F39" i="6"/>
  <c r="F60" i="6"/>
  <c r="F124" i="6"/>
  <c r="F158" i="6"/>
  <c r="F113" i="6"/>
  <c r="F405" i="6"/>
  <c r="F277" i="6"/>
  <c r="F172" i="6"/>
  <c r="F270" i="6"/>
  <c r="F214" i="6"/>
  <c r="F219" i="6"/>
  <c r="F221" i="6"/>
  <c r="F268" i="6"/>
  <c r="F163" i="6"/>
  <c r="F317" i="6"/>
  <c r="F118" i="6"/>
  <c r="F54" i="6"/>
  <c r="F116" i="6"/>
  <c r="F57" i="6"/>
  <c r="F306" i="6"/>
  <c r="F79" i="6"/>
  <c r="F71" i="6"/>
  <c r="F93" i="6"/>
  <c r="F536" i="6"/>
  <c r="F223" i="6"/>
  <c r="F129" i="6"/>
  <c r="F486" i="6"/>
  <c r="F50" i="6"/>
  <c r="F224" i="6"/>
  <c r="F458" i="6"/>
  <c r="F107" i="6"/>
  <c r="F195" i="6"/>
  <c r="F365" i="6"/>
  <c r="F130" i="6"/>
  <c r="F167" i="6"/>
  <c r="F350" i="6"/>
  <c r="F110" i="6"/>
  <c r="F255" i="6"/>
  <c r="F298" i="6"/>
  <c r="F47" i="6"/>
  <c r="F171" i="6"/>
  <c r="F524" i="6"/>
  <c r="F43" i="6"/>
  <c r="F441" i="6"/>
  <c r="F289" i="6"/>
  <c r="F42" i="6"/>
  <c r="F84" i="6"/>
  <c r="F471" i="6"/>
  <c r="F234" i="6"/>
  <c r="F285" i="6"/>
  <c r="F473" i="6"/>
  <c r="F179" i="6"/>
  <c r="F120" i="6"/>
  <c r="F112" i="6"/>
  <c r="F225" i="6"/>
  <c r="F191" i="6"/>
  <c r="F286" i="6"/>
  <c r="F251" i="6"/>
  <c r="F438" i="6"/>
  <c r="F443" i="6"/>
  <c r="F330" i="6"/>
  <c r="F280" i="6"/>
  <c r="F393" i="6"/>
  <c r="F253" i="6"/>
  <c r="F207" i="6"/>
  <c r="F334" i="6"/>
  <c r="F66" i="6"/>
  <c r="F197" i="6"/>
  <c r="F287" i="6"/>
  <c r="F370" i="6"/>
  <c r="F150" i="6"/>
  <c r="F264" i="6"/>
  <c r="F390" i="6"/>
  <c r="F406" i="6"/>
  <c r="F505" i="6"/>
  <c r="F192" i="6"/>
  <c r="F187" i="6"/>
  <c r="F348" i="6"/>
  <c r="F442" i="6"/>
  <c r="F185" i="6"/>
  <c r="F271" i="6"/>
  <c r="F263" i="6"/>
  <c r="F478" i="6"/>
  <c r="F82" i="6"/>
  <c r="F368" i="6"/>
  <c r="F434" i="6"/>
  <c r="F498" i="6"/>
  <c r="F424" i="6"/>
  <c r="F159" i="6"/>
  <c r="F389" i="6"/>
  <c r="F320" i="6"/>
  <c r="F514" i="6"/>
  <c r="F432" i="6"/>
  <c r="F388" i="6"/>
  <c r="F404" i="6"/>
  <c r="F469" i="6"/>
  <c r="F162" i="6"/>
  <c r="F139" i="6"/>
  <c r="F352" i="6"/>
  <c r="F241" i="6"/>
  <c r="F433" i="6"/>
  <c r="F238" i="6"/>
  <c r="F74" i="6"/>
  <c r="F316" i="6"/>
  <c r="F186" i="6"/>
  <c r="F397" i="6"/>
  <c r="F461" i="6"/>
  <c r="F95" i="6"/>
  <c r="F378" i="6"/>
  <c r="F73" i="6"/>
  <c r="F151" i="6"/>
  <c r="F428" i="6"/>
  <c r="F155" i="6"/>
  <c r="F496" i="6"/>
  <c r="F157" i="6"/>
  <c r="F361" i="6"/>
  <c r="F170" i="6"/>
  <c r="F149" i="6"/>
  <c r="F325" i="6"/>
  <c r="F254" i="6"/>
  <c r="F281" i="6"/>
  <c r="F140" i="6"/>
  <c r="F506" i="6"/>
  <c r="F395" i="6"/>
  <c r="F147" i="6"/>
  <c r="F456" i="6"/>
  <c r="F248" i="6"/>
  <c r="F518" i="6"/>
  <c r="F311" i="6"/>
  <c r="F460" i="6"/>
  <c r="F75" i="6"/>
  <c r="B43" i="5"/>
  <c r="B44" i="5"/>
  <c r="D53" i="5"/>
  <c r="E53" i="5" s="1"/>
  <c r="B45" i="5"/>
  <c r="D52" i="5"/>
  <c r="E52" i="5" s="1"/>
  <c r="D21" i="6"/>
  <c r="D16" i="6"/>
  <c r="G499" i="6" s="1"/>
  <c r="C22" i="6"/>
  <c r="D51" i="5"/>
  <c r="E51" i="5" s="1"/>
  <c r="G427" i="6" l="1"/>
  <c r="G110" i="6"/>
  <c r="G247" i="6"/>
  <c r="H247" i="6" s="1"/>
  <c r="G126" i="6"/>
  <c r="G101" i="6"/>
  <c r="G450" i="6"/>
  <c r="G428" i="6"/>
  <c r="H428" i="6" s="1"/>
  <c r="G155" i="6"/>
  <c r="H155" i="6" s="1"/>
  <c r="G361" i="6"/>
  <c r="H361" i="6" s="1"/>
  <c r="G144" i="6"/>
  <c r="G164" i="6"/>
  <c r="H164" i="6" s="1"/>
  <c r="G429" i="6"/>
  <c r="H429" i="6" s="1"/>
  <c r="G226" i="6"/>
  <c r="H226" i="6" s="1"/>
  <c r="G211" i="6"/>
  <c r="H211" i="6" s="1"/>
  <c r="G61" i="6"/>
  <c r="H61" i="6" s="1"/>
  <c r="G321" i="6"/>
  <c r="H321" i="6" s="1"/>
  <c r="G391" i="6"/>
  <c r="G447" i="6"/>
  <c r="G479" i="6"/>
  <c r="H479" i="6" s="1"/>
  <c r="G407" i="6"/>
  <c r="H407" i="6" s="1"/>
  <c r="G41" i="6"/>
  <c r="H41" i="6" s="1"/>
  <c r="G191" i="6"/>
  <c r="H191" i="6" s="1"/>
  <c r="G408" i="6"/>
  <c r="H408" i="6" s="1"/>
  <c r="G180" i="6"/>
  <c r="H180" i="6" s="1"/>
  <c r="G320" i="6"/>
  <c r="H320" i="6" s="1"/>
  <c r="G520" i="6"/>
  <c r="H520" i="6" s="1"/>
  <c r="G453" i="6"/>
  <c r="H453" i="6" s="1"/>
  <c r="G412" i="6"/>
  <c r="H412" i="6" s="1"/>
  <c r="G94" i="6"/>
  <c r="G342" i="6"/>
  <c r="G489" i="6"/>
  <c r="H489" i="6" s="1"/>
  <c r="G300" i="6"/>
  <c r="H300" i="6" s="1"/>
  <c r="G371" i="6"/>
  <c r="H371" i="6" s="1"/>
  <c r="G301" i="6"/>
  <c r="G231" i="6"/>
  <c r="H231" i="6" s="1"/>
  <c r="G503" i="6"/>
  <c r="H503" i="6" s="1"/>
  <c r="G172" i="6"/>
  <c r="H172" i="6" s="1"/>
  <c r="G396" i="6"/>
  <c r="H396" i="6" s="1"/>
  <c r="G252" i="6"/>
  <c r="H252" i="6" s="1"/>
  <c r="G448" i="6"/>
  <c r="H448" i="6" s="1"/>
  <c r="G440" i="6"/>
  <c r="G478" i="6"/>
  <c r="G363" i="6"/>
  <c r="H363" i="6" s="1"/>
  <c r="G304" i="6"/>
  <c r="H304" i="6" s="1"/>
  <c r="G406" i="6"/>
  <c r="H406" i="6" s="1"/>
  <c r="G76" i="6"/>
  <c r="G195" i="6"/>
  <c r="H195" i="6" s="1"/>
  <c r="G370" i="6"/>
  <c r="H370" i="6" s="1"/>
  <c r="G433" i="6"/>
  <c r="H433" i="6" s="1"/>
  <c r="G181" i="6"/>
  <c r="H181" i="6" s="1"/>
  <c r="G40" i="6"/>
  <c r="H40" i="6" s="1"/>
  <c r="G199" i="6"/>
  <c r="H199" i="6" s="1"/>
  <c r="G378" i="6"/>
  <c r="G264" i="6"/>
  <c r="G283" i="6"/>
  <c r="H283" i="6" s="1"/>
  <c r="G219" i="6"/>
  <c r="H219" i="6" s="1"/>
  <c r="G165" i="6"/>
  <c r="H165" i="6" s="1"/>
  <c r="G517" i="6"/>
  <c r="G336" i="6"/>
  <c r="H336" i="6" s="1"/>
  <c r="G113" i="6"/>
  <c r="H113" i="6" s="1"/>
  <c r="G325" i="6"/>
  <c r="H325" i="6" s="1"/>
  <c r="G254" i="6"/>
  <c r="H254" i="6" s="1"/>
  <c r="G55" i="6"/>
  <c r="H55" i="6" s="1"/>
  <c r="G504" i="6"/>
  <c r="H504" i="6" s="1"/>
  <c r="G173" i="6"/>
  <c r="H173" i="6" s="1"/>
  <c r="G482" i="6"/>
  <c r="H482" i="6" s="1"/>
  <c r="G212" i="6"/>
  <c r="H212" i="6" s="1"/>
  <c r="G89" i="6"/>
  <c r="H89" i="6" s="1"/>
  <c r="G106" i="6"/>
  <c r="H106" i="6" s="1"/>
  <c r="G291" i="6"/>
  <c r="H291" i="6" s="1"/>
  <c r="G356" i="6"/>
  <c r="H356" i="6" s="1"/>
  <c r="G357" i="6"/>
  <c r="H357" i="6" s="1"/>
  <c r="G135" i="6"/>
  <c r="H135" i="6" s="1"/>
  <c r="G395" i="6"/>
  <c r="H395" i="6" s="1"/>
  <c r="G466" i="6"/>
  <c r="H466" i="6" s="1"/>
  <c r="G205" i="6"/>
  <c r="H205" i="6" s="1"/>
  <c r="G513" i="6"/>
  <c r="G477" i="6"/>
  <c r="G441" i="6"/>
  <c r="H441" i="6" s="1"/>
  <c r="G405" i="6"/>
  <c r="H405" i="6" s="1"/>
  <c r="G369" i="6"/>
  <c r="H369" i="6" s="1"/>
  <c r="G333" i="6"/>
  <c r="G297" i="6"/>
  <c r="H297" i="6" s="1"/>
  <c r="G509" i="6"/>
  <c r="H509" i="6" s="1"/>
  <c r="G473" i="6"/>
  <c r="H473" i="6" s="1"/>
  <c r="G437" i="6"/>
  <c r="H437" i="6" s="1"/>
  <c r="G401" i="6"/>
  <c r="H401" i="6" s="1"/>
  <c r="G365" i="6"/>
  <c r="H365" i="6" s="1"/>
  <c r="G329" i="6"/>
  <c r="H329" i="6" s="1"/>
  <c r="G293" i="6"/>
  <c r="H293" i="6" s="1"/>
  <c r="G511" i="6"/>
  <c r="H511" i="6" s="1"/>
  <c r="G475" i="6"/>
  <c r="H475" i="6" s="1"/>
  <c r="G439" i="6"/>
  <c r="H439" i="6" s="1"/>
  <c r="G403" i="6"/>
  <c r="G367" i="6"/>
  <c r="H367" i="6" s="1"/>
  <c r="G331" i="6"/>
  <c r="H331" i="6" s="1"/>
  <c r="G295" i="6"/>
  <c r="H295" i="6" s="1"/>
  <c r="G261" i="6"/>
  <c r="H261" i="6" s="1"/>
  <c r="G225" i="6"/>
  <c r="H225" i="6" s="1"/>
  <c r="G189" i="6"/>
  <c r="H189" i="6" s="1"/>
  <c r="G263" i="6"/>
  <c r="H263" i="6" s="1"/>
  <c r="G280" i="6"/>
  <c r="H280" i="6" s="1"/>
  <c r="G139" i="6"/>
  <c r="H139" i="6" s="1"/>
  <c r="G103" i="6"/>
  <c r="H103" i="6" s="1"/>
  <c r="G67" i="6"/>
  <c r="H67" i="6" s="1"/>
  <c r="G151" i="6"/>
  <c r="H151" i="6" s="1"/>
  <c r="G132" i="6"/>
  <c r="H132" i="6" s="1"/>
  <c r="G96" i="6"/>
  <c r="H96" i="6" s="1"/>
  <c r="G271" i="6"/>
  <c r="H271" i="6" s="1"/>
  <c r="G200" i="6"/>
  <c r="H200" i="6" s="1"/>
  <c r="G162" i="6"/>
  <c r="H162" i="6" s="1"/>
  <c r="G72" i="6"/>
  <c r="H72" i="6" s="1"/>
  <c r="G232" i="6"/>
  <c r="H232" i="6" s="1"/>
  <c r="G153" i="6"/>
  <c r="H153" i="6" s="1"/>
  <c r="G83" i="6"/>
  <c r="H83" i="6" s="1"/>
  <c r="G238" i="6"/>
  <c r="H238" i="6" s="1"/>
  <c r="G190" i="6"/>
  <c r="H190" i="6" s="1"/>
  <c r="G104" i="6"/>
  <c r="G510" i="6"/>
  <c r="H510" i="6" s="1"/>
  <c r="G474" i="6"/>
  <c r="H474" i="6" s="1"/>
  <c r="G438" i="6"/>
  <c r="H438" i="6" s="1"/>
  <c r="G402" i="6"/>
  <c r="H402" i="6" s="1"/>
  <c r="G366" i="6"/>
  <c r="H366" i="6" s="1"/>
  <c r="G330" i="6"/>
  <c r="H330" i="6" s="1"/>
  <c r="G294" i="6"/>
  <c r="G506" i="6"/>
  <c r="G470" i="6"/>
  <c r="H470" i="6" s="1"/>
  <c r="G434" i="6"/>
  <c r="H434" i="6" s="1"/>
  <c r="G398" i="6"/>
  <c r="H398" i="6" s="1"/>
  <c r="G362" i="6"/>
  <c r="H362" i="6" s="1"/>
  <c r="G326" i="6"/>
  <c r="H326" i="6" s="1"/>
  <c r="G290" i="6"/>
  <c r="H290" i="6" s="1"/>
  <c r="G508" i="6"/>
  <c r="H508" i="6" s="1"/>
  <c r="G472" i="6"/>
  <c r="H472" i="6" s="1"/>
  <c r="G436" i="6"/>
  <c r="H436" i="6" s="1"/>
  <c r="G400" i="6"/>
  <c r="H400" i="6" s="1"/>
  <c r="G364" i="6"/>
  <c r="G328" i="6"/>
  <c r="H328" i="6" s="1"/>
  <c r="G292" i="6"/>
  <c r="H292" i="6" s="1"/>
  <c r="G258" i="6"/>
  <c r="H258" i="6" s="1"/>
  <c r="G222" i="6"/>
  <c r="H222" i="6" s="1"/>
  <c r="G186" i="6"/>
  <c r="G260" i="6"/>
  <c r="G274" i="6"/>
  <c r="H274" i="6" s="1"/>
  <c r="G136" i="6"/>
  <c r="H136" i="6" s="1"/>
  <c r="G100" i="6"/>
  <c r="H100" i="6" s="1"/>
  <c r="G64" i="6"/>
  <c r="H64" i="6" s="1"/>
  <c r="G224" i="6"/>
  <c r="H224" i="6" s="1"/>
  <c r="G129" i="6"/>
  <c r="H129" i="6" s="1"/>
  <c r="G93" i="6"/>
  <c r="H93" i="6" s="1"/>
  <c r="G265" i="6"/>
  <c r="H265" i="6" s="1"/>
  <c r="G193" i="6"/>
  <c r="H193" i="6" s="1"/>
  <c r="G65" i="6"/>
  <c r="H65" i="6" s="1"/>
  <c r="G217" i="6"/>
  <c r="G194" i="6"/>
  <c r="H194" i="6" s="1"/>
  <c r="G140" i="6"/>
  <c r="H140" i="6" s="1"/>
  <c r="G152" i="6"/>
  <c r="H152" i="6" s="1"/>
  <c r="G229" i="6"/>
  <c r="H229" i="6" s="1"/>
  <c r="G143" i="6"/>
  <c r="H143" i="6" s="1"/>
  <c r="G256" i="6"/>
  <c r="H256" i="6" s="1"/>
  <c r="G90" i="6"/>
  <c r="G259" i="6"/>
  <c r="H259" i="6" s="1"/>
  <c r="G182" i="6"/>
  <c r="H182" i="6" s="1"/>
  <c r="G54" i="6"/>
  <c r="H54" i="6" s="1"/>
  <c r="G188" i="6"/>
  <c r="H188" i="6" s="1"/>
  <c r="G187" i="6"/>
  <c r="G75" i="6"/>
  <c r="H75" i="6" s="1"/>
  <c r="G134" i="6"/>
  <c r="H134" i="6" s="1"/>
  <c r="G206" i="6"/>
  <c r="H206" i="6" s="1"/>
  <c r="G122" i="6"/>
  <c r="H122" i="6" s="1"/>
  <c r="G95" i="6"/>
  <c r="H95" i="6" s="1"/>
  <c r="G159" i="6"/>
  <c r="H159" i="6" s="1"/>
  <c r="G161" i="6"/>
  <c r="G160" i="6"/>
  <c r="H160" i="6" s="1"/>
  <c r="G60" i="6"/>
  <c r="H60" i="6" s="1"/>
  <c r="G56" i="6"/>
  <c r="H56" i="6" s="1"/>
  <c r="G171" i="6"/>
  <c r="H171" i="6" s="1"/>
  <c r="G69" i="6"/>
  <c r="G318" i="6"/>
  <c r="H318" i="6" s="1"/>
  <c r="G530" i="6"/>
  <c r="H530" i="6" s="1"/>
  <c r="G494" i="6"/>
  <c r="H494" i="6" s="1"/>
  <c r="G458" i="6"/>
  <c r="H458" i="6" s="1"/>
  <c r="G422" i="6"/>
  <c r="H422" i="6" s="1"/>
  <c r="G386" i="6"/>
  <c r="H386" i="6" s="1"/>
  <c r="G350" i="6"/>
  <c r="H350" i="6" s="1"/>
  <c r="G314" i="6"/>
  <c r="H314" i="6" s="1"/>
  <c r="G532" i="6"/>
  <c r="H532" i="6" s="1"/>
  <c r="G496" i="6"/>
  <c r="H496" i="6" s="1"/>
  <c r="G460" i="6"/>
  <c r="H460" i="6" s="1"/>
  <c r="G424" i="6"/>
  <c r="G388" i="6"/>
  <c r="H388" i="6" s="1"/>
  <c r="G352" i="6"/>
  <c r="H352" i="6" s="1"/>
  <c r="G316" i="6"/>
  <c r="H316" i="6" s="1"/>
  <c r="G282" i="6"/>
  <c r="H282" i="6" s="1"/>
  <c r="G246" i="6"/>
  <c r="H246" i="6" s="1"/>
  <c r="G210" i="6"/>
  <c r="H210" i="6" s="1"/>
  <c r="G284" i="6"/>
  <c r="H284" i="6" s="1"/>
  <c r="G248" i="6"/>
  <c r="H248" i="6" s="1"/>
  <c r="G203" i="6"/>
  <c r="H203" i="6" s="1"/>
  <c r="G124" i="6"/>
  <c r="H124" i="6" s="1"/>
  <c r="G88" i="6"/>
  <c r="H88" i="6" s="1"/>
  <c r="G52" i="6"/>
  <c r="G184" i="6"/>
  <c r="H184" i="6" s="1"/>
  <c r="G117" i="6"/>
  <c r="H117" i="6" s="1"/>
  <c r="G81" i="6"/>
  <c r="H81" i="6" s="1"/>
  <c r="G163" i="6"/>
  <c r="H163" i="6" s="1"/>
  <c r="G149" i="6"/>
  <c r="H149" i="6" s="1"/>
  <c r="G168" i="6"/>
  <c r="H168" i="6" s="1"/>
  <c r="G148" i="6"/>
  <c r="G147" i="6"/>
  <c r="H147" i="6" s="1"/>
  <c r="G53" i="6"/>
  <c r="H53" i="6" s="1"/>
  <c r="G45" i="6"/>
  <c r="H45" i="6" s="1"/>
  <c r="G128" i="6"/>
  <c r="H128" i="6" s="1"/>
  <c r="G62" i="6"/>
  <c r="H62" i="6" s="1"/>
  <c r="G531" i="6"/>
  <c r="H531" i="6" s="1"/>
  <c r="G495" i="6"/>
  <c r="H495" i="6" s="1"/>
  <c r="G459" i="6"/>
  <c r="H459" i="6" s="1"/>
  <c r="G423" i="6"/>
  <c r="H423" i="6" s="1"/>
  <c r="G387" i="6"/>
  <c r="H387" i="6" s="1"/>
  <c r="G351" i="6"/>
  <c r="H351" i="6" s="1"/>
  <c r="G315" i="6"/>
  <c r="H315" i="6" s="1"/>
  <c r="G527" i="6"/>
  <c r="H527" i="6" s="1"/>
  <c r="G491" i="6"/>
  <c r="H491" i="6" s="1"/>
  <c r="G455" i="6"/>
  <c r="H455" i="6" s="1"/>
  <c r="G419" i="6"/>
  <c r="H419" i="6" s="1"/>
  <c r="G383" i="6"/>
  <c r="H383" i="6" s="1"/>
  <c r="G347" i="6"/>
  <c r="H347" i="6" s="1"/>
  <c r="G311" i="6"/>
  <c r="H311" i="6" s="1"/>
  <c r="G529" i="6"/>
  <c r="H529" i="6" s="1"/>
  <c r="G493" i="6"/>
  <c r="H493" i="6" s="1"/>
  <c r="G457" i="6"/>
  <c r="H457" i="6" s="1"/>
  <c r="G421" i="6"/>
  <c r="H421" i="6" s="1"/>
  <c r="G385" i="6"/>
  <c r="G349" i="6"/>
  <c r="H349" i="6" s="1"/>
  <c r="G313" i="6"/>
  <c r="H313" i="6" s="1"/>
  <c r="G279" i="6"/>
  <c r="H279" i="6" s="1"/>
  <c r="G243" i="6"/>
  <c r="H243" i="6" s="1"/>
  <c r="G207" i="6"/>
  <c r="H207" i="6" s="1"/>
  <c r="G281" i="6"/>
  <c r="H281" i="6" s="1"/>
  <c r="G245" i="6"/>
  <c r="H245" i="6" s="1"/>
  <c r="G196" i="6"/>
  <c r="H196" i="6" s="1"/>
  <c r="G121" i="6"/>
  <c r="H121" i="6" s="1"/>
  <c r="G85" i="6"/>
  <c r="H85" i="6" s="1"/>
  <c r="G49" i="6"/>
  <c r="H49" i="6" s="1"/>
  <c r="G177" i="6"/>
  <c r="H177" i="6" s="1"/>
  <c r="G114" i="6"/>
  <c r="H114" i="6" s="1"/>
  <c r="G220" i="6"/>
  <c r="H220" i="6" s="1"/>
  <c r="G150" i="6"/>
  <c r="H150" i="6" s="1"/>
  <c r="G169" i="6"/>
  <c r="H169" i="6" s="1"/>
  <c r="G131" i="6"/>
  <c r="H131" i="6" s="1"/>
  <c r="G68" i="6"/>
  <c r="H68" i="6" s="1"/>
  <c r="G125" i="6"/>
  <c r="H125" i="6" s="1"/>
  <c r="G42" i="6"/>
  <c r="H42" i="6" s="1"/>
  <c r="G221" i="6"/>
  <c r="H221" i="6" s="1"/>
  <c r="G66" i="6"/>
  <c r="H66" i="6" s="1"/>
  <c r="G51" i="6"/>
  <c r="H51" i="6" s="1"/>
  <c r="G528" i="6"/>
  <c r="H528" i="6" s="1"/>
  <c r="G492" i="6"/>
  <c r="H492" i="6" s="1"/>
  <c r="G456" i="6"/>
  <c r="H456" i="6" s="1"/>
  <c r="G420" i="6"/>
  <c r="H420" i="6" s="1"/>
  <c r="G384" i="6"/>
  <c r="H384" i="6" s="1"/>
  <c r="G348" i="6"/>
  <c r="H348" i="6" s="1"/>
  <c r="G312" i="6"/>
  <c r="H312" i="6" s="1"/>
  <c r="G524" i="6"/>
  <c r="H524" i="6" s="1"/>
  <c r="G488" i="6"/>
  <c r="H488" i="6" s="1"/>
  <c r="G452" i="6"/>
  <c r="H452" i="6" s="1"/>
  <c r="G416" i="6"/>
  <c r="H416" i="6" s="1"/>
  <c r="G380" i="6"/>
  <c r="H380" i="6" s="1"/>
  <c r="G344" i="6"/>
  <c r="H344" i="6" s="1"/>
  <c r="G308" i="6"/>
  <c r="H308" i="6" s="1"/>
  <c r="G526" i="6"/>
  <c r="H526" i="6" s="1"/>
  <c r="G490" i="6"/>
  <c r="H490" i="6" s="1"/>
  <c r="G454" i="6"/>
  <c r="H454" i="6" s="1"/>
  <c r="G418" i="6"/>
  <c r="H418" i="6" s="1"/>
  <c r="G382" i="6"/>
  <c r="H382" i="6" s="1"/>
  <c r="G346" i="6"/>
  <c r="H346" i="6" s="1"/>
  <c r="G310" i="6"/>
  <c r="H310" i="6" s="1"/>
  <c r="G276" i="6"/>
  <c r="H276" i="6" s="1"/>
  <c r="G240" i="6"/>
  <c r="H240" i="6" s="1"/>
  <c r="G204" i="6"/>
  <c r="H204" i="6" s="1"/>
  <c r="G278" i="6"/>
  <c r="H278" i="6" s="1"/>
  <c r="G242" i="6"/>
  <c r="H242" i="6" s="1"/>
  <c r="G185" i="6"/>
  <c r="H185" i="6" s="1"/>
  <c r="G118" i="6"/>
  <c r="H118" i="6" s="1"/>
  <c r="G82" i="6"/>
  <c r="H82" i="6" s="1"/>
  <c r="G46" i="6"/>
  <c r="G167" i="6"/>
  <c r="H167" i="6" s="1"/>
  <c r="G111" i="6"/>
  <c r="H111" i="6" s="1"/>
  <c r="G170" i="6"/>
  <c r="H170" i="6" s="1"/>
  <c r="G253" i="6"/>
  <c r="H253" i="6" s="1"/>
  <c r="G156" i="6"/>
  <c r="H156" i="6" s="1"/>
  <c r="G116" i="6"/>
  <c r="H116" i="6" s="1"/>
  <c r="G57" i="6"/>
  <c r="H57" i="6" s="1"/>
  <c r="G223" i="6"/>
  <c r="G146" i="6"/>
  <c r="H146" i="6" s="1"/>
  <c r="G158" i="6"/>
  <c r="H158" i="6" s="1"/>
  <c r="G59" i="6"/>
  <c r="H59" i="6" s="1"/>
  <c r="G44" i="6"/>
  <c r="H44" i="6" s="1"/>
  <c r="G377" i="6"/>
  <c r="H377" i="6" s="1"/>
  <c r="G341" i="6"/>
  <c r="H341" i="6" s="1"/>
  <c r="G305" i="6"/>
  <c r="H305" i="6" s="1"/>
  <c r="G523" i="6"/>
  <c r="H523" i="6" s="1"/>
  <c r="G487" i="6"/>
  <c r="H487" i="6" s="1"/>
  <c r="G451" i="6"/>
  <c r="H451" i="6" s="1"/>
  <c r="G415" i="6"/>
  <c r="G379" i="6"/>
  <c r="H379" i="6" s="1"/>
  <c r="G343" i="6"/>
  <c r="H343" i="6" s="1"/>
  <c r="G307" i="6"/>
  <c r="H307" i="6" s="1"/>
  <c r="G273" i="6"/>
  <c r="H273" i="6" s="1"/>
  <c r="G237" i="6"/>
  <c r="H237" i="6" s="1"/>
  <c r="G201" i="6"/>
  <c r="H201" i="6" s="1"/>
  <c r="G275" i="6"/>
  <c r="H275" i="6" s="1"/>
  <c r="G239" i="6"/>
  <c r="H239" i="6" s="1"/>
  <c r="G178" i="6"/>
  <c r="H178" i="6" s="1"/>
  <c r="G115" i="6"/>
  <c r="H115" i="6" s="1"/>
  <c r="G79" i="6"/>
  <c r="H79" i="6" s="1"/>
  <c r="G43" i="6"/>
  <c r="H43" i="6" s="1"/>
  <c r="G154" i="6"/>
  <c r="H154" i="6" s="1"/>
  <c r="G108" i="6"/>
  <c r="H108" i="6" s="1"/>
  <c r="G157" i="6"/>
  <c r="H157" i="6" s="1"/>
  <c r="G244" i="6"/>
  <c r="H244" i="6" s="1"/>
  <c r="G137" i="6"/>
  <c r="H137" i="6" s="1"/>
  <c r="G107" i="6"/>
  <c r="H107" i="6" s="1"/>
  <c r="G50" i="6"/>
  <c r="H50" i="6" s="1"/>
  <c r="G215" i="6"/>
  <c r="H215" i="6" s="1"/>
  <c r="G119" i="6"/>
  <c r="H119" i="6" s="1"/>
  <c r="G145" i="6"/>
  <c r="H145" i="6" s="1"/>
  <c r="G48" i="6"/>
  <c r="H48" i="6" s="1"/>
  <c r="D22" i="6"/>
  <c r="G368" i="6"/>
  <c r="H368" i="6" s="1"/>
  <c r="G192" i="6"/>
  <c r="H192" i="6" s="1"/>
  <c r="G80" i="6"/>
  <c r="H80" i="6" s="1"/>
  <c r="G507" i="6"/>
  <c r="H507" i="6" s="1"/>
  <c r="G323" i="6"/>
  <c r="H323" i="6" s="1"/>
  <c r="G257" i="6"/>
  <c r="H257" i="6" s="1"/>
  <c r="G324" i="6"/>
  <c r="H324" i="6" s="1"/>
  <c r="G394" i="6"/>
  <c r="H394" i="6" s="1"/>
  <c r="G202" i="6"/>
  <c r="H202" i="6" s="1"/>
  <c r="G86" i="6"/>
  <c r="H86" i="6" s="1"/>
  <c r="G389" i="6"/>
  <c r="H389" i="6" s="1"/>
  <c r="G213" i="6"/>
  <c r="G498" i="6"/>
  <c r="H498" i="6" s="1"/>
  <c r="G521" i="6"/>
  <c r="H521" i="6" s="1"/>
  <c r="H301" i="6"/>
  <c r="H403" i="6"/>
  <c r="G410" i="6"/>
  <c r="H410" i="6" s="1"/>
  <c r="G234" i="6"/>
  <c r="H234" i="6" s="1"/>
  <c r="G445" i="6"/>
  <c r="H445" i="6" s="1"/>
  <c r="G198" i="6"/>
  <c r="H198" i="6" s="1"/>
  <c r="G174" i="6"/>
  <c r="H174" i="6" s="1"/>
  <c r="G241" i="6"/>
  <c r="H241" i="6" s="1"/>
  <c r="G471" i="6"/>
  <c r="H471" i="6" s="1"/>
  <c r="G536" i="6"/>
  <c r="G358" i="6"/>
  <c r="H358" i="6" s="1"/>
  <c r="G123" i="6"/>
  <c r="H123" i="6" s="1"/>
  <c r="G537" i="6"/>
  <c r="H537" i="6" s="1"/>
  <c r="G353" i="6"/>
  <c r="H353" i="6" s="1"/>
  <c r="G288" i="6"/>
  <c r="H288" i="6" s="1"/>
  <c r="G462" i="6"/>
  <c r="H462" i="6" s="1"/>
  <c r="G485" i="6"/>
  <c r="H485" i="6" s="1"/>
  <c r="H90" i="6"/>
  <c r="H94" i="6"/>
  <c r="G375" i="6"/>
  <c r="H375" i="6" s="1"/>
  <c r="G73" i="6"/>
  <c r="H73" i="6" s="1"/>
  <c r="G374" i="6"/>
  <c r="H374" i="6" s="1"/>
  <c r="G339" i="6"/>
  <c r="H339" i="6" s="1"/>
  <c r="G409" i="6"/>
  <c r="H409" i="6" s="1"/>
  <c r="G332" i="6"/>
  <c r="H332" i="6" s="1"/>
  <c r="G268" i="6"/>
  <c r="G338" i="6"/>
  <c r="H338" i="6" s="1"/>
  <c r="G39" i="6"/>
  <c r="H39" i="6" s="1"/>
  <c r="G373" i="6"/>
  <c r="H373" i="6" s="1"/>
  <c r="G480" i="6"/>
  <c r="H480" i="6" s="1"/>
  <c r="G230" i="6"/>
  <c r="H230" i="6" s="1"/>
  <c r="G435" i="6"/>
  <c r="H435" i="6" s="1"/>
  <c r="G133" i="6"/>
  <c r="H133" i="6" s="1"/>
  <c r="G322" i="6"/>
  <c r="H322" i="6" s="1"/>
  <c r="G501" i="6"/>
  <c r="H501" i="6" s="1"/>
  <c r="G317" i="6"/>
  <c r="H317" i="6" s="1"/>
  <c r="G426" i="6"/>
  <c r="H426" i="6" s="1"/>
  <c r="G449" i="6"/>
  <c r="H449" i="6" s="1"/>
  <c r="H126" i="6"/>
  <c r="H148" i="6"/>
  <c r="E54" i="5"/>
  <c r="G51" i="5"/>
  <c r="F51" i="5"/>
  <c r="F54" i="5" s="1"/>
  <c r="G98" i="6"/>
  <c r="H98" i="6" s="1"/>
  <c r="G266" i="6"/>
  <c r="H266" i="6" s="1"/>
  <c r="G287" i="6"/>
  <c r="H287" i="6" s="1"/>
  <c r="G522" i="6"/>
  <c r="H522" i="6" s="1"/>
  <c r="G272" i="6"/>
  <c r="H272" i="6" s="1"/>
  <c r="G303" i="6"/>
  <c r="H303" i="6" s="1"/>
  <c r="G138" i="6"/>
  <c r="H138" i="6" s="1"/>
  <c r="G296" i="6"/>
  <c r="H296" i="6" s="1"/>
  <c r="G166" i="6"/>
  <c r="H166" i="6" s="1"/>
  <c r="G505" i="6"/>
  <c r="H505" i="6" s="1"/>
  <c r="G500" i="6"/>
  <c r="H500" i="6" s="1"/>
  <c r="G87" i="6"/>
  <c r="H87" i="6" s="1"/>
  <c r="G251" i="6"/>
  <c r="H251" i="6" s="1"/>
  <c r="G486" i="6"/>
  <c r="H486" i="6" s="1"/>
  <c r="G302" i="6"/>
  <c r="H302" i="6" s="1"/>
  <c r="G236" i="6"/>
  <c r="H236" i="6" s="1"/>
  <c r="G208" i="6"/>
  <c r="H208" i="6" s="1"/>
  <c r="G515" i="6"/>
  <c r="H515" i="6" s="1"/>
  <c r="G337" i="6"/>
  <c r="H337" i="6" s="1"/>
  <c r="G102" i="6"/>
  <c r="H102" i="6" s="1"/>
  <c r="G444" i="6"/>
  <c r="H444" i="6" s="1"/>
  <c r="G514" i="6"/>
  <c r="H514" i="6" s="1"/>
  <c r="G142" i="6"/>
  <c r="H142" i="6" s="1"/>
  <c r="G92" i="6"/>
  <c r="H92" i="6" s="1"/>
  <c r="G399" i="6"/>
  <c r="H399" i="6" s="1"/>
  <c r="G469" i="6"/>
  <c r="H469" i="6" s="1"/>
  <c r="G97" i="6"/>
  <c r="H97" i="6" s="1"/>
  <c r="G464" i="6"/>
  <c r="H464" i="6" s="1"/>
  <c r="G286" i="6"/>
  <c r="H286" i="6" s="1"/>
  <c r="G227" i="6"/>
  <c r="H227" i="6" s="1"/>
  <c r="G465" i="6"/>
  <c r="H465" i="6" s="1"/>
  <c r="G535" i="6"/>
  <c r="H535" i="6" s="1"/>
  <c r="G214" i="6"/>
  <c r="H214" i="6" s="1"/>
  <c r="G390" i="6"/>
  <c r="H390" i="6" s="1"/>
  <c r="G413" i="6"/>
  <c r="H413" i="6" s="1"/>
  <c r="H506" i="6"/>
  <c r="H187" i="6"/>
  <c r="H333" i="6"/>
  <c r="H46" i="6"/>
  <c r="H385" i="6"/>
  <c r="H477" i="6"/>
  <c r="H294" i="6"/>
  <c r="H101" i="6"/>
  <c r="G127" i="6"/>
  <c r="H127" i="6" s="1"/>
  <c r="G354" i="6"/>
  <c r="H354" i="6" s="1"/>
  <c r="H424" i="6"/>
  <c r="H161" i="6"/>
  <c r="H447" i="6"/>
  <c r="G414" i="6"/>
  <c r="H414" i="6" s="1"/>
  <c r="G484" i="6"/>
  <c r="H484" i="6" s="1"/>
  <c r="G112" i="6"/>
  <c r="H112" i="6" s="1"/>
  <c r="G78" i="6"/>
  <c r="H78" i="6" s="1"/>
  <c r="G443" i="6"/>
  <c r="H443" i="6" s="1"/>
  <c r="G267" i="6"/>
  <c r="H267" i="6" s="1"/>
  <c r="G218" i="6"/>
  <c r="H218" i="6" s="1"/>
  <c r="G372" i="6"/>
  <c r="H372" i="6" s="1"/>
  <c r="G442" i="6"/>
  <c r="H442" i="6" s="1"/>
  <c r="G70" i="6"/>
  <c r="H70" i="6" s="1"/>
  <c r="G197" i="6"/>
  <c r="H197" i="6" s="1"/>
  <c r="G327" i="6"/>
  <c r="H327" i="6" s="1"/>
  <c r="G397" i="6"/>
  <c r="H397" i="6" s="1"/>
  <c r="G209" i="6"/>
  <c r="H209" i="6" s="1"/>
  <c r="G392" i="6"/>
  <c r="H392" i="6" s="1"/>
  <c r="G216" i="6"/>
  <c r="H216" i="6" s="1"/>
  <c r="G47" i="6"/>
  <c r="H47" i="6" s="1"/>
  <c r="G393" i="6"/>
  <c r="H393" i="6" s="1"/>
  <c r="G463" i="6"/>
  <c r="H463" i="6" s="1"/>
  <c r="G91" i="6"/>
  <c r="H91" i="6" s="1"/>
  <c r="G525" i="6"/>
  <c r="H525" i="6" s="1"/>
  <c r="H364" i="6"/>
  <c r="H517" i="6"/>
  <c r="H217" i="6"/>
  <c r="H213" i="6"/>
  <c r="H76" i="6"/>
  <c r="H378" i="6"/>
  <c r="H110" i="6"/>
  <c r="H223" i="6"/>
  <c r="H268" i="6"/>
  <c r="H440" i="6"/>
  <c r="H104" i="6"/>
  <c r="H513" i="6"/>
  <c r="G52" i="5"/>
  <c r="F52" i="5"/>
  <c r="G306" i="6"/>
  <c r="H306" i="6" s="1"/>
  <c r="G376" i="6"/>
  <c r="H376" i="6" s="1"/>
  <c r="G141" i="6"/>
  <c r="H141" i="6" s="1"/>
  <c r="G519" i="6"/>
  <c r="H519" i="6" s="1"/>
  <c r="G335" i="6"/>
  <c r="H335" i="6" s="1"/>
  <c r="G269" i="6"/>
  <c r="H269" i="6" s="1"/>
  <c r="G250" i="6"/>
  <c r="H250" i="6" s="1"/>
  <c r="G512" i="6"/>
  <c r="H512" i="6" s="1"/>
  <c r="G334" i="6"/>
  <c r="H334" i="6" s="1"/>
  <c r="G99" i="6"/>
  <c r="H99" i="6" s="1"/>
  <c r="G467" i="6"/>
  <c r="H467" i="6" s="1"/>
  <c r="G468" i="6"/>
  <c r="H468" i="6" s="1"/>
  <c r="G262" i="6"/>
  <c r="H262" i="6" s="1"/>
  <c r="G533" i="6"/>
  <c r="H533" i="6" s="1"/>
  <c r="G355" i="6"/>
  <c r="H355" i="6" s="1"/>
  <c r="G417" i="6"/>
  <c r="H417" i="6" s="1"/>
  <c r="G516" i="6"/>
  <c r="H516" i="6" s="1"/>
  <c r="H391" i="6"/>
  <c r="H260" i="6"/>
  <c r="B47" i="5"/>
  <c r="G289" i="6"/>
  <c r="H289" i="6" s="1"/>
  <c r="G538" i="6"/>
  <c r="H538" i="6" s="1"/>
  <c r="G71" i="6"/>
  <c r="H71" i="6" s="1"/>
  <c r="G120" i="6"/>
  <c r="H120" i="6" s="1"/>
  <c r="H264" i="6"/>
  <c r="H536" i="6"/>
  <c r="G518" i="6"/>
  <c r="H518" i="6" s="1"/>
  <c r="G340" i="6"/>
  <c r="H340" i="6" s="1"/>
  <c r="G105" i="6"/>
  <c r="H105" i="6" s="1"/>
  <c r="G483" i="6"/>
  <c r="H483" i="6" s="1"/>
  <c r="G299" i="6"/>
  <c r="H299" i="6" s="1"/>
  <c r="G233" i="6"/>
  <c r="H233" i="6" s="1"/>
  <c r="G179" i="6"/>
  <c r="H179" i="6" s="1"/>
  <c r="G476" i="6"/>
  <c r="H476" i="6" s="1"/>
  <c r="G298" i="6"/>
  <c r="H298" i="6" s="1"/>
  <c r="G277" i="6"/>
  <c r="H277" i="6" s="1"/>
  <c r="G53" i="5"/>
  <c r="F53" i="5"/>
  <c r="G431" i="6"/>
  <c r="H431" i="6" s="1"/>
  <c r="G255" i="6"/>
  <c r="H255" i="6" s="1"/>
  <c r="G432" i="6"/>
  <c r="H432" i="6" s="1"/>
  <c r="G502" i="6"/>
  <c r="H502" i="6" s="1"/>
  <c r="G130" i="6"/>
  <c r="H130" i="6" s="1"/>
  <c r="G63" i="6"/>
  <c r="H63" i="6" s="1"/>
  <c r="G497" i="6"/>
  <c r="H497" i="6" s="1"/>
  <c r="G319" i="6"/>
  <c r="H319" i="6" s="1"/>
  <c r="G84" i="6"/>
  <c r="H84" i="6" s="1"/>
  <c r="G381" i="6"/>
  <c r="H381" i="6" s="1"/>
  <c r="H478" i="6"/>
  <c r="H342" i="6"/>
  <c r="H52" i="6"/>
  <c r="H427" i="6"/>
  <c r="E55" i="5"/>
  <c r="B46" i="5"/>
  <c r="G461" i="6"/>
  <c r="H461" i="6" s="1"/>
  <c r="G285" i="6"/>
  <c r="H285" i="6" s="1"/>
  <c r="G176" i="6"/>
  <c r="H176" i="6" s="1"/>
  <c r="G345" i="6"/>
  <c r="H345" i="6" s="1"/>
  <c r="H415" i="6"/>
  <c r="H144" i="6"/>
  <c r="G446" i="6"/>
  <c r="H446" i="6" s="1"/>
  <c r="G270" i="6"/>
  <c r="H270" i="6" s="1"/>
  <c r="G235" i="6"/>
  <c r="H235" i="6" s="1"/>
  <c r="G411" i="6"/>
  <c r="H411" i="6" s="1"/>
  <c r="G481" i="6"/>
  <c r="H481" i="6" s="1"/>
  <c r="G109" i="6"/>
  <c r="H109" i="6" s="1"/>
  <c r="G74" i="6"/>
  <c r="H74" i="6" s="1"/>
  <c r="G404" i="6"/>
  <c r="H404" i="6" s="1"/>
  <c r="G228" i="6"/>
  <c r="H228" i="6" s="1"/>
  <c r="G175" i="6"/>
  <c r="H175" i="6" s="1"/>
  <c r="G359" i="6"/>
  <c r="H359" i="6" s="1"/>
  <c r="G183" i="6"/>
  <c r="H183" i="6" s="1"/>
  <c r="G360" i="6"/>
  <c r="H360" i="6" s="1"/>
  <c r="G430" i="6"/>
  <c r="H430" i="6" s="1"/>
  <c r="G58" i="6"/>
  <c r="H58" i="6" s="1"/>
  <c r="G77" i="6"/>
  <c r="H77" i="6" s="1"/>
  <c r="G425" i="6"/>
  <c r="H425" i="6" s="1"/>
  <c r="G249" i="6"/>
  <c r="H249" i="6" s="1"/>
  <c r="G534" i="6"/>
  <c r="H534" i="6" s="1"/>
  <c r="G309" i="6"/>
  <c r="H309" i="6" s="1"/>
  <c r="H186" i="6"/>
  <c r="H69" i="6"/>
  <c r="H499" i="6"/>
  <c r="H450" i="6"/>
  <c r="B544" i="6" l="1"/>
  <c r="B543" i="6"/>
  <c r="E56" i="5"/>
  <c r="B547" i="6" l="1"/>
  <c r="B545" i="6"/>
  <c r="B546" i="6"/>
</calcChain>
</file>

<file path=xl/sharedStrings.xml><?xml version="1.0" encoding="utf-8"?>
<sst xmlns="http://schemas.openxmlformats.org/spreadsheetml/2006/main" count="1357" uniqueCount="504">
  <si>
    <t>VaR 逐步計算驗證 — 基本設定（v3）</t>
  </si>
  <si>
    <t>▌ 資產與部位定義</t>
  </si>
  <si>
    <t>資產名稱</t>
  </si>
  <si>
    <t>市場</t>
  </si>
  <si>
    <t>幣別</t>
  </si>
  <si>
    <t>持有數量</t>
  </si>
  <si>
    <t>最新本地價格</t>
  </si>
  <si>
    <t>即期匯率(→TWD)</t>
  </si>
  <si>
    <t>TWD 市值（G列）</t>
  </si>
  <si>
    <t>占組合比重</t>
  </si>
  <si>
    <t>台積電(2330.TW)</t>
  </si>
  <si>
    <t>台灣 🇹🇼</t>
  </si>
  <si>
    <t>TWD</t>
  </si>
  <si>
    <t>AAPL</t>
  </si>
  <si>
    <t>美國 🇺🇸</t>
  </si>
  <si>
    <t>USD</t>
  </si>
  <si>
    <t>三星(005930.KS)</t>
  </si>
  <si>
    <t>韓國 🇰🇷</t>
  </si>
  <si>
    <t>KRW</t>
  </si>
  <si>
    <t>組合總市值(TWD)</t>
  </si>
  <si>
    <t>★ G5:G7（TWD 市值）會被 Sheet 3 P&amp;L、Sheet 5 Parametric、Sheet 6 MC 公式直接引用，請勿移動此欄位置。G8 為組合總市值。</t>
  </si>
  <si>
    <t>▌ VaR 計算參數</t>
  </si>
  <si>
    <t>信賴水準 α</t>
  </si>
  <si>
    <t>99%</t>
  </si>
  <si>
    <t>持有天數 h</t>
  </si>
  <si>
    <t>1 日</t>
  </si>
  <si>
    <t>歷史回溯天數 T</t>
  </si>
  <si>
    <t>250 個交易日</t>
  </si>
  <si>
    <t>回報方式</t>
  </si>
  <si>
    <t>對數回報 ln(P_t / P_{t-1})</t>
  </si>
  <si>
    <t>FX 調整</t>
  </si>
  <si>
    <t>外幣資產：r_adj = r_local + r_FX（對數精確分解）</t>
  </si>
  <si>
    <t>z_α</t>
  </si>
  <si>
    <t>VaR 分位索引（HS）</t>
  </si>
  <si>
    <t>idx = floor((1-α)×T) = floor(0.01×250) = 2</t>
  </si>
  <si>
    <t>HS VaR 公式</t>
  </si>
  <si>
    <t>-P&amp;L_sorted[2]  （第 3 小損益）</t>
  </si>
  <si>
    <t>HS CVaR 公式</t>
  </si>
  <si>
    <t>-mean(P&amp;L_sorted[0:2])  （最差 2 筆均值）</t>
  </si>
  <si>
    <t>MC 展示路徑數</t>
  </si>
  <si>
    <t>500（seed=42，VaR=第6小損益）</t>
  </si>
  <si>
    <t>▌ 即期匯率（計算時使用）</t>
  </si>
  <si>
    <t>匯率（1 外幣 = ? TWD）</t>
  </si>
  <si>
    <t>說明</t>
  </si>
  <si>
    <t>基礎幣別（不動）</t>
  </si>
  <si>
    <t>美元/台幣</t>
  </si>
  <si>
    <t>韓元/台幣</t>
  </si>
  <si>
    <t>原始收盤價 &amp; FX 匯率歷史（本地幣別，純數值）</t>
  </si>
  <si>
    <t>日期</t>
  </si>
  <si>
    <t>台積電(TWD)</t>
  </si>
  <si>
    <t>AAPL(USD)</t>
  </si>
  <si>
    <t>三星(KRW)</t>
  </si>
  <si>
    <t>USD/TWD</t>
  </si>
  <si>
    <t>KRW/TWD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</si>
  <si>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</si>
  <si>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</si>
  <si>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</si>
  <si>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</si>
  <si>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</si>
  <si>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</si>
  <si>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</si>
  <si>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</si>
  <si>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</si>
  <si>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</si>
  <si>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</si>
  <si>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</si>
  <si>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</si>
  <si>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</si>
  <si>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</si>
  <si>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</si>
  <si>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</si>
  <si>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</si>
  <si>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</si>
  <si>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</si>
  <si>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</si>
  <si>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</si>
  <si>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</si>
  <si>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</si>
  <si>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</si>
  <si>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</si>
  <si>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</si>
  <si>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</si>
  <si>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</si>
  <si>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</si>
  <si>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</si>
  <si>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</si>
  <si>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</si>
  <si>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</si>
  <si>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</si>
  <si>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</si>
  <si>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</si>
  <si>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</si>
  <si>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</si>
  <si>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</si>
  <si>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</si>
  <si>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</si>
  <si>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</si>
  <si>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</si>
  <si>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</si>
  <si>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</si>
  <si>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</si>
  <si>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</si>
  <si>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</si>
  <si>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</si>
  <si>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</si>
  <si>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</si>
  <si>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</si>
  <si>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</si>
  <si>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</si>
  <si>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</si>
  <si>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</si>
  <si>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</si>
  <si>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</si>
  <si>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</si>
  <si>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</si>
  <si>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</si>
  <si>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</si>
  <si>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</si>
  <si>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</si>
  <si>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</si>
  <si>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</si>
  <si>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</si>
  <si>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</si>
  <si>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</si>
  <si>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</si>
  <si>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</si>
  <si>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</si>
  <si>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</si>
  <si>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</si>
  <si>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</si>
  <si>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</si>
  <si>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</si>
  <si>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</si>
  <si>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</si>
  <si>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</si>
  <si>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</si>
  <si>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</si>
  <si>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</si>
  <si>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</si>
  <si>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</si>
  <si>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</si>
  <si>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</si>
  <si>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</si>
  <si>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</si>
  <si>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</si>
  <si>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</si>
  <si>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</si>
  <si>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</si>
  <si>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</si>
  <si>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</si>
  <si>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</si>
  <si>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</si>
  <si>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</si>
  <si>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</si>
  <si>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</si>
  <si>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</si>
  <si>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</si>
  <si>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</si>
  <si>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</si>
  <si>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</si>
  <si>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</si>
  <si>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</si>
  <si>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</si>
  <si>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</si>
  <si>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</si>
  <si>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</si>
  <si>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</si>
  <si>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</si>
  <si>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</si>
  <si>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</si>
  <si>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</si>
  <si>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</si>
  <si>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</si>
  <si>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</si>
  <si>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</si>
  <si>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</si>
  <si>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</si>
  <si>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</si>
  <si>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</si>
  <si>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</si>
  <si>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</si>
  <si>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</si>
  <si>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</si>
  <si>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</si>
  <si>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</si>
  <si>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</si>
  <si>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</si>
  <si>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</si>
  <si>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</si>
  <si>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</si>
  <si>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</si>
  <si>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</si>
  <si>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</si>
  <si>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</si>
  <si>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</si>
  <si>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</si>
  <si>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</si>
  <si>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</si>
  <si>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</si>
  <si>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</si>
  <si>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</si>
  <si>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</si>
  <si>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</si>
  <si>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</si>
  <si>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</si>
  <si>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</si>
  <si>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</si>
  <si>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</si>
  <si>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</si>
  <si>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</si>
  <si>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</si>
  <si>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</si>
  <si>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</si>
  <si>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</si>
  <si>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</si>
  <si>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</si>
  <si>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</si>
  <si>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</si>
  <si>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</si>
  <si>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</si>
  <si>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</si>
  <si>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</si>
  <si>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</si>
  <si>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</si>
  <si>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</si>
  <si>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</si>
  <si>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</si>
  <si>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</si>
  <si>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</si>
  <si>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</si>
  <si>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</si>
  <si>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</si>
  <si>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</si>
  <si>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</si>
  <si>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</si>
  <si>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</si>
  <si>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</si>
  <si>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</si>
  <si>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</si>
  <si>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</si>
  <si>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</si>
  <si>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</si>
  <si>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</si>
  <si>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</si>
  <si>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</si>
  <si>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</si>
  <si>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</si>
  <si>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</si>
  <si>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</si>
  <si>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</si>
  <si>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</si>
  <si>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</si>
  <si>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</si>
  <si>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</si>
  <si>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</si>
  <si>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</si>
  <si>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</si>
  <si>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</si>
  <si>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</si>
  <si>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</si>
  <si>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</si>
  <si>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</si>
  <si>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</si>
  <si>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</si>
  <si>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</si>
  <si>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</si>
  <si>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</si>
  <si>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</si>
  <si>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</si>
  <si>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</si>
  <si>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</si>
  <si>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</si>
  <si>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</si>
  <si>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</si>
  <si>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</si>
  <si>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</si>
  <si>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</si>
  <si>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</si>
  <si>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</si>
  <si>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</si>
  <si>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</si>
  <si>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</si>
  <si>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</si>
  <si>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</si>
  <si>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</si>
  <si>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</si>
  <si>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</si>
  <si>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</si>
  <si>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</si>
  <si>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</si>
  <si>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</si>
  <si>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</si>
  <si>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</si>
  <si>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</si>
  <si>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</si>
  <si>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</si>
  <si>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</si>
  <si>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</si>
  <si>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</si>
  <si>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</si>
  <si>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</si>
  <si>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</si>
  <si>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</si>
  <si>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</si>
  <si>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</si>
  <si>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共 251 列（含黃色初始列 S0）。B欄=台積電 TWD，C欄=AAPL USD，D欄=三星 KRW，G欄=USD/TWD，H欄=KRW/TWD。</t>
  </si>
  <si>
    <t>步驟一：計算對數回報 &amp; FX 調整（公式直接引用 Sheet 2）</t>
  </si>
  <si>
    <t>▌ 公式說明</t>
  </si>
  <si>
    <t>B欄 台積電 r_local</t>
  </si>
  <si>
    <t>C欄 AAPL r_local</t>
  </si>
  <si>
    <t>D欄 三星 r_local</t>
  </si>
  <si>
    <t>E欄 USD r_FX</t>
  </si>
  <si>
    <t>F欄 KRW r_FX</t>
  </si>
  <si>
    <t>G欄 台積電 r_adj</t>
  </si>
  <si>
    <t>H欄 AAPL r_adj</t>
  </si>
  <si>
    <t>I欄 三星 r_adj</t>
  </si>
  <si>
    <t>J欄 組合P&amp;L</t>
  </si>
  <si>
    <t>驗證方法</t>
  </si>
  <si>
    <t>J欄 P&amp;L = Σ(r_adj_i × MV_i)，與 Sheet4 HS VaR 計算的基礎相同</t>
  </si>
  <si>
    <t>▌ 回報序列（250 個交易日，全為 Excel 公式）</t>
  </si>
  <si>
    <t>台積電 r_local</t>
  </si>
  <si>
    <t>AAPL r_local</t>
  </si>
  <si>
    <t>三星 r_local</t>
  </si>
  <si>
    <t>USD r_FX</t>
  </si>
  <si>
    <t>KRW r_FX</t>
  </si>
  <si>
    <t>台積電 r_adj</t>
  </si>
  <si>
    <t>AAPL r_adj</t>
  </si>
  <si>
    <t>三星 r_adj</t>
  </si>
  <si>
    <t>組合P&amp;L(TWD)</t>
  </si>
  <si>
    <t>平均</t>
  </si>
  <si>
    <t>標準差</t>
  </si>
  <si>
    <t>藍色格（H, I）= FX 已疊加。P&amp;L 負值（紅色）共 112 筆。G/H/I 欄回報序列被 Sheet 5 COVARIANCE.S 公式直接引用計算 Σ。</t>
  </si>
  <si>
    <t>步驟二（HS）：歷史模擬法 VaR 逐步計算</t>
  </si>
  <si>
    <t>▌ 方法說明 &amp; 公式</t>
  </si>
  <si>
    <t>Step 1</t>
  </si>
  <si>
    <t>取 T=250 個交易日的 FX 調整後組合損益（直接引用 Sheet 3 J 欄）</t>
  </si>
  <si>
    <t>Step 2</t>
  </si>
  <si>
    <t>將 T 筆損益由小到大排序（B欄=時序，H欄=排序，使用 SMALL() 公式）</t>
  </si>
  <si>
    <t>Step 3</t>
  </si>
  <si>
    <t>取第 3 小的損益作為 -VaR
   idx = floor((1-α)×T) = floor(0.01×250) = 2</t>
  </si>
  <si>
    <t>Step 4</t>
  </si>
  <si>
    <t>VaR = -SMALL(P&amp;L, 3) ← 見結果區公式</t>
  </si>
  <si>
    <t>Step 5</t>
  </si>
  <si>
    <t>CVaR = -AVERAGE(SMALL(P&amp;L,1),...,SMALL(P&amp;L,2)) ← 最差 2 筆均值</t>
  </si>
  <si>
    <t>驗證</t>
  </si>
  <si>
    <t>點擊任意 H 欄（排序）或結果格，確認公式引用自 Sheet 3</t>
  </si>
  <si>
    <t>▌ 組合損益序列 &amp; 排序（T=250，全為公式引用）</t>
  </si>
  <si>
    <t>▶ 原始損益（時間序列，引用 Sheet 3 J 欄）</t>
  </si>
  <si>
    <t>▶ 排序後損益（由小到大，使用 SMALL() 公式）</t>
  </si>
  <si>
    <t>排名</t>
  </si>
  <si>
    <t>原始P&amp;L（引用Sheet3）</t>
  </si>
  <si>
    <t>排序P&amp;L＝SMALL()</t>
  </si>
  <si>
    <t>← CVaR 範圍</t>
  </si>
  <si>
    <t>← VaR 點（第 3 小）</t>
  </si>
  <si>
    <t>▌ HS 計算結果（黃色格為公式，可點入驗證）</t>
  </si>
  <si>
    <t>HS VaR（99%，1日，TWD）</t>
  </si>
  <si>
    <t>HS CVaR（TWD）</t>
  </si>
  <si>
    <t>CVaR / VaR 倍數</t>
  </si>
  <si>
    <t>組合市值（TWD）</t>
  </si>
  <si>
    <t>VaR %（占市值）</t>
  </si>
  <si>
    <t>▌ Component VaR（HS）</t>
  </si>
  <si>
    <t>資產</t>
  </si>
  <si>
    <t>Component VaR(TWD)</t>
  </si>
  <si>
    <t>Component CVaR(TWD)</t>
  </si>
  <si>
    <t>風險貢獻%</t>
  </si>
  <si>
    <t>HS VaR（Python 驗算）= 52,735.26 TWD，CVaR = 68,722.30 TWD。注意：HS Component VaR 各資產獨立分位數加總 ≠ 組合 VaR。</t>
  </si>
  <si>
    <t>步驟三（Parametric）：Delta-Normal VaR — 全公式計算鏈（點入任一黃/藍色格確認公式）</t>
  </si>
  <si>
    <t>▌ 計算步驟（每格均為 Excel 公式，可點入確認計算鏈）</t>
  </si>
  <si>
    <t>Σ 矩陣 = COVARIANCE.S()，引用 Sheet 3 G/H/I 欄（250 筆 FX 調整後回報）</t>
  </si>
  <si>
    <t>ρ[i,j] = Σ[i,j] / SQRT(Σ[i,i]×Σ[j,j])，公式引用上方 Σ 儲存格</t>
  </si>
  <si>
    <t>w 向量 = Sheet 1 G5:G7 TWD 市值（公式引用）</t>
  </si>
  <si>
    <t>(Σw)[i] = Σ[i,0]×w[0]+Σ[i,1]×w[1]+Σ[i,2]×w[2]，展開公式</t>
  </si>
  <si>
    <t>σ²_P = w'Σw = Σ_i w[i]×(Σw)[i]；σ_P = SQRT(σ²_P)</t>
  </si>
  <si>
    <t>Step 6</t>
  </si>
  <si>
    <t>z_α = NORM.S.INV(0.99)</t>
  </si>
  <si>
    <t>Step 7</t>
  </si>
  <si>
    <t>VaR = z_α × σ_P；CVaR = NORM.DIST(-z_α,0,1,FALSE)/0.01 × σ_P</t>
  </si>
  <si>
    <t>Step 8</t>
  </si>
  <si>
    <t>Component VaR_i = w_i × z_α × (Σw)_i / σ_P；加總 = Portfolio VaR（代數精確）</t>
  </si>
  <si>
    <t>▌ ① 共變異數矩陣 Σ（COVARIANCE.S，引用 Sheet 3 G/H/I 欄，T=250 筆）</t>
  </si>
  <si>
    <t>公式範本（Σ[0,0]）：=COVARIANCE.S('③回報計算FX調整'!$G$16:$G$265,'③回報計算FX調整'!$G$16:$G$265)  ← 點入 B15 儲存格可見完整公式</t>
  </si>
  <si>
    <t>▌ ② 相關係數矩陣 ρ（公式引用上方 Σ：ρ[i,j]=Σ[i,j]/SQRT(Σ[i,i]×Σ[j,j])）</t>
  </si>
  <si>
    <t>▌ ③ 市值向量 w（引用 Sheet 1 G5:G7，TWD 計價）</t>
  </si>
  <si>
    <t>w_i（TWD 市值）</t>
  </si>
  <si>
    <t>公式文字</t>
  </si>
  <si>
    <t>▌ ④ Σw 向量（(Σw)[i] = Σ[i,0]×w[0]+Σ[i,1]×w[1]+Σ[i,2]×w[2]，引用上方 Σ 和 w）</t>
  </si>
  <si>
    <t>(Σw)_i 公式</t>
  </si>
  <si>
    <t>計算值（TWD）</t>
  </si>
  <si>
    <t>▌ ⑤ 組合方差 σ²_P = w'Σw 與標準差 σ_P = SQRT(σ²_P)</t>
  </si>
  <si>
    <t>σ²_P = w'Σw = Σ w_i×(Σw)_i</t>
  </si>
  <si>
    <t>（Python 驗算）</t>
  </si>
  <si>
    <t>σ_P = SQRT(σ²_P)（日，TWD）</t>
  </si>
  <si>
    <t>▌ ⑥ Parametric VaR / CVaR 計算結果（黃色格均為 Excel 公式，可點入驗證）</t>
  </si>
  <si>
    <t>項目</t>
  </si>
  <si>
    <t>Excel 公式（值）</t>
  </si>
  <si>
    <t>Python 驗算值</t>
  </si>
  <si>
    <t>NORM.S.INV(0.99)</t>
  </si>
  <si>
    <t>σ_P（日，TWD）</t>
  </si>
  <si>
    <t>VaR = z_α × σ_P（TWD）</t>
  </si>
  <si>
    <t>CVaR = φ(z_α)/0.01 × σ_P（TWD）</t>
  </si>
  <si>
    <t>VaR % (占組合市值)</t>
  </si>
  <si>
    <t>▌ ⑦ Component VaR_i = w_i × z_α × (Σw)_i / σ_P（公式，Σ = Portfolio VaR 代數精確）</t>
  </si>
  <si>
    <t>w_i (B欄)</t>
  </si>
  <si>
    <t>(Σw)_i (C欄)</t>
  </si>
  <si>
    <t>Marginal VaR_i = z_α×(Σw)_i/σ_P</t>
  </si>
  <si>
    <t>Component VaR_i = w_i × MVaR_i</t>
  </si>
  <si>
    <t>Component CVaR_i</t>
  </si>
  <si>
    <t>Σ Component VaR（應 = Portfolio VaR）</t>
  </si>
  <si>
    <t>Portfolio VaR（對照）</t>
  </si>
  <si>
    <t>誤差 |Σ−VaR|/VaR</t>
  </si>
  <si>
    <t>← 代數精確，應 ≈ 0%</t>
  </si>
  <si>
    <t>Component VaR_i = w_i × z_α × (Σw)_i / σ_P。驗算：|加總 - VaR| = 0.000000e+00（數值機器精度）。Sheet 6 的 Cholesky L 矩陣公式引用本頁 Σ 矩陣（B15:D17）。</t>
  </si>
  <si>
    <t>步驟四（MC）：蒙地卡羅 VaR — 全公式揭露（N=500 條路徑，seed=42）</t>
  </si>
  <si>
    <t>▌ 計算步驟（z 為固定亂數，r_sim/P&amp;L/VaR 均為 Excel 公式）</t>
  </si>
  <si>
    <t>Cholesky 分解：公式引用 Sheet 5 Σ 矩陣（B15:D17）計算 L</t>
  </si>
  <si>
    <t>驗證 L×L' = Σ：Excel 公式，應與 Sheet 5 Σ 一致</t>
  </si>
  <si>
    <t>μ = AVERAGE(Sheet3!G/H/I)：公式引用 Sheet 3 adj 回報均值</t>
  </si>
  <si>
    <t>w：公式引用 Sheet 1 G5:G7 TWD 市值</t>
  </si>
  <si>
    <t>z 亂數（B/C/D 欄）：seed=42 產生之 500×3 固定值，揭露於此供逐一驗核</t>
  </si>
  <si>
    <t>r_sim（E/F/G 欄）：= L×z + μ 展開公式，引用 L 矩陣儲存格</t>
  </si>
  <si>
    <t>P&amp;L（H 欄）：= r_sim[台積電]×w[0]+r_sim[AAPL]×w[1]+r_sim[三星]×w[2] 公式</t>
  </si>
  <si>
    <t>VaR = -SMALL(P&amp;L, 6)；CVaR = -(SMALL(1)+...+SMALL(5))/5</t>
  </si>
  <si>
    <t>▌ ① Cholesky 分解 L（公式引用 Sheet 5 Σ 矩陣，Σ=L×L'）</t>
  </si>
  <si>
    <t>L[i,0]（B欄）</t>
  </si>
  <si>
    <t>L[i,1]（C欄）</t>
  </si>
  <si>
    <t>L[i,2]（D欄）</t>
  </si>
  <si>
    <t>公式說明</t>
  </si>
  <si>
    <t>—</t>
  </si>
  <si>
    <t>L[0,0] = SQRT(Σ[0,0])，引用 Sheet5!B15</t>
  </si>
  <si>
    <t>L[1,0]='⑤參數法Parametric'!B16/L[0,0]；L[1,1]=SQRT(Σ[1,1]-L[1,0]²)</t>
  </si>
  <si>
    <t>L[2,0]=Σ[2,0]/L[0,0]；L[2,1]=(Σ[2,1]-L[2,0]×L[1,0])/L[1,1]；L[2,2]=SQRT(Σ[2,2]-L[2,0]²-L[2,1]²)</t>
  </si>
  <si>
    <t>▌ ② 驗證 L×L'（公式）應還原 Sheet 5 Σ 矩陣</t>
  </si>
  <si>
    <t>驗證：將上表與 Sheet 5 Σ 矩陣（B15:D17）對照，差值應 &lt; 1e-10。公式：(L×L')[i,j] = Σ_k L[i,k]×L[j,k]（僅對角線以下的 L 元素非零）。</t>
  </si>
  <si>
    <t>▌ ③ μ 歷史均值回報（AVERAGE 公式，引用 Sheet 3 G/H/I 欄，T=250 筆）</t>
  </si>
  <si>
    <t>μ（AVERAGE 公式）</t>
  </si>
  <si>
    <t>▌ ④ w 向量（引用 Sheet 1 G5:G7，TWD 市值）</t>
  </si>
  <si>
    <t>w_i（TWD）</t>
  </si>
  <si>
    <t>▌ ⑤ 模擬路徑（N=500）：B/C/D=z 固定亂數（seed=42）；E/F/G=r_sim 公式；H=P&amp;L 公式</t>
  </si>
  <si>
    <t>B/C/D 欄（z₁/z₂/z₃）：NumPy seed=42 產生之固定常態亂數，揭露於此供逐一驗核。E欄 r_sim₁ 公式：=$B$14*B{r}+$B$26（= L[0,0]×z₁ + μ₁）；F欄 r_sim₂：=$B$15*B{r}+$C$15*C{r}+$B$27；G欄 r_sim₃：=$B$16*B+$C$16*C+$D$16*D+$B$28；H欄 P&amp;L：=E×$B$32+F×$B$33+G×$B$34</t>
  </si>
  <si>
    <t>路徑#</t>
  </si>
  <si>
    <t>z₁(台積電方向)</t>
  </si>
  <si>
    <t>z₂(AAPL方向)</t>
  </si>
  <si>
    <t>z₃(三星方向)</t>
  </si>
  <si>
    <t>r_sim₁[台積電]</t>
  </si>
  <si>
    <t>r_sim₂[AAPL]</t>
  </si>
  <si>
    <t>r_sim₃[三星]</t>
  </si>
  <si>
    <t>P&amp;L(TWD)</t>
  </si>
  <si>
    <t>▌ ⑥ MC 計算結果（VaR/CVaR 均為 SMALL() 公式，H 欄 P&amp;L 共 500 筆）</t>
  </si>
  <si>
    <t>公式文字說明</t>
  </si>
  <si>
    <t>分位索引 idx = floor(0.01×500)</t>
  </si>
  <si>
    <t>MC VaR（99%, 1日, TWD）</t>
  </si>
  <si>
    <t>MC CVaR（TWD）</t>
  </si>
  <si>
    <t>例外路徑數（P&amp;L &lt; -VaR）</t>
  </si>
  <si>
    <t>應約 500×1% = 5 條</t>
  </si>
  <si>
    <t>Python 驗算（500 路徑，seed=42）：VaR=73,783.94 TWD，CVaR=82,467.43 TWD。Excel 公式 SMALL() 使用 H 欄 500 筆 P&amp;L 直接計算，可完全驗核。Sheet ⑦ 比較使用 5,000 條路徑（更精確）。</t>
  </si>
  <si>
    <t>三方法 VaR 彙總比較 &amp; 驗證核對表</t>
  </si>
  <si>
    <t>▌ 組合層級指標比較</t>
  </si>
  <si>
    <t>指標</t>
  </si>
  <si>
    <t>Historical Simulation</t>
  </si>
  <si>
    <t>Parametric Delta-Normal</t>
  </si>
  <si>
    <t>Monte Carlo（M=5,000）</t>
  </si>
  <si>
    <t>VaR（TWD）</t>
  </si>
  <si>
    <t>主要風險指標</t>
  </si>
  <si>
    <t>CVaR（TWD）</t>
  </si>
  <si>
    <t>一致性風險測度</t>
  </si>
  <si>
    <t>VaR%（占市值）</t>
  </si>
  <si>
    <t>相對風險水準</t>
  </si>
  <si>
    <t>CVaR / VaR</t>
  </si>
  <si>
    <t>尾端形狀（常態≈1.29）</t>
  </si>
  <si>
    <t>損益標準差（TWD）</t>
  </si>
  <si>
    <t>1日組合損益σ</t>
  </si>
  <si>
    <t>▌ 個別資產 Component VaR 比較（TWD）</t>
  </si>
  <si>
    <t>HS VaR</t>
  </si>
  <si>
    <t>Param VaR</t>
  </si>
  <si>
    <t>MC VaR</t>
  </si>
  <si>
    <t>HS 貢獻%</t>
  </si>
  <si>
    <t>Param 貢獻%</t>
  </si>
  <si>
    <t>MC 貢獻%</t>
  </si>
  <si>
    <t>▌ 驗證核對表</t>
  </si>
  <si>
    <t>驗證項目</t>
  </si>
  <si>
    <t>HS</t>
  </si>
  <si>
    <t>Parametric</t>
  </si>
  <si>
    <t>Monte Carlo</t>
  </si>
  <si>
    <t>預期結果</t>
  </si>
  <si>
    <t>通過?</t>
  </si>
  <si>
    <t>Component VaR 加總 = 組合 VaR</t>
  </si>
  <si>
    <t>75,150 ≠ 52,735（近似）</t>
  </si>
  <si>
    <t>68,933 ≈ 68,933（精確）</t>
  </si>
  <si>
    <t>82,799 ≠ 66,136（近似）</t>
  </si>
  <si>
    <t>HS/MC 近似；Parametric 代數精確</t>
  </si>
  <si>
    <t>Param ✓</t>
  </si>
  <si>
    <t>CVaR &gt; VaR</t>
  </si>
  <si>
    <t>✓</t>
  </si>
  <si>
    <t>必然成立（定義性質）</t>
  </si>
  <si>
    <t>VaR &gt; 0</t>
  </si>
  <si>
    <t>正常市場必然</t>
  </si>
  <si>
    <t>MC → Parametric 收斂</t>
  </si>
  <si>
    <t>68,933</t>
  </si>
  <si>
    <t>66,136（差 4.1%）</t>
  </si>
  <si>
    <t>大樣本（M=5,000）下 MC ≈ Param（同常態假設）</t>
  </si>
  <si>
    <t>資料期間：2024-01-16 ~ 2024-12-31，T=250，α=99%，h=1日。Sheet ⑦ 比較使用 N_MC=5,000（5000路徑）；Sheet ⑥ 公式揭露使用 N=500（所有路徑可見）。</t>
  </si>
  <si>
    <t>=@NORM.S.INV(0.99) = 2.326348</t>
    <phoneticPr fontId="9" type="noConversion"/>
  </si>
  <si>
    <t>=@VaR /@ 組合總市值</t>
    <phoneticPr fontId="9" type="noConversion"/>
  </si>
  <si>
    <t>=@CVaR /@ VaR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</si>
</sst>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0000"/>
    <numFmt numFmtId="177" formatCode="0.00000"/>
    <numFmt numFmtId="178" formatCode="#,##0.0000"/>
    <numFmt numFmtId="179" formatCode="0.000000"/>
    <numFmt numFmtId="180" formatCode="0.0000"/>
    <numFmt numFmtId="181" formatCode="0.0000000000"/>
    <numFmt numFmtId="182" formatCode="0.00000000"/>
    <numFmt numFmtId="183" formatCode="0.000000%"/>
    <numFmt numFmtId="184" formatCode="0.000000000"/>
  </numFmts>
  <fonts count="10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0"/>
      <color rgb="FF1F497D"/>
      <name val="新細明體"/>
      <family val="1"/>
      <charset val="136"/>
    </font>
    <font>
      <b/>
      <sz val="10"/>
      <color rgb="FFFFFFFF"/>
      <name val="新細明體"/>
      <family val="1"/>
      <charset val="136"/>
    </font>
    <font>
      <sz val="9"/>
      <name val="新細明體"/>
      <family val="1"/>
      <charset val="136"/>
    </font>
    <font>
      <b/>
      <sz val="9"/>
      <name val="新細明體"/>
      <family val="1"/>
      <charset val="136"/>
    </font>
    <font>
      <i/>
      <sz val="8"/>
      <color rgb="FF595959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DFD5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3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178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179" fontId="0" fillId="0" borderId="1" xfId="0" applyNumberFormat="1" applyBorder="1"/>
    <xf numFmtId="179" fontId="0" fillId="3" borderId="1" xfId="0" applyNumberFormat="1" applyFill="1" applyBorder="1"/>
    <xf numFmtId="4" fontId="0" fillId="0" borderId="1" xfId="0" applyNumberFormat="1" applyBorder="1"/>
    <xf numFmtId="4" fontId="0" fillId="8" borderId="1" xfId="0" applyNumberFormat="1" applyFill="1" applyBorder="1"/>
    <xf numFmtId="0" fontId="5" fillId="6" borderId="0" xfId="0" applyFont="1" applyFill="1" applyAlignment="1">
      <alignment horizontal="center" vertical="center"/>
    </xf>
    <xf numFmtId="179" fontId="5" fillId="6" borderId="0" xfId="0" applyNumberFormat="1" applyFont="1" applyFill="1"/>
    <xf numFmtId="0" fontId="5" fillId="3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4" fontId="5" fillId="5" borderId="1" xfId="0" applyNumberFormat="1" applyFont="1" applyFill="1" applyBorder="1"/>
    <xf numFmtId="0" fontId="5" fillId="6" borderId="0" xfId="0" applyFont="1" applyFill="1" applyAlignment="1">
      <alignment horizontal="left" vertical="center"/>
    </xf>
    <xf numFmtId="4" fontId="5" fillId="5" borderId="0" xfId="0" applyNumberFormat="1" applyFont="1" applyFill="1"/>
    <xf numFmtId="180" fontId="5" fillId="5" borderId="0" xfId="0" applyNumberFormat="1" applyFont="1" applyFill="1"/>
    <xf numFmtId="3" fontId="5" fillId="5" borderId="0" xfId="0" applyNumberFormat="1" applyFont="1" applyFill="1"/>
    <xf numFmtId="10" fontId="5" fillId="5" borderId="0" xfId="0" applyNumberFormat="1" applyFont="1" applyFill="1"/>
    <xf numFmtId="0" fontId="3" fillId="4" borderId="0" xfId="0" applyFont="1" applyFill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81" fontId="4" fillId="3" borderId="1" xfId="0" applyNumberFormat="1" applyFont="1" applyFill="1" applyBorder="1" applyAlignment="1">
      <alignment horizontal="center" vertical="center"/>
    </xf>
    <xf numFmtId="181" fontId="4" fillId="5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182" fontId="4" fillId="7" borderId="1" xfId="0" applyNumberFormat="1" applyFont="1" applyFill="1" applyBorder="1" applyAlignment="1">
      <alignment horizontal="center" vertical="center"/>
    </xf>
    <xf numFmtId="182" fontId="4" fillId="6" borderId="1" xfId="0" applyNumberFormat="1" applyFont="1" applyFill="1" applyBorder="1" applyAlignment="1">
      <alignment horizontal="center" vertical="center"/>
    </xf>
    <xf numFmtId="182" fontId="5" fillId="5" borderId="1" xfId="0" applyNumberFormat="1" applyFon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179" fontId="5" fillId="5" borderId="1" xfId="0" applyNumberFormat="1" applyFont="1" applyFill="1" applyBorder="1" applyAlignment="1">
      <alignment horizontal="center" vertical="center"/>
    </xf>
    <xf numFmtId="179" fontId="4" fillId="6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center" vertical="center"/>
    </xf>
    <xf numFmtId="183" fontId="4" fillId="7" borderId="1" xfId="0" applyNumberFormat="1" applyFont="1" applyFill="1" applyBorder="1" applyAlignment="1">
      <alignment horizontal="center" vertical="center"/>
    </xf>
    <xf numFmtId="184" fontId="4" fillId="3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center" vertical="center"/>
    </xf>
    <xf numFmtId="181" fontId="5" fillId="5" borderId="1" xfId="0" applyNumberFormat="1" applyFont="1" applyFill="1" applyBorder="1" applyAlignment="1">
      <alignment horizontal="center" vertical="center"/>
    </xf>
    <xf numFmtId="184" fontId="8" fillId="6" borderId="1" xfId="0" applyNumberFormat="1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4" fontId="8" fillId="8" borderId="1" xfId="0" applyNumberFormat="1" applyFont="1" applyFill="1" applyBorder="1" applyAlignment="1">
      <alignment horizontal="center" vertical="center"/>
    </xf>
    <xf numFmtId="4" fontId="8" fillId="7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2" fillId="3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vertical="top" wrapText="1"/>
    </xf>
    <xf numFmtId="0" fontId="4" fillId="0" borderId="0" xfId="0" applyFont="1" applyAlignment="1">
      <alignment horizontal="left" vertical="center"/>
    </xf>
    <xf numFmtId="0" fontId="7" fillId="4" borderId="0" xfId="0" applyFont="1" applyFill="1"/>
    <xf numFmtId="0" fontId="7" fillId="9" borderId="0" xfId="0" applyFont="1" applyFill="1"/>
    <xf numFmtId="0" fontId="4" fillId="0" borderId="1" xfId="0" quotePrefix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B18" sqref="B18:F18"/>
    </sheetView>
  </sheetViews>
  <sheetFormatPr defaultRowHeight="15.75" x14ac:dyDescent="0.25"/>
  <cols>
    <col min="1" max="2" width="30" customWidth="1"/>
    <col min="3" max="3" width="9.140625" customWidth="1"/>
    <col min="4" max="4" width="8" customWidth="1"/>
    <col min="5" max="5" width="9.140625" customWidth="1"/>
    <col min="6" max="7" width="11.42578125" customWidth="1"/>
    <col min="8" max="8" width="23" customWidth="1"/>
    <col min="9" max="12" width="8" customWidth="1"/>
  </cols>
  <sheetData>
    <row r="1" spans="1:12" ht="21.95" customHeight="1" x14ac:dyDescent="0.25">
      <c r="A1" s="79" t="s">
        <v>0</v>
      </c>
      <c r="B1" s="78"/>
      <c r="C1" s="78"/>
      <c r="D1" s="78"/>
      <c r="E1" s="78"/>
      <c r="F1" s="78"/>
      <c r="G1" s="78"/>
      <c r="H1" s="78"/>
    </row>
    <row r="3" spans="1:12" x14ac:dyDescent="0.25">
      <c r="A3" s="77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ht="28.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12" x14ac:dyDescent="0.25">
      <c r="A5" s="2" t="s">
        <v>10</v>
      </c>
      <c r="B5" s="2" t="s">
        <v>11</v>
      </c>
      <c r="C5" s="3" t="s">
        <v>12</v>
      </c>
      <c r="D5" s="4">
        <v>1000</v>
      </c>
      <c r="E5" s="5">
        <v>858.34</v>
      </c>
      <c r="F5" s="6">
        <v>1</v>
      </c>
      <c r="G5" s="7">
        <v>858340</v>
      </c>
      <c r="H5" s="8">
        <v>0.44940266863825201</v>
      </c>
    </row>
    <row r="6" spans="1:12" x14ac:dyDescent="0.25">
      <c r="A6" s="2" t="s">
        <v>13</v>
      </c>
      <c r="B6" s="2" t="s">
        <v>14</v>
      </c>
      <c r="C6" s="3" t="s">
        <v>15</v>
      </c>
      <c r="D6" s="4">
        <v>100</v>
      </c>
      <c r="E6" s="5">
        <v>322.48</v>
      </c>
      <c r="F6" s="6">
        <v>32.268999999999998</v>
      </c>
      <c r="G6" s="7">
        <v>1040599</v>
      </c>
      <c r="H6" s="8">
        <v>0.54482871217797002</v>
      </c>
    </row>
    <row r="7" spans="1:12" x14ac:dyDescent="0.25">
      <c r="A7" s="2" t="s">
        <v>16</v>
      </c>
      <c r="B7" s="2" t="s">
        <v>17</v>
      </c>
      <c r="C7" s="3" t="s">
        <v>18</v>
      </c>
      <c r="D7" s="4">
        <v>10</v>
      </c>
      <c r="E7" s="5">
        <v>44775.73</v>
      </c>
      <c r="F7" s="6">
        <v>2.46E-2</v>
      </c>
      <c r="G7" s="7">
        <v>11018</v>
      </c>
      <c r="H7" s="8">
        <v>5.7686191837779269E-3</v>
      </c>
    </row>
    <row r="8" spans="1:12" x14ac:dyDescent="0.25">
      <c r="A8" s="9"/>
      <c r="B8" s="9"/>
      <c r="C8" s="9"/>
      <c r="D8" s="9"/>
      <c r="E8" s="9"/>
      <c r="F8" s="10" t="s">
        <v>19</v>
      </c>
      <c r="G8" s="11">
        <v>1909957</v>
      </c>
      <c r="H8" s="9"/>
    </row>
    <row r="9" spans="1:12" x14ac:dyDescent="0.25">
      <c r="A9" s="80" t="s">
        <v>20</v>
      </c>
      <c r="B9" s="78"/>
      <c r="C9" s="78"/>
      <c r="D9" s="78"/>
      <c r="E9" s="78"/>
      <c r="F9" s="78"/>
      <c r="G9" s="78"/>
      <c r="H9" s="78"/>
      <c r="I9" s="78"/>
      <c r="J9" s="78"/>
      <c r="K9" s="78"/>
    </row>
    <row r="11" spans="1:12" x14ac:dyDescent="0.25">
      <c r="A11" s="77" t="s">
        <v>21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</row>
    <row r="12" spans="1:12" x14ac:dyDescent="0.25">
      <c r="A12" s="12" t="s">
        <v>22</v>
      </c>
      <c r="B12" s="75" t="s">
        <v>23</v>
      </c>
      <c r="C12" s="76"/>
      <c r="D12" s="76"/>
      <c r="E12" s="76"/>
      <c r="F12" s="76"/>
    </row>
    <row r="13" spans="1:12" x14ac:dyDescent="0.25">
      <c r="A13" s="12" t="s">
        <v>24</v>
      </c>
      <c r="B13" s="75" t="s">
        <v>25</v>
      </c>
      <c r="C13" s="76"/>
      <c r="D13" s="76"/>
      <c r="E13" s="76"/>
      <c r="F13" s="76"/>
    </row>
    <row r="14" spans="1:12" x14ac:dyDescent="0.25">
      <c r="A14" s="12" t="s">
        <v>26</v>
      </c>
      <c r="B14" s="75" t="s">
        <v>27</v>
      </c>
      <c r="C14" s="76"/>
      <c r="D14" s="76"/>
      <c r="E14" s="76"/>
      <c r="F14" s="76"/>
    </row>
    <row r="15" spans="1:12" x14ac:dyDescent="0.25">
      <c r="A15" s="12" t="s">
        <v>28</v>
      </c>
      <c r="B15" s="75" t="s">
        <v>29</v>
      </c>
      <c r="C15" s="76"/>
      <c r="D15" s="76"/>
      <c r="E15" s="76"/>
      <c r="F15" s="76"/>
    </row>
    <row r="16" spans="1:12" x14ac:dyDescent="0.25">
      <c r="A16" s="12" t="s">
        <v>30</v>
      </c>
      <c r="B16" s="75" t="s">
        <v>31</v>
      </c>
      <c r="C16" s="76"/>
      <c r="D16" s="76"/>
      <c r="E16" s="76"/>
      <c r="F16" s="76"/>
    </row>
    <row r="17" spans="1:12" x14ac:dyDescent="0.25">
      <c r="A17" s="12" t="s">
        <v>32</v>
      </c>
      <c r="B17" s="84" t="s">
        <v>501</v>
      </c>
      <c r="C17" s="76"/>
      <c r="D17" s="76"/>
      <c r="E17" s="76"/>
      <c r="F17" s="76"/>
    </row>
    <row r="18" spans="1:12" x14ac:dyDescent="0.25">
      <c r="A18" s="12" t="s">
        <v>33</v>
      </c>
      <c r="B18" s="75" t="s">
        <v>34</v>
      </c>
      <c r="C18" s="76"/>
      <c r="D18" s="76"/>
      <c r="E18" s="76"/>
      <c r="F18" s="76"/>
    </row>
    <row r="19" spans="1:12" x14ac:dyDescent="0.25">
      <c r="A19" s="12" t="s">
        <v>35</v>
      </c>
      <c r="B19" s="75" t="s">
        <v>36</v>
      </c>
      <c r="C19" s="76"/>
      <c r="D19" s="76"/>
      <c r="E19" s="76"/>
      <c r="F19" s="76"/>
    </row>
    <row r="20" spans="1:12" x14ac:dyDescent="0.25">
      <c r="A20" s="12" t="s">
        <v>37</v>
      </c>
      <c r="B20" s="75" t="s">
        <v>38</v>
      </c>
      <c r="C20" s="76"/>
      <c r="D20" s="76"/>
      <c r="E20" s="76"/>
      <c r="F20" s="76"/>
    </row>
    <row r="21" spans="1:12" x14ac:dyDescent="0.25">
      <c r="A21" s="12" t="s">
        <v>39</v>
      </c>
      <c r="B21" s="75" t="s">
        <v>40</v>
      </c>
      <c r="C21" s="76"/>
      <c r="D21" s="76"/>
      <c r="E21" s="76"/>
      <c r="F21" s="76"/>
    </row>
    <row r="23" spans="1:12" x14ac:dyDescent="0.25">
      <c r="A23" s="77" t="s">
        <v>41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</row>
    <row r="24" spans="1:12" x14ac:dyDescent="0.25">
      <c r="A24" s="1" t="s">
        <v>4</v>
      </c>
      <c r="B24" s="1" t="s">
        <v>42</v>
      </c>
      <c r="C24" s="1" t="s">
        <v>43</v>
      </c>
    </row>
    <row r="25" spans="1:12" x14ac:dyDescent="0.25">
      <c r="A25" s="3" t="s">
        <v>12</v>
      </c>
      <c r="B25" s="13">
        <v>1</v>
      </c>
      <c r="C25" s="2" t="s">
        <v>44</v>
      </c>
    </row>
    <row r="26" spans="1:12" x14ac:dyDescent="0.25">
      <c r="A26" s="3" t="s">
        <v>15</v>
      </c>
      <c r="B26" s="13">
        <v>32.26896</v>
      </c>
      <c r="C26" s="2" t="s">
        <v>45</v>
      </c>
    </row>
    <row r="27" spans="1:12" x14ac:dyDescent="0.25">
      <c r="A27" s="3" t="s">
        <v>18</v>
      </c>
      <c r="B27" s="13">
        <v>2.461E-2</v>
      </c>
      <c r="C27" s="2" t="s">
        <v>46</v>
      </c>
    </row>
  </sheetData>
  <mergeCells count="15">
    <mergeCell ref="A23:L23"/>
    <mergeCell ref="B19:F19"/>
    <mergeCell ref="B14:F14"/>
    <mergeCell ref="A1:H1"/>
    <mergeCell ref="A3:L3"/>
    <mergeCell ref="B13:F13"/>
    <mergeCell ref="B18:F18"/>
    <mergeCell ref="A9:K9"/>
    <mergeCell ref="B21:F21"/>
    <mergeCell ref="B12:F12"/>
    <mergeCell ref="B16:F16"/>
    <mergeCell ref="B20:F20"/>
    <mergeCell ref="A11:L11"/>
    <mergeCell ref="B15:F15"/>
    <mergeCell ref="B17:F17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4"/>
  <sheetViews>
    <sheetView workbookViewId="0">
      <selection activeCell="A2" sqref="A2"/>
    </sheetView>
  </sheetViews>
  <sheetFormatPr defaultRowHeight="15.75" x14ac:dyDescent="0.25"/>
  <cols>
    <col min="1" max="1" width="30" customWidth="1"/>
    <col min="2" max="2" width="9.140625" customWidth="1"/>
    <col min="3" max="3" width="10.28515625" customWidth="1"/>
    <col min="4" max="5" width="8" customWidth="1"/>
    <col min="6" max="6" width="11.42578125" customWidth="1"/>
    <col min="7" max="7" width="8" customWidth="1"/>
    <col min="8" max="8" width="9.140625" customWidth="1"/>
    <col min="9" max="11" width="8" customWidth="1"/>
  </cols>
  <sheetData>
    <row r="1" spans="1:9" x14ac:dyDescent="0.25">
      <c r="A1" s="79" t="s">
        <v>47</v>
      </c>
      <c r="B1" s="78"/>
      <c r="C1" s="78"/>
      <c r="D1" s="78"/>
      <c r="E1" s="78"/>
      <c r="F1" s="78"/>
      <c r="G1" s="78"/>
      <c r="H1" s="78"/>
      <c r="I1" s="78"/>
    </row>
    <row r="2" spans="1:9" ht="28.5" x14ac:dyDescent="0.25">
      <c r="A2" s="1" t="s">
        <v>48</v>
      </c>
      <c r="B2" s="1" t="s">
        <v>49</v>
      </c>
      <c r="C2" s="1" t="s">
        <v>50</v>
      </c>
      <c r="D2" s="1" t="s">
        <v>51</v>
      </c>
      <c r="F2" s="1" t="s">
        <v>48</v>
      </c>
      <c r="G2" s="1" t="s">
        <v>52</v>
      </c>
      <c r="H2" s="1" t="s">
        <v>53</v>
      </c>
    </row>
    <row r="3" spans="1:9" x14ac:dyDescent="0.25">
      <c r="A3" s="14" t="s">
        <v>54</v>
      </c>
      <c r="B3" s="15">
        <v>600</v>
      </c>
      <c r="C3" s="15">
        <v>185</v>
      </c>
      <c r="D3" s="16">
        <v>70000</v>
      </c>
      <c r="E3" s="17"/>
      <c r="F3" s="14" t="s">
        <v>54</v>
      </c>
      <c r="G3" s="18">
        <v>32.5</v>
      </c>
      <c r="H3" s="19">
        <v>2.35E-2</v>
      </c>
    </row>
    <row r="4" spans="1:9" x14ac:dyDescent="0.25">
      <c r="A4" s="3" t="s">
        <v>55</v>
      </c>
      <c r="B4" s="5">
        <v>612.96</v>
      </c>
      <c r="C4" s="5">
        <v>191.48</v>
      </c>
      <c r="D4" s="4">
        <v>72532</v>
      </c>
      <c r="F4" s="3" t="s">
        <v>55</v>
      </c>
      <c r="G4" s="20">
        <v>32.440399999999997</v>
      </c>
      <c r="H4" s="21">
        <v>2.3599999999999999E-2</v>
      </c>
    </row>
    <row r="5" spans="1:9" x14ac:dyDescent="0.25">
      <c r="A5" s="3" t="s">
        <v>56</v>
      </c>
      <c r="B5" s="5">
        <v>601.63</v>
      </c>
      <c r="C5" s="5">
        <v>186.11</v>
      </c>
      <c r="D5" s="4">
        <v>71998</v>
      </c>
      <c r="F5" s="3" t="s">
        <v>56</v>
      </c>
      <c r="G5" s="20">
        <v>32.3249</v>
      </c>
      <c r="H5" s="21">
        <v>2.3591999999999998E-2</v>
      </c>
    </row>
    <row r="6" spans="1:9" x14ac:dyDescent="0.25">
      <c r="A6" s="3" t="s">
        <v>57</v>
      </c>
      <c r="B6" s="5">
        <v>612.57000000000005</v>
      </c>
      <c r="C6" s="5">
        <v>188.75</v>
      </c>
      <c r="D6" s="4">
        <v>75291</v>
      </c>
      <c r="F6" s="3" t="s">
        <v>57</v>
      </c>
      <c r="G6" s="20">
        <v>32.357599999999998</v>
      </c>
      <c r="H6" s="21">
        <v>2.3439000000000002E-2</v>
      </c>
    </row>
    <row r="7" spans="1:9" x14ac:dyDescent="0.25">
      <c r="A7" s="3" t="s">
        <v>58</v>
      </c>
      <c r="B7" s="5">
        <v>622.34</v>
      </c>
      <c r="C7" s="5">
        <v>191.75</v>
      </c>
      <c r="D7" s="4">
        <v>74596</v>
      </c>
      <c r="F7" s="3" t="s">
        <v>58</v>
      </c>
      <c r="G7" s="20">
        <v>32.326099999999997</v>
      </c>
      <c r="H7" s="21">
        <v>2.3491999999999999E-2</v>
      </c>
    </row>
    <row r="8" spans="1:9" x14ac:dyDescent="0.25">
      <c r="A8" s="3" t="s">
        <v>59</v>
      </c>
      <c r="B8" s="5">
        <v>609.19000000000005</v>
      </c>
      <c r="C8" s="5">
        <v>195.66</v>
      </c>
      <c r="D8" s="4">
        <v>74763</v>
      </c>
      <c r="F8" s="3" t="s">
        <v>59</v>
      </c>
      <c r="G8" s="20">
        <v>32.245399999999997</v>
      </c>
      <c r="H8" s="21">
        <v>2.3428000000000001E-2</v>
      </c>
    </row>
    <row r="9" spans="1:9" x14ac:dyDescent="0.25">
      <c r="A9" s="3" t="s">
        <v>60</v>
      </c>
      <c r="B9" s="5">
        <v>619.66</v>
      </c>
      <c r="C9" s="5">
        <v>192.06</v>
      </c>
      <c r="D9" s="4">
        <v>74007</v>
      </c>
      <c r="F9" s="3" t="s">
        <v>60</v>
      </c>
      <c r="G9" s="20">
        <v>32.327100000000002</v>
      </c>
      <c r="H9" s="21">
        <v>2.3692999999999999E-2</v>
      </c>
    </row>
    <row r="10" spans="1:9" x14ac:dyDescent="0.25">
      <c r="A10" s="3" t="s">
        <v>61</v>
      </c>
      <c r="B10" s="5">
        <v>604.34</v>
      </c>
      <c r="C10" s="5">
        <v>188.34</v>
      </c>
      <c r="D10" s="4">
        <v>74843</v>
      </c>
      <c r="F10" s="3" t="s">
        <v>61</v>
      </c>
      <c r="G10" s="20">
        <v>32.265000000000001</v>
      </c>
      <c r="H10" s="21">
        <v>2.3737999999999999E-2</v>
      </c>
    </row>
    <row r="11" spans="1:9" x14ac:dyDescent="0.25">
      <c r="A11" s="3" t="s">
        <v>62</v>
      </c>
      <c r="B11" s="5">
        <v>587.17999999999995</v>
      </c>
      <c r="C11" s="5">
        <v>185.26</v>
      </c>
      <c r="D11" s="4">
        <v>74514</v>
      </c>
      <c r="F11" s="3" t="s">
        <v>62</v>
      </c>
      <c r="G11" s="20">
        <v>32.203200000000002</v>
      </c>
      <c r="H11" s="21">
        <v>2.3885E-2</v>
      </c>
    </row>
    <row r="12" spans="1:9" x14ac:dyDescent="0.25">
      <c r="A12" s="3" t="s">
        <v>63</v>
      </c>
      <c r="B12" s="5">
        <v>579.84</v>
      </c>
      <c r="C12" s="5">
        <v>183.92</v>
      </c>
      <c r="D12" s="4">
        <v>73921</v>
      </c>
      <c r="F12" s="3" t="s">
        <v>63</v>
      </c>
      <c r="G12" s="20">
        <v>32.148299999999999</v>
      </c>
      <c r="H12" s="21">
        <v>2.3907000000000001E-2</v>
      </c>
    </row>
    <row r="13" spans="1:9" x14ac:dyDescent="0.25">
      <c r="A13" s="3" t="s">
        <v>64</v>
      </c>
      <c r="B13" s="5">
        <v>585.17999999999995</v>
      </c>
      <c r="C13" s="5">
        <v>183.11</v>
      </c>
      <c r="D13" s="4">
        <v>74413</v>
      </c>
      <c r="F13" s="3" t="s">
        <v>64</v>
      </c>
      <c r="G13" s="20">
        <v>32.265799999999999</v>
      </c>
      <c r="H13" s="21">
        <v>2.3806000000000001E-2</v>
      </c>
    </row>
    <row r="14" spans="1:9" x14ac:dyDescent="0.25">
      <c r="A14" s="3" t="s">
        <v>65</v>
      </c>
      <c r="B14" s="5">
        <v>586.32000000000005</v>
      </c>
      <c r="C14" s="5">
        <v>184.63</v>
      </c>
      <c r="D14" s="4">
        <v>74950</v>
      </c>
      <c r="F14" s="3" t="s">
        <v>65</v>
      </c>
      <c r="G14" s="20">
        <v>32.321899999999999</v>
      </c>
      <c r="H14" s="21">
        <v>2.3781E-2</v>
      </c>
    </row>
    <row r="15" spans="1:9" x14ac:dyDescent="0.25">
      <c r="A15" s="3" t="s">
        <v>66</v>
      </c>
      <c r="B15" s="5">
        <v>606.57000000000005</v>
      </c>
      <c r="C15" s="5">
        <v>184.31</v>
      </c>
      <c r="D15" s="4">
        <v>77303</v>
      </c>
      <c r="F15" s="3" t="s">
        <v>66</v>
      </c>
      <c r="G15" s="20">
        <v>32.156100000000002</v>
      </c>
      <c r="H15" s="21">
        <v>2.3723999999999999E-2</v>
      </c>
    </row>
    <row r="16" spans="1:9" x14ac:dyDescent="0.25">
      <c r="A16" s="3" t="s">
        <v>67</v>
      </c>
      <c r="B16" s="5">
        <v>602.17999999999995</v>
      </c>
      <c r="C16" s="5">
        <v>181.04</v>
      </c>
      <c r="D16" s="4">
        <v>78945</v>
      </c>
      <c r="F16" s="3" t="s">
        <v>67</v>
      </c>
      <c r="G16" s="20">
        <v>32.156300000000002</v>
      </c>
      <c r="H16" s="21">
        <v>2.3671999999999999E-2</v>
      </c>
    </row>
    <row r="17" spans="1:8" x14ac:dyDescent="0.25">
      <c r="A17" s="3" t="s">
        <v>68</v>
      </c>
      <c r="B17" s="5">
        <v>597.39</v>
      </c>
      <c r="C17" s="5">
        <v>179.54</v>
      </c>
      <c r="D17" s="4">
        <v>76439</v>
      </c>
      <c r="F17" s="3" t="s">
        <v>68</v>
      </c>
      <c r="G17" s="20">
        <v>32.240900000000003</v>
      </c>
      <c r="H17" s="21">
        <v>2.3637999999999999E-2</v>
      </c>
    </row>
    <row r="18" spans="1:8" x14ac:dyDescent="0.25">
      <c r="A18" s="3" t="s">
        <v>69</v>
      </c>
      <c r="B18" s="5">
        <v>573.29999999999995</v>
      </c>
      <c r="C18" s="5">
        <v>179.58</v>
      </c>
      <c r="D18" s="4">
        <v>74103</v>
      </c>
      <c r="F18" s="3" t="s">
        <v>69</v>
      </c>
      <c r="G18" s="20">
        <v>32.260599999999997</v>
      </c>
      <c r="H18" s="21">
        <v>2.3682999999999999E-2</v>
      </c>
    </row>
    <row r="19" spans="1:8" x14ac:dyDescent="0.25">
      <c r="A19" s="3" t="s">
        <v>70</v>
      </c>
      <c r="B19" s="5">
        <v>582.76</v>
      </c>
      <c r="C19" s="5">
        <v>186.28</v>
      </c>
      <c r="D19" s="4">
        <v>74729</v>
      </c>
      <c r="F19" s="3" t="s">
        <v>70</v>
      </c>
      <c r="G19" s="20">
        <v>32.465899999999998</v>
      </c>
      <c r="H19" s="21">
        <v>2.3747000000000001E-2</v>
      </c>
    </row>
    <row r="20" spans="1:8" x14ac:dyDescent="0.25">
      <c r="A20" s="3" t="s">
        <v>71</v>
      </c>
      <c r="B20" s="5">
        <v>570.23</v>
      </c>
      <c r="C20" s="5">
        <v>186.54</v>
      </c>
      <c r="D20" s="4">
        <v>75727</v>
      </c>
      <c r="F20" s="3" t="s">
        <v>71</v>
      </c>
      <c r="G20" s="20">
        <v>32.392600000000002</v>
      </c>
      <c r="H20" s="21">
        <v>2.3897000000000002E-2</v>
      </c>
    </row>
    <row r="21" spans="1:8" x14ac:dyDescent="0.25">
      <c r="A21" s="3" t="s">
        <v>72</v>
      </c>
      <c r="B21" s="5">
        <v>567.71</v>
      </c>
      <c r="C21" s="5">
        <v>186.47</v>
      </c>
      <c r="D21" s="4">
        <v>77867</v>
      </c>
      <c r="F21" s="3" t="s">
        <v>72</v>
      </c>
      <c r="G21" s="20">
        <v>32.407699999999998</v>
      </c>
      <c r="H21" s="21">
        <v>2.3923E-2</v>
      </c>
    </row>
    <row r="22" spans="1:8" x14ac:dyDescent="0.25">
      <c r="A22" s="3" t="s">
        <v>73</v>
      </c>
      <c r="B22" s="5">
        <v>582.72</v>
      </c>
      <c r="C22" s="5">
        <v>190.18</v>
      </c>
      <c r="D22" s="4">
        <v>77123</v>
      </c>
      <c r="F22" s="3" t="s">
        <v>73</v>
      </c>
      <c r="G22" s="20">
        <v>32.290799999999997</v>
      </c>
      <c r="H22" s="21">
        <v>2.3893999999999999E-2</v>
      </c>
    </row>
    <row r="23" spans="1:8" x14ac:dyDescent="0.25">
      <c r="A23" s="3" t="s">
        <v>74</v>
      </c>
      <c r="B23" s="5">
        <v>582.55999999999995</v>
      </c>
      <c r="C23" s="5">
        <v>192.24</v>
      </c>
      <c r="D23" s="4">
        <v>76975</v>
      </c>
      <c r="F23" s="3" t="s">
        <v>74</v>
      </c>
      <c r="G23" s="20">
        <v>32.314700000000002</v>
      </c>
      <c r="H23" s="21">
        <v>2.3746E-2</v>
      </c>
    </row>
    <row r="24" spans="1:8" x14ac:dyDescent="0.25">
      <c r="A24" s="3" t="s">
        <v>75</v>
      </c>
      <c r="B24" s="5">
        <v>575.96</v>
      </c>
      <c r="C24" s="5">
        <v>189.24</v>
      </c>
      <c r="D24" s="4">
        <v>75577</v>
      </c>
      <c r="F24" s="3" t="s">
        <v>75</v>
      </c>
      <c r="G24" s="20">
        <v>32.2804</v>
      </c>
      <c r="H24" s="21">
        <v>2.3747999999999998E-2</v>
      </c>
    </row>
    <row r="25" spans="1:8" x14ac:dyDescent="0.25">
      <c r="A25" s="3" t="s">
        <v>76</v>
      </c>
      <c r="B25" s="5">
        <v>568.73</v>
      </c>
      <c r="C25" s="5">
        <v>187.23</v>
      </c>
      <c r="D25" s="4">
        <v>77128</v>
      </c>
      <c r="F25" s="3" t="s">
        <v>76</v>
      </c>
      <c r="G25" s="20">
        <v>32.208399999999997</v>
      </c>
      <c r="H25" s="21">
        <v>2.3882E-2</v>
      </c>
    </row>
    <row r="26" spans="1:8" x14ac:dyDescent="0.25">
      <c r="A26" s="3" t="s">
        <v>77</v>
      </c>
      <c r="B26" s="5">
        <v>560.14</v>
      </c>
      <c r="C26" s="5">
        <v>189.41</v>
      </c>
      <c r="D26" s="4">
        <v>77842</v>
      </c>
      <c r="F26" s="3" t="s">
        <v>77</v>
      </c>
      <c r="G26" s="20">
        <v>32.369199999999999</v>
      </c>
      <c r="H26" s="21">
        <v>2.3751999999999999E-2</v>
      </c>
    </row>
    <row r="27" spans="1:8" x14ac:dyDescent="0.25">
      <c r="A27" s="3" t="s">
        <v>78</v>
      </c>
      <c r="B27" s="5">
        <v>562.16</v>
      </c>
      <c r="C27" s="5">
        <v>187.01</v>
      </c>
      <c r="D27" s="4">
        <v>76949</v>
      </c>
      <c r="F27" s="3" t="s">
        <v>78</v>
      </c>
      <c r="G27" s="20">
        <v>32.181399999999996</v>
      </c>
      <c r="H27" s="21">
        <v>2.3619000000000001E-2</v>
      </c>
    </row>
    <row r="28" spans="1:8" x14ac:dyDescent="0.25">
      <c r="A28" s="3" t="s">
        <v>79</v>
      </c>
      <c r="B28" s="5">
        <v>585.26</v>
      </c>
      <c r="C28" s="5">
        <v>189.47</v>
      </c>
      <c r="D28" s="4">
        <v>78589</v>
      </c>
      <c r="F28" s="3" t="s">
        <v>79</v>
      </c>
      <c r="G28" s="20">
        <v>32.311999999999998</v>
      </c>
      <c r="H28" s="21">
        <v>2.3505000000000002E-2</v>
      </c>
    </row>
    <row r="29" spans="1:8" x14ac:dyDescent="0.25">
      <c r="A29" s="3" t="s">
        <v>80</v>
      </c>
      <c r="B29" s="5">
        <v>593.54999999999995</v>
      </c>
      <c r="C29" s="5">
        <v>193.76</v>
      </c>
      <c r="D29" s="4">
        <v>78775</v>
      </c>
      <c r="F29" s="3" t="s">
        <v>80</v>
      </c>
      <c r="G29" s="20">
        <v>32.289499999999997</v>
      </c>
      <c r="H29" s="21">
        <v>2.3636000000000001E-2</v>
      </c>
    </row>
    <row r="30" spans="1:8" x14ac:dyDescent="0.25">
      <c r="A30" s="3" t="s">
        <v>81</v>
      </c>
      <c r="B30" s="5">
        <v>586.82000000000005</v>
      </c>
      <c r="C30" s="5">
        <v>193.06</v>
      </c>
      <c r="D30" s="4">
        <v>78159</v>
      </c>
      <c r="F30" s="3" t="s">
        <v>81</v>
      </c>
      <c r="G30" s="20">
        <v>32.356999999999999</v>
      </c>
      <c r="H30" s="21">
        <v>2.3727999999999999E-2</v>
      </c>
    </row>
    <row r="31" spans="1:8" x14ac:dyDescent="0.25">
      <c r="A31" s="3" t="s">
        <v>82</v>
      </c>
      <c r="B31" s="5">
        <v>596.65</v>
      </c>
      <c r="C31" s="5">
        <v>194.66</v>
      </c>
      <c r="D31" s="4">
        <v>78934</v>
      </c>
      <c r="F31" s="3" t="s">
        <v>82</v>
      </c>
      <c r="G31" s="20">
        <v>32.366100000000003</v>
      </c>
      <c r="H31" s="21">
        <v>2.3942999999999999E-2</v>
      </c>
    </row>
    <row r="32" spans="1:8" x14ac:dyDescent="0.25">
      <c r="A32" s="3" t="s">
        <v>83</v>
      </c>
      <c r="B32" s="5">
        <v>598.86</v>
      </c>
      <c r="C32" s="5">
        <v>199.1</v>
      </c>
      <c r="D32" s="4">
        <v>78481</v>
      </c>
      <c r="F32" s="3" t="s">
        <v>83</v>
      </c>
      <c r="G32" s="20">
        <v>32.323799999999999</v>
      </c>
      <c r="H32" s="21">
        <v>2.3827999999999998E-2</v>
      </c>
    </row>
    <row r="33" spans="1:8" x14ac:dyDescent="0.25">
      <c r="A33" s="3" t="s">
        <v>84</v>
      </c>
      <c r="B33" s="5">
        <v>593.63</v>
      </c>
      <c r="C33" s="5">
        <v>201.77</v>
      </c>
      <c r="D33" s="4">
        <v>78442</v>
      </c>
      <c r="F33" s="3" t="s">
        <v>84</v>
      </c>
      <c r="G33" s="20">
        <v>32.335599999999999</v>
      </c>
      <c r="H33" s="21">
        <v>2.4101999999999998E-2</v>
      </c>
    </row>
    <row r="34" spans="1:8" x14ac:dyDescent="0.25">
      <c r="A34" s="3" t="s">
        <v>85</v>
      </c>
      <c r="B34" s="5">
        <v>598.41</v>
      </c>
      <c r="C34" s="5">
        <v>199.79</v>
      </c>
      <c r="D34" s="4">
        <v>78441</v>
      </c>
      <c r="F34" s="3" t="s">
        <v>85</v>
      </c>
      <c r="G34" s="20">
        <v>32.491700000000002</v>
      </c>
      <c r="H34" s="21">
        <v>2.4077000000000001E-2</v>
      </c>
    </row>
    <row r="35" spans="1:8" x14ac:dyDescent="0.25">
      <c r="A35" s="3" t="s">
        <v>86</v>
      </c>
      <c r="B35" s="5">
        <v>604.09</v>
      </c>
      <c r="C35" s="5">
        <v>195.88</v>
      </c>
      <c r="D35" s="4">
        <v>77107</v>
      </c>
      <c r="F35" s="3" t="s">
        <v>86</v>
      </c>
      <c r="G35" s="20">
        <v>32.334600000000002</v>
      </c>
      <c r="H35" s="21">
        <v>2.4083E-2</v>
      </c>
    </row>
    <row r="36" spans="1:8" x14ac:dyDescent="0.25">
      <c r="A36" s="3" t="s">
        <v>87</v>
      </c>
      <c r="B36" s="5">
        <v>609.71</v>
      </c>
      <c r="C36" s="5">
        <v>204.2</v>
      </c>
      <c r="D36" s="4">
        <v>78710</v>
      </c>
      <c r="F36" s="3" t="s">
        <v>87</v>
      </c>
      <c r="G36" s="20">
        <v>32.385599999999997</v>
      </c>
      <c r="H36" s="21">
        <v>2.4143999999999999E-2</v>
      </c>
    </row>
    <row r="37" spans="1:8" x14ac:dyDescent="0.25">
      <c r="A37" s="3" t="s">
        <v>88</v>
      </c>
      <c r="B37" s="5">
        <v>609.48</v>
      </c>
      <c r="C37" s="5">
        <v>201.34</v>
      </c>
      <c r="D37" s="4">
        <v>79147</v>
      </c>
      <c r="F37" s="3" t="s">
        <v>88</v>
      </c>
      <c r="G37" s="20">
        <v>32.375799999999998</v>
      </c>
      <c r="H37" s="21">
        <v>2.4045E-2</v>
      </c>
    </row>
    <row r="38" spans="1:8" x14ac:dyDescent="0.25">
      <c r="A38" s="3" t="s">
        <v>89</v>
      </c>
      <c r="B38" s="5">
        <v>580.20000000000005</v>
      </c>
      <c r="C38" s="5">
        <v>198.61</v>
      </c>
      <c r="D38" s="4">
        <v>77767</v>
      </c>
      <c r="F38" s="3" t="s">
        <v>89</v>
      </c>
      <c r="G38" s="20">
        <v>32.324199999999998</v>
      </c>
      <c r="H38" s="21">
        <v>2.4084999999999999E-2</v>
      </c>
    </row>
    <row r="39" spans="1:8" x14ac:dyDescent="0.25">
      <c r="A39" s="3" t="s">
        <v>90</v>
      </c>
      <c r="B39" s="5">
        <v>574.66</v>
      </c>
      <c r="C39" s="5">
        <v>206.24</v>
      </c>
      <c r="D39" s="4">
        <v>74296</v>
      </c>
      <c r="F39" s="3" t="s">
        <v>90</v>
      </c>
      <c r="G39" s="20">
        <v>32.461500000000001</v>
      </c>
      <c r="H39" s="21">
        <v>2.4187E-2</v>
      </c>
    </row>
    <row r="40" spans="1:8" x14ac:dyDescent="0.25">
      <c r="A40" s="3" t="s">
        <v>91</v>
      </c>
      <c r="B40" s="5">
        <v>574.87</v>
      </c>
      <c r="C40" s="5">
        <v>206.61</v>
      </c>
      <c r="D40" s="4">
        <v>75094</v>
      </c>
      <c r="F40" s="3" t="s">
        <v>91</v>
      </c>
      <c r="G40" s="20">
        <v>32.438099999999999</v>
      </c>
      <c r="H40" s="21">
        <v>2.4166E-2</v>
      </c>
    </row>
    <row r="41" spans="1:8" x14ac:dyDescent="0.25">
      <c r="A41" s="3" t="s">
        <v>92</v>
      </c>
      <c r="B41" s="5">
        <v>557.19000000000005</v>
      </c>
      <c r="C41" s="5">
        <v>203.34</v>
      </c>
      <c r="D41" s="4">
        <v>72154</v>
      </c>
      <c r="F41" s="3" t="s">
        <v>92</v>
      </c>
      <c r="G41" s="20">
        <v>32.555</v>
      </c>
      <c r="H41" s="21">
        <v>2.4271999999999998E-2</v>
      </c>
    </row>
    <row r="42" spans="1:8" x14ac:dyDescent="0.25">
      <c r="A42" s="3" t="s">
        <v>93</v>
      </c>
      <c r="B42" s="5">
        <v>556.21</v>
      </c>
      <c r="C42" s="5">
        <v>204.02</v>
      </c>
      <c r="D42" s="4">
        <v>72462</v>
      </c>
      <c r="F42" s="3" t="s">
        <v>93</v>
      </c>
      <c r="G42" s="20">
        <v>32.604599999999998</v>
      </c>
      <c r="H42" s="21">
        <v>2.4053000000000001E-2</v>
      </c>
    </row>
    <row r="43" spans="1:8" x14ac:dyDescent="0.25">
      <c r="A43" s="3" t="s">
        <v>94</v>
      </c>
      <c r="B43" s="5">
        <v>554.46</v>
      </c>
      <c r="C43" s="5">
        <v>204.6</v>
      </c>
      <c r="D43" s="4">
        <v>72766</v>
      </c>
      <c r="F43" s="3" t="s">
        <v>94</v>
      </c>
      <c r="G43" s="20">
        <v>32.4681</v>
      </c>
      <c r="H43" s="21">
        <v>2.4125000000000001E-2</v>
      </c>
    </row>
    <row r="44" spans="1:8" x14ac:dyDescent="0.25">
      <c r="A44" s="3" t="s">
        <v>95</v>
      </c>
      <c r="B44" s="5">
        <v>559.41999999999996</v>
      </c>
      <c r="C44" s="5">
        <v>205.28</v>
      </c>
      <c r="D44" s="4">
        <v>70236</v>
      </c>
      <c r="F44" s="3" t="s">
        <v>95</v>
      </c>
      <c r="G44" s="20">
        <v>32.580599999999997</v>
      </c>
      <c r="H44" s="21">
        <v>2.4171000000000002E-2</v>
      </c>
    </row>
    <row r="45" spans="1:8" x14ac:dyDescent="0.25">
      <c r="A45" s="3" t="s">
        <v>96</v>
      </c>
      <c r="B45" s="5">
        <v>550.82000000000005</v>
      </c>
      <c r="C45" s="5">
        <v>205.74</v>
      </c>
      <c r="D45" s="4">
        <v>68773</v>
      </c>
      <c r="F45" s="3" t="s">
        <v>96</v>
      </c>
      <c r="G45" s="20">
        <v>32.591999999999999</v>
      </c>
      <c r="H45" s="21">
        <v>2.4170000000000001E-2</v>
      </c>
    </row>
    <row r="46" spans="1:8" x14ac:dyDescent="0.25">
      <c r="A46" s="3" t="s">
        <v>97</v>
      </c>
      <c r="B46" s="5">
        <v>542.52</v>
      </c>
      <c r="C46" s="5">
        <v>205.4</v>
      </c>
      <c r="D46" s="4">
        <v>68536</v>
      </c>
      <c r="F46" s="3" t="s">
        <v>97</v>
      </c>
      <c r="G46" s="20">
        <v>32.628999999999998</v>
      </c>
      <c r="H46" s="21">
        <v>2.4031E-2</v>
      </c>
    </row>
    <row r="47" spans="1:8" x14ac:dyDescent="0.25">
      <c r="A47" s="3" t="s">
        <v>98</v>
      </c>
      <c r="B47" s="5">
        <v>552.75</v>
      </c>
      <c r="C47" s="5">
        <v>208.36</v>
      </c>
      <c r="D47" s="4">
        <v>68343</v>
      </c>
      <c r="F47" s="3" t="s">
        <v>98</v>
      </c>
      <c r="G47" s="20">
        <v>32.560699999999997</v>
      </c>
      <c r="H47" s="21">
        <v>2.4087000000000001E-2</v>
      </c>
    </row>
    <row r="48" spans="1:8" x14ac:dyDescent="0.25">
      <c r="A48" s="3" t="s">
        <v>99</v>
      </c>
      <c r="B48" s="5">
        <v>554.46</v>
      </c>
      <c r="C48" s="5">
        <v>198.64</v>
      </c>
      <c r="D48" s="4">
        <v>66563</v>
      </c>
      <c r="F48" s="3" t="s">
        <v>99</v>
      </c>
      <c r="G48" s="20">
        <v>32.5321</v>
      </c>
      <c r="H48" s="21">
        <v>2.4070999999999999E-2</v>
      </c>
    </row>
    <row r="49" spans="1:8" x14ac:dyDescent="0.25">
      <c r="A49" s="3" t="s">
        <v>100</v>
      </c>
      <c r="B49" s="5">
        <v>553.27</v>
      </c>
      <c r="C49" s="5">
        <v>190.64</v>
      </c>
      <c r="D49" s="4">
        <v>65526</v>
      </c>
      <c r="F49" s="3" t="s">
        <v>100</v>
      </c>
      <c r="G49" s="20">
        <v>32.5289</v>
      </c>
      <c r="H49" s="21">
        <v>2.4105999999999999E-2</v>
      </c>
    </row>
    <row r="50" spans="1:8" x14ac:dyDescent="0.25">
      <c r="A50" s="3" t="s">
        <v>101</v>
      </c>
      <c r="B50" s="5">
        <v>556.51</v>
      </c>
      <c r="C50" s="5">
        <v>194.46</v>
      </c>
      <c r="D50" s="4">
        <v>66455</v>
      </c>
      <c r="F50" s="3" t="s">
        <v>101</v>
      </c>
      <c r="G50" s="20">
        <v>32.4756</v>
      </c>
      <c r="H50" s="21">
        <v>2.4001999999999999E-2</v>
      </c>
    </row>
    <row r="51" spans="1:8" x14ac:dyDescent="0.25">
      <c r="A51" s="3" t="s">
        <v>102</v>
      </c>
      <c r="B51" s="5">
        <v>578.34</v>
      </c>
      <c r="C51" s="5">
        <v>201.81</v>
      </c>
      <c r="D51" s="4">
        <v>65128</v>
      </c>
      <c r="F51" s="3" t="s">
        <v>102</v>
      </c>
      <c r="G51" s="20">
        <v>32.505699999999997</v>
      </c>
      <c r="H51" s="21">
        <v>2.3837000000000001E-2</v>
      </c>
    </row>
    <row r="52" spans="1:8" x14ac:dyDescent="0.25">
      <c r="A52" s="3" t="s">
        <v>103</v>
      </c>
      <c r="B52" s="5">
        <v>576.19000000000005</v>
      </c>
      <c r="C52" s="5">
        <v>201.17</v>
      </c>
      <c r="D52" s="4">
        <v>65191</v>
      </c>
      <c r="F52" s="3" t="s">
        <v>103</v>
      </c>
      <c r="G52" s="20">
        <v>32.489100000000001</v>
      </c>
      <c r="H52" s="21">
        <v>2.3702000000000001E-2</v>
      </c>
    </row>
    <row r="53" spans="1:8" x14ac:dyDescent="0.25">
      <c r="A53" s="3" t="s">
        <v>104</v>
      </c>
      <c r="B53" s="5">
        <v>570.09</v>
      </c>
      <c r="C53" s="5">
        <v>202.8</v>
      </c>
      <c r="D53" s="4">
        <v>66253</v>
      </c>
      <c r="F53" s="3" t="s">
        <v>104</v>
      </c>
      <c r="G53" s="20">
        <v>32.594200000000001</v>
      </c>
      <c r="H53" s="21">
        <v>2.3928999999999999E-2</v>
      </c>
    </row>
    <row r="54" spans="1:8" x14ac:dyDescent="0.25">
      <c r="A54" s="3" t="s">
        <v>105</v>
      </c>
      <c r="B54" s="5">
        <v>553.41</v>
      </c>
      <c r="C54" s="5">
        <v>204.57</v>
      </c>
      <c r="D54" s="4">
        <v>65177</v>
      </c>
      <c r="F54" s="3" t="s">
        <v>105</v>
      </c>
      <c r="G54" s="20">
        <v>32.480200000000004</v>
      </c>
      <c r="H54" s="21">
        <v>2.4017E-2</v>
      </c>
    </row>
    <row r="55" spans="1:8" x14ac:dyDescent="0.25">
      <c r="A55" s="3" t="s">
        <v>106</v>
      </c>
      <c r="B55" s="5">
        <v>565.67999999999995</v>
      </c>
      <c r="C55" s="5">
        <v>207.9</v>
      </c>
      <c r="D55" s="4">
        <v>65475</v>
      </c>
      <c r="F55" s="3" t="s">
        <v>106</v>
      </c>
      <c r="G55" s="20">
        <v>32.432200000000002</v>
      </c>
      <c r="H55" s="21">
        <v>2.3958E-2</v>
      </c>
    </row>
    <row r="56" spans="1:8" x14ac:dyDescent="0.25">
      <c r="A56" s="3" t="s">
        <v>107</v>
      </c>
      <c r="B56" s="5">
        <v>589.1</v>
      </c>
      <c r="C56" s="5">
        <v>213.53</v>
      </c>
      <c r="D56" s="4">
        <v>66353</v>
      </c>
      <c r="F56" s="3" t="s">
        <v>107</v>
      </c>
      <c r="G56" s="20">
        <v>32.3874</v>
      </c>
      <c r="H56" s="21">
        <v>2.3993E-2</v>
      </c>
    </row>
    <row r="57" spans="1:8" x14ac:dyDescent="0.25">
      <c r="A57" s="3" t="s">
        <v>108</v>
      </c>
      <c r="B57" s="5">
        <v>592.51</v>
      </c>
      <c r="C57" s="5">
        <v>223.02</v>
      </c>
      <c r="D57" s="4">
        <v>69110</v>
      </c>
      <c r="F57" s="3" t="s">
        <v>108</v>
      </c>
      <c r="G57" s="20">
        <v>32.448500000000003</v>
      </c>
      <c r="H57" s="21">
        <v>2.3925999999999999E-2</v>
      </c>
    </row>
    <row r="58" spans="1:8" x14ac:dyDescent="0.25">
      <c r="A58" s="3" t="s">
        <v>109</v>
      </c>
      <c r="B58" s="5">
        <v>604.36</v>
      </c>
      <c r="C58" s="5">
        <v>225.16</v>
      </c>
      <c r="D58" s="4">
        <v>70331</v>
      </c>
      <c r="F58" s="3" t="s">
        <v>109</v>
      </c>
      <c r="G58" s="20">
        <v>32.387099999999997</v>
      </c>
      <c r="H58" s="21">
        <v>2.4032000000000001E-2</v>
      </c>
    </row>
    <row r="59" spans="1:8" x14ac:dyDescent="0.25">
      <c r="A59" s="3" t="s">
        <v>110</v>
      </c>
      <c r="B59" s="5">
        <v>606.64</v>
      </c>
      <c r="C59" s="5">
        <v>219.66</v>
      </c>
      <c r="D59" s="4">
        <v>71354</v>
      </c>
      <c r="F59" s="3" t="s">
        <v>110</v>
      </c>
      <c r="G59" s="20">
        <v>32.522500000000001</v>
      </c>
      <c r="H59" s="21">
        <v>2.3931000000000001E-2</v>
      </c>
    </row>
    <row r="60" spans="1:8" x14ac:dyDescent="0.25">
      <c r="A60" s="3" t="s">
        <v>111</v>
      </c>
      <c r="B60" s="5">
        <v>612.17999999999995</v>
      </c>
      <c r="C60" s="5">
        <v>215.26</v>
      </c>
      <c r="D60" s="4">
        <v>70207</v>
      </c>
      <c r="F60" s="3" t="s">
        <v>111</v>
      </c>
      <c r="G60" s="20">
        <v>32.490699999999997</v>
      </c>
      <c r="H60" s="21">
        <v>2.4028999999999998E-2</v>
      </c>
    </row>
    <row r="61" spans="1:8" x14ac:dyDescent="0.25">
      <c r="A61" s="3" t="s">
        <v>112</v>
      </c>
      <c r="B61" s="5">
        <v>609.64</v>
      </c>
      <c r="C61" s="5">
        <v>216.33</v>
      </c>
      <c r="D61" s="4">
        <v>72885</v>
      </c>
      <c r="F61" s="3" t="s">
        <v>112</v>
      </c>
      <c r="G61" s="20">
        <v>32.696300000000001</v>
      </c>
      <c r="H61" s="21">
        <v>2.4052E-2</v>
      </c>
    </row>
    <row r="62" spans="1:8" x14ac:dyDescent="0.25">
      <c r="A62" s="3" t="s">
        <v>113</v>
      </c>
      <c r="B62" s="5">
        <v>610.35</v>
      </c>
      <c r="C62" s="5">
        <v>209.4</v>
      </c>
      <c r="D62" s="4">
        <v>73420</v>
      </c>
      <c r="F62" s="3" t="s">
        <v>113</v>
      </c>
      <c r="G62" s="20">
        <v>32.745199999999997</v>
      </c>
      <c r="H62" s="21">
        <v>2.3966999999999999E-2</v>
      </c>
    </row>
    <row r="63" spans="1:8" x14ac:dyDescent="0.25">
      <c r="A63" s="3" t="s">
        <v>114</v>
      </c>
      <c r="B63" s="5">
        <v>608.79</v>
      </c>
      <c r="C63" s="5">
        <v>203.19</v>
      </c>
      <c r="D63" s="4">
        <v>69489</v>
      </c>
      <c r="F63" s="3" t="s">
        <v>114</v>
      </c>
      <c r="G63" s="20">
        <v>32.847499999999997</v>
      </c>
      <c r="H63" s="21">
        <v>2.4015999999999999E-2</v>
      </c>
    </row>
    <row r="64" spans="1:8" x14ac:dyDescent="0.25">
      <c r="A64" s="3" t="s">
        <v>115</v>
      </c>
      <c r="B64" s="5">
        <v>596.44000000000005</v>
      </c>
      <c r="C64" s="5">
        <v>203.48</v>
      </c>
      <c r="D64" s="4">
        <v>68195</v>
      </c>
      <c r="F64" s="3" t="s">
        <v>115</v>
      </c>
      <c r="G64" s="20">
        <v>32.813099999999999</v>
      </c>
      <c r="H64" s="21">
        <v>2.4017E-2</v>
      </c>
    </row>
    <row r="65" spans="1:8" x14ac:dyDescent="0.25">
      <c r="A65" s="3" t="s">
        <v>116</v>
      </c>
      <c r="B65" s="5">
        <v>604.12</v>
      </c>
      <c r="C65" s="5">
        <v>203.3</v>
      </c>
      <c r="D65" s="4">
        <v>68612</v>
      </c>
      <c r="F65" s="3" t="s">
        <v>116</v>
      </c>
      <c r="G65" s="20">
        <v>33.035499999999999</v>
      </c>
      <c r="H65" s="21">
        <v>2.4166E-2</v>
      </c>
    </row>
    <row r="66" spans="1:8" x14ac:dyDescent="0.25">
      <c r="A66" s="3" t="s">
        <v>117</v>
      </c>
      <c r="B66" s="5">
        <v>613.16</v>
      </c>
      <c r="C66" s="5">
        <v>206.26</v>
      </c>
      <c r="D66" s="4">
        <v>67488</v>
      </c>
      <c r="F66" s="3" t="s">
        <v>117</v>
      </c>
      <c r="G66" s="20">
        <v>33.189500000000002</v>
      </c>
      <c r="H66" s="21">
        <v>2.4081000000000002E-2</v>
      </c>
    </row>
    <row r="67" spans="1:8" x14ac:dyDescent="0.25">
      <c r="A67" s="3" t="s">
        <v>118</v>
      </c>
      <c r="B67" s="5">
        <v>637.78</v>
      </c>
      <c r="C67" s="5">
        <v>201.6</v>
      </c>
      <c r="D67" s="4">
        <v>67339</v>
      </c>
      <c r="F67" s="3" t="s">
        <v>118</v>
      </c>
      <c r="G67" s="20">
        <v>33.069000000000003</v>
      </c>
      <c r="H67" s="21">
        <v>2.393E-2</v>
      </c>
    </row>
    <row r="68" spans="1:8" x14ac:dyDescent="0.25">
      <c r="A68" s="3" t="s">
        <v>119</v>
      </c>
      <c r="B68" s="5">
        <v>625.38</v>
      </c>
      <c r="C68" s="5">
        <v>204.77</v>
      </c>
      <c r="D68" s="4">
        <v>65524</v>
      </c>
      <c r="F68" s="3" t="s">
        <v>119</v>
      </c>
      <c r="G68" s="20">
        <v>33.134099999999997</v>
      </c>
      <c r="H68" s="21">
        <v>2.3819E-2</v>
      </c>
    </row>
    <row r="69" spans="1:8" x14ac:dyDescent="0.25">
      <c r="A69" s="3" t="s">
        <v>120</v>
      </c>
      <c r="B69" s="5">
        <v>613.07000000000005</v>
      </c>
      <c r="C69" s="5">
        <v>199.83</v>
      </c>
      <c r="D69" s="4">
        <v>63117</v>
      </c>
      <c r="F69" s="3" t="s">
        <v>120</v>
      </c>
      <c r="G69" s="20">
        <v>33.031199999999998</v>
      </c>
      <c r="H69" s="21">
        <v>2.3932999999999999E-2</v>
      </c>
    </row>
    <row r="70" spans="1:8" x14ac:dyDescent="0.25">
      <c r="A70" s="3" t="s">
        <v>121</v>
      </c>
      <c r="B70" s="5">
        <v>606.57000000000005</v>
      </c>
      <c r="C70" s="5">
        <v>199.97</v>
      </c>
      <c r="D70" s="4">
        <v>61753</v>
      </c>
      <c r="F70" s="3" t="s">
        <v>121</v>
      </c>
      <c r="G70" s="20">
        <v>32.849699999999999</v>
      </c>
      <c r="H70" s="21">
        <v>2.3984999999999999E-2</v>
      </c>
    </row>
    <row r="71" spans="1:8" x14ac:dyDescent="0.25">
      <c r="A71" s="3" t="s">
        <v>122</v>
      </c>
      <c r="B71" s="5">
        <v>586.83000000000004</v>
      </c>
      <c r="C71" s="5">
        <v>197.33</v>
      </c>
      <c r="D71" s="4">
        <v>61208</v>
      </c>
      <c r="F71" s="3" t="s">
        <v>122</v>
      </c>
      <c r="G71" s="20">
        <v>32.731200000000001</v>
      </c>
      <c r="H71" s="21">
        <v>2.3997999999999998E-2</v>
      </c>
    </row>
    <row r="72" spans="1:8" x14ac:dyDescent="0.25">
      <c r="A72" s="3" t="s">
        <v>123</v>
      </c>
      <c r="B72" s="5">
        <v>595.54</v>
      </c>
      <c r="C72" s="5">
        <v>195.43</v>
      </c>
      <c r="D72" s="4">
        <v>60983</v>
      </c>
      <c r="F72" s="3" t="s">
        <v>123</v>
      </c>
      <c r="G72" s="20">
        <v>32.966700000000003</v>
      </c>
      <c r="H72" s="21">
        <v>2.4032999999999999E-2</v>
      </c>
    </row>
    <row r="73" spans="1:8" x14ac:dyDescent="0.25">
      <c r="A73" s="3" t="s">
        <v>124</v>
      </c>
      <c r="B73" s="5">
        <v>606.75</v>
      </c>
      <c r="C73" s="5">
        <v>193.14</v>
      </c>
      <c r="D73" s="4">
        <v>60889</v>
      </c>
      <c r="F73" s="3" t="s">
        <v>124</v>
      </c>
      <c r="G73" s="20">
        <v>32.942700000000002</v>
      </c>
      <c r="H73" s="21">
        <v>2.4014000000000001E-2</v>
      </c>
    </row>
    <row r="74" spans="1:8" x14ac:dyDescent="0.25">
      <c r="A74" s="3" t="s">
        <v>125</v>
      </c>
      <c r="B74" s="5">
        <v>602.71</v>
      </c>
      <c r="C74" s="5">
        <v>188.12</v>
      </c>
      <c r="D74" s="4">
        <v>60333</v>
      </c>
      <c r="F74" s="3" t="s">
        <v>125</v>
      </c>
      <c r="G74" s="20">
        <v>32.9221</v>
      </c>
      <c r="H74" s="21">
        <v>2.3963999999999999E-2</v>
      </c>
    </row>
    <row r="75" spans="1:8" x14ac:dyDescent="0.25">
      <c r="A75" s="3" t="s">
        <v>126</v>
      </c>
      <c r="B75" s="5">
        <v>616.72</v>
      </c>
      <c r="C75" s="5">
        <v>196.78</v>
      </c>
      <c r="D75" s="4">
        <v>59302</v>
      </c>
      <c r="F75" s="3" t="s">
        <v>126</v>
      </c>
      <c r="G75" s="20">
        <v>32.758000000000003</v>
      </c>
      <c r="H75" s="21">
        <v>2.3882E-2</v>
      </c>
    </row>
    <row r="76" spans="1:8" x14ac:dyDescent="0.25">
      <c r="A76" s="3" t="s">
        <v>127</v>
      </c>
      <c r="B76" s="5">
        <v>628.66999999999996</v>
      </c>
      <c r="C76" s="5">
        <v>201.68</v>
      </c>
      <c r="D76" s="4">
        <v>61373</v>
      </c>
      <c r="F76" s="3" t="s">
        <v>127</v>
      </c>
      <c r="G76" s="20">
        <v>32.895099999999999</v>
      </c>
      <c r="H76" s="21">
        <v>2.4004000000000001E-2</v>
      </c>
    </row>
    <row r="77" spans="1:8" x14ac:dyDescent="0.25">
      <c r="A77" s="3" t="s">
        <v>128</v>
      </c>
      <c r="B77" s="5">
        <v>623.6</v>
      </c>
      <c r="C77" s="5">
        <v>202.4</v>
      </c>
      <c r="D77" s="4">
        <v>60557</v>
      </c>
      <c r="F77" s="3" t="s">
        <v>128</v>
      </c>
      <c r="G77" s="20">
        <v>32.959899999999998</v>
      </c>
      <c r="H77" s="21">
        <v>2.4001999999999999E-2</v>
      </c>
    </row>
    <row r="78" spans="1:8" x14ac:dyDescent="0.25">
      <c r="A78" s="3" t="s">
        <v>129</v>
      </c>
      <c r="B78" s="5">
        <v>631.03</v>
      </c>
      <c r="C78" s="5">
        <v>207.34</v>
      </c>
      <c r="D78" s="4">
        <v>60677</v>
      </c>
      <c r="F78" s="3" t="s">
        <v>129</v>
      </c>
      <c r="G78" s="20">
        <v>33.024700000000003</v>
      </c>
      <c r="H78" s="21">
        <v>2.4028999999999998E-2</v>
      </c>
    </row>
    <row r="79" spans="1:8" x14ac:dyDescent="0.25">
      <c r="A79" s="3" t="s">
        <v>130</v>
      </c>
      <c r="B79" s="5">
        <v>634.23</v>
      </c>
      <c r="C79" s="5">
        <v>210.78</v>
      </c>
      <c r="D79" s="4">
        <v>61887</v>
      </c>
      <c r="F79" s="3" t="s">
        <v>130</v>
      </c>
      <c r="G79" s="20">
        <v>33.087699999999998</v>
      </c>
      <c r="H79" s="21">
        <v>2.4181000000000001E-2</v>
      </c>
    </row>
    <row r="80" spans="1:8" x14ac:dyDescent="0.25">
      <c r="A80" s="3" t="s">
        <v>131</v>
      </c>
      <c r="B80" s="5">
        <v>626.29</v>
      </c>
      <c r="C80" s="5">
        <v>215.14</v>
      </c>
      <c r="D80" s="4">
        <v>62685</v>
      </c>
      <c r="F80" s="3" t="s">
        <v>131</v>
      </c>
      <c r="G80" s="20">
        <v>33.2151</v>
      </c>
      <c r="H80" s="21">
        <v>2.4150999999999999E-2</v>
      </c>
    </row>
    <row r="81" spans="1:8" x14ac:dyDescent="0.25">
      <c r="A81" s="3" t="s">
        <v>132</v>
      </c>
      <c r="B81" s="5">
        <v>628.63</v>
      </c>
      <c r="C81" s="5">
        <v>215.59</v>
      </c>
      <c r="D81" s="4">
        <v>63699</v>
      </c>
      <c r="F81" s="3" t="s">
        <v>132</v>
      </c>
      <c r="G81" s="20">
        <v>33.130899999999997</v>
      </c>
      <c r="H81" s="21">
        <v>2.3954E-2</v>
      </c>
    </row>
    <row r="82" spans="1:8" x14ac:dyDescent="0.25">
      <c r="A82" s="3" t="s">
        <v>133</v>
      </c>
      <c r="B82" s="5">
        <v>642.14</v>
      </c>
      <c r="C82" s="5">
        <v>212.24</v>
      </c>
      <c r="D82" s="4">
        <v>62553</v>
      </c>
      <c r="F82" s="3" t="s">
        <v>133</v>
      </c>
      <c r="G82" s="20">
        <v>33.060499999999998</v>
      </c>
      <c r="H82" s="21">
        <v>2.3948000000000001E-2</v>
      </c>
    </row>
    <row r="83" spans="1:8" x14ac:dyDescent="0.25">
      <c r="A83" s="3" t="s">
        <v>134</v>
      </c>
      <c r="B83" s="5">
        <v>620.79999999999995</v>
      </c>
      <c r="C83" s="5">
        <v>212.01</v>
      </c>
      <c r="D83" s="4">
        <v>62725</v>
      </c>
      <c r="F83" s="3" t="s">
        <v>134</v>
      </c>
      <c r="G83" s="20">
        <v>33.049999999999997</v>
      </c>
      <c r="H83" s="21">
        <v>2.3947E-2</v>
      </c>
    </row>
    <row r="84" spans="1:8" x14ac:dyDescent="0.25">
      <c r="A84" s="3" t="s">
        <v>135</v>
      </c>
      <c r="B84" s="5">
        <v>616.94000000000005</v>
      </c>
      <c r="C84" s="5">
        <v>207.8</v>
      </c>
      <c r="D84" s="4">
        <v>64169</v>
      </c>
      <c r="F84" s="3" t="s">
        <v>135</v>
      </c>
      <c r="G84" s="20">
        <v>33.0946</v>
      </c>
      <c r="H84" s="21">
        <v>2.4046999999999999E-2</v>
      </c>
    </row>
    <row r="85" spans="1:8" x14ac:dyDescent="0.25">
      <c r="A85" s="3" t="s">
        <v>136</v>
      </c>
      <c r="B85" s="5">
        <v>637.49</v>
      </c>
      <c r="C85" s="5">
        <v>215.5</v>
      </c>
      <c r="D85" s="4">
        <v>65106</v>
      </c>
      <c r="F85" s="3" t="s">
        <v>136</v>
      </c>
      <c r="G85" s="20">
        <v>32.946100000000001</v>
      </c>
      <c r="H85" s="21">
        <v>2.3955000000000001E-2</v>
      </c>
    </row>
    <row r="86" spans="1:8" x14ac:dyDescent="0.25">
      <c r="A86" s="3" t="s">
        <v>137</v>
      </c>
      <c r="B86" s="5">
        <v>639.79</v>
      </c>
      <c r="C86" s="5">
        <v>216.32</v>
      </c>
      <c r="D86" s="4">
        <v>65030</v>
      </c>
      <c r="F86" s="3" t="s">
        <v>137</v>
      </c>
      <c r="G86" s="20">
        <v>32.851900000000001</v>
      </c>
      <c r="H86" s="21">
        <v>2.4022999999999999E-2</v>
      </c>
    </row>
    <row r="87" spans="1:8" x14ac:dyDescent="0.25">
      <c r="A87" s="3" t="s">
        <v>138</v>
      </c>
      <c r="B87" s="5">
        <v>624.76</v>
      </c>
      <c r="C87" s="5">
        <v>212.82</v>
      </c>
      <c r="D87" s="4">
        <v>65701</v>
      </c>
      <c r="F87" s="3" t="s">
        <v>138</v>
      </c>
      <c r="G87" s="20">
        <v>33.034799999999997</v>
      </c>
      <c r="H87" s="21">
        <v>2.4046999999999999E-2</v>
      </c>
    </row>
    <row r="88" spans="1:8" x14ac:dyDescent="0.25">
      <c r="A88" s="3" t="s">
        <v>139</v>
      </c>
      <c r="B88" s="5">
        <v>625.22</v>
      </c>
      <c r="C88" s="5">
        <v>211.23</v>
      </c>
      <c r="D88" s="4">
        <v>65274</v>
      </c>
      <c r="F88" s="3" t="s">
        <v>139</v>
      </c>
      <c r="G88" s="20">
        <v>33.082599999999999</v>
      </c>
      <c r="H88" s="21">
        <v>2.4001999999999999E-2</v>
      </c>
    </row>
    <row r="89" spans="1:8" x14ac:dyDescent="0.25">
      <c r="A89" s="3" t="s">
        <v>140</v>
      </c>
      <c r="B89" s="5">
        <v>648</v>
      </c>
      <c r="C89" s="5">
        <v>218.9</v>
      </c>
      <c r="D89" s="4">
        <v>67747</v>
      </c>
      <c r="F89" s="3" t="s">
        <v>140</v>
      </c>
      <c r="G89" s="20">
        <v>32.989899999999999</v>
      </c>
      <c r="H89" s="21">
        <v>2.3941E-2</v>
      </c>
    </row>
    <row r="90" spans="1:8" x14ac:dyDescent="0.25">
      <c r="A90" s="3" t="s">
        <v>141</v>
      </c>
      <c r="B90" s="5">
        <v>650.80999999999995</v>
      </c>
      <c r="C90" s="5">
        <v>214.75</v>
      </c>
      <c r="D90" s="4">
        <v>67817</v>
      </c>
      <c r="F90" s="3" t="s">
        <v>141</v>
      </c>
      <c r="G90" s="20">
        <v>33.152000000000001</v>
      </c>
      <c r="H90" s="21">
        <v>2.3941E-2</v>
      </c>
    </row>
    <row r="91" spans="1:8" x14ac:dyDescent="0.25">
      <c r="A91" s="3" t="s">
        <v>142</v>
      </c>
      <c r="B91" s="5">
        <v>647.15</v>
      </c>
      <c r="C91" s="5">
        <v>216.82</v>
      </c>
      <c r="D91" s="4">
        <v>69409</v>
      </c>
      <c r="F91" s="3" t="s">
        <v>142</v>
      </c>
      <c r="G91" s="20">
        <v>33.135100000000001</v>
      </c>
      <c r="H91" s="21">
        <v>2.4004999999999999E-2</v>
      </c>
    </row>
    <row r="92" spans="1:8" x14ac:dyDescent="0.25">
      <c r="A92" s="3" t="s">
        <v>143</v>
      </c>
      <c r="B92" s="5">
        <v>638.88</v>
      </c>
      <c r="C92" s="5">
        <v>221.12</v>
      </c>
      <c r="D92" s="4">
        <v>69665</v>
      </c>
      <c r="F92" s="3" t="s">
        <v>143</v>
      </c>
      <c r="G92" s="20">
        <v>33.148600000000002</v>
      </c>
      <c r="H92" s="21">
        <v>2.4112999999999999E-2</v>
      </c>
    </row>
    <row r="93" spans="1:8" x14ac:dyDescent="0.25">
      <c r="A93" s="3" t="s">
        <v>144</v>
      </c>
      <c r="B93" s="5">
        <v>640.54999999999995</v>
      </c>
      <c r="C93" s="5">
        <v>219.27</v>
      </c>
      <c r="D93" s="4">
        <v>69317</v>
      </c>
      <c r="F93" s="3" t="s">
        <v>144</v>
      </c>
      <c r="G93" s="20">
        <v>33.152799999999999</v>
      </c>
      <c r="H93" s="21">
        <v>2.4145E-2</v>
      </c>
    </row>
    <row r="94" spans="1:8" x14ac:dyDescent="0.25">
      <c r="A94" s="3" t="s">
        <v>145</v>
      </c>
      <c r="B94" s="5">
        <v>642.26</v>
      </c>
      <c r="C94" s="5">
        <v>218.79</v>
      </c>
      <c r="D94" s="4">
        <v>68871</v>
      </c>
      <c r="F94" s="3" t="s">
        <v>145</v>
      </c>
      <c r="G94" s="20">
        <v>33.208100000000002</v>
      </c>
      <c r="H94" s="21">
        <v>2.4091999999999999E-2</v>
      </c>
    </row>
    <row r="95" spans="1:8" x14ac:dyDescent="0.25">
      <c r="A95" s="3" t="s">
        <v>146</v>
      </c>
      <c r="B95" s="5">
        <v>637.72</v>
      </c>
      <c r="C95" s="5">
        <v>226.25</v>
      </c>
      <c r="D95" s="4">
        <v>69010</v>
      </c>
      <c r="F95" s="3" t="s">
        <v>146</v>
      </c>
      <c r="G95" s="20">
        <v>33.172499999999999</v>
      </c>
      <c r="H95" s="21">
        <v>2.4157000000000001E-2</v>
      </c>
    </row>
    <row r="96" spans="1:8" x14ac:dyDescent="0.25">
      <c r="A96" s="3" t="s">
        <v>147</v>
      </c>
      <c r="B96" s="5">
        <v>647.96</v>
      </c>
      <c r="C96" s="5">
        <v>227.64</v>
      </c>
      <c r="D96" s="4">
        <v>65133</v>
      </c>
      <c r="F96" s="3" t="s">
        <v>147</v>
      </c>
      <c r="G96" s="20">
        <v>33.189900000000002</v>
      </c>
      <c r="H96" s="21">
        <v>2.4107E-2</v>
      </c>
    </row>
    <row r="97" spans="1:8" x14ac:dyDescent="0.25">
      <c r="A97" s="3" t="s">
        <v>148</v>
      </c>
      <c r="B97" s="5">
        <v>690.25</v>
      </c>
      <c r="C97" s="5">
        <v>231.68</v>
      </c>
      <c r="D97" s="4">
        <v>65304</v>
      </c>
      <c r="F97" s="3" t="s">
        <v>148</v>
      </c>
      <c r="G97" s="20">
        <v>33.193399999999997</v>
      </c>
      <c r="H97" s="21">
        <v>2.4355999999999999E-2</v>
      </c>
    </row>
    <row r="98" spans="1:8" x14ac:dyDescent="0.25">
      <c r="A98" s="3" t="s">
        <v>149</v>
      </c>
      <c r="B98" s="5">
        <v>709.21</v>
      </c>
      <c r="C98" s="5">
        <v>239.52</v>
      </c>
      <c r="D98" s="4">
        <v>65288</v>
      </c>
      <c r="F98" s="3" t="s">
        <v>149</v>
      </c>
      <c r="G98" s="20">
        <v>33.180199999999999</v>
      </c>
      <c r="H98" s="21">
        <v>2.4284E-2</v>
      </c>
    </row>
    <row r="99" spans="1:8" x14ac:dyDescent="0.25">
      <c r="A99" s="3" t="s">
        <v>150</v>
      </c>
      <c r="B99" s="5">
        <v>698.07</v>
      </c>
      <c r="C99" s="5">
        <v>235.01</v>
      </c>
      <c r="D99" s="4">
        <v>65360</v>
      </c>
      <c r="F99" s="3" t="s">
        <v>150</v>
      </c>
      <c r="G99" s="20">
        <v>33.2258</v>
      </c>
      <c r="H99" s="21">
        <v>2.445E-2</v>
      </c>
    </row>
    <row r="100" spans="1:8" x14ac:dyDescent="0.25">
      <c r="A100" s="3" t="s">
        <v>151</v>
      </c>
      <c r="B100" s="5">
        <v>700.91</v>
      </c>
      <c r="C100" s="5">
        <v>238.57</v>
      </c>
      <c r="D100" s="4">
        <v>65477</v>
      </c>
      <c r="F100" s="3" t="s">
        <v>151</v>
      </c>
      <c r="G100" s="20">
        <v>33.211199999999998</v>
      </c>
      <c r="H100" s="21">
        <v>2.4431000000000001E-2</v>
      </c>
    </row>
    <row r="101" spans="1:8" x14ac:dyDescent="0.25">
      <c r="A101" s="3" t="s">
        <v>152</v>
      </c>
      <c r="B101" s="5">
        <v>694.32</v>
      </c>
      <c r="C101" s="5">
        <v>238.57</v>
      </c>
      <c r="D101" s="4">
        <v>64609</v>
      </c>
      <c r="F101" s="3" t="s">
        <v>152</v>
      </c>
      <c r="G101" s="20">
        <v>33.1723</v>
      </c>
      <c r="H101" s="21">
        <v>2.4308E-2</v>
      </c>
    </row>
    <row r="102" spans="1:8" x14ac:dyDescent="0.25">
      <c r="A102" s="3" t="s">
        <v>153</v>
      </c>
      <c r="B102" s="5">
        <v>704.11</v>
      </c>
      <c r="C102" s="5">
        <v>241.31</v>
      </c>
      <c r="D102" s="4">
        <v>65707</v>
      </c>
      <c r="F102" s="3" t="s">
        <v>153</v>
      </c>
      <c r="G102" s="20">
        <v>33.165700000000001</v>
      </c>
      <c r="H102" s="21">
        <v>2.4417000000000001E-2</v>
      </c>
    </row>
    <row r="103" spans="1:8" x14ac:dyDescent="0.25">
      <c r="A103" s="3" t="s">
        <v>154</v>
      </c>
      <c r="B103" s="5">
        <v>711.08</v>
      </c>
      <c r="C103" s="5">
        <v>240.33</v>
      </c>
      <c r="D103" s="4">
        <v>63412</v>
      </c>
      <c r="F103" s="3" t="s">
        <v>154</v>
      </c>
      <c r="G103" s="20">
        <v>33.210599999999999</v>
      </c>
      <c r="H103" s="21">
        <v>2.443E-2</v>
      </c>
    </row>
    <row r="104" spans="1:8" x14ac:dyDescent="0.25">
      <c r="A104" s="3" t="s">
        <v>155</v>
      </c>
      <c r="B104" s="5">
        <v>729.91</v>
      </c>
      <c r="C104" s="5">
        <v>246.7</v>
      </c>
      <c r="D104" s="4">
        <v>63057</v>
      </c>
      <c r="F104" s="3" t="s">
        <v>155</v>
      </c>
      <c r="G104" s="20">
        <v>33.045200000000001</v>
      </c>
      <c r="H104" s="21">
        <v>2.4399000000000001E-2</v>
      </c>
    </row>
    <row r="105" spans="1:8" x14ac:dyDescent="0.25">
      <c r="A105" s="3" t="s">
        <v>156</v>
      </c>
      <c r="B105" s="5">
        <v>743.75</v>
      </c>
      <c r="C105" s="5">
        <v>248.74</v>
      </c>
      <c r="D105" s="4">
        <v>63283</v>
      </c>
      <c r="F105" s="3" t="s">
        <v>156</v>
      </c>
      <c r="G105" s="20">
        <v>32.937199999999997</v>
      </c>
      <c r="H105" s="21">
        <v>2.4140999999999999E-2</v>
      </c>
    </row>
    <row r="106" spans="1:8" x14ac:dyDescent="0.25">
      <c r="A106" s="3" t="s">
        <v>157</v>
      </c>
      <c r="B106" s="5">
        <v>744.25</v>
      </c>
      <c r="C106" s="5">
        <v>245.38</v>
      </c>
      <c r="D106" s="4">
        <v>62950</v>
      </c>
      <c r="F106" s="3" t="s">
        <v>157</v>
      </c>
      <c r="G106" s="20">
        <v>32.880400000000002</v>
      </c>
      <c r="H106" s="21">
        <v>2.4201E-2</v>
      </c>
    </row>
    <row r="107" spans="1:8" x14ac:dyDescent="0.25">
      <c r="A107" s="3" t="s">
        <v>158</v>
      </c>
      <c r="B107" s="5">
        <v>745.62</v>
      </c>
      <c r="C107" s="5">
        <v>246.48</v>
      </c>
      <c r="D107" s="4">
        <v>62216</v>
      </c>
      <c r="F107" s="3" t="s">
        <v>158</v>
      </c>
      <c r="G107" s="20">
        <v>32.787999999999997</v>
      </c>
      <c r="H107" s="21">
        <v>2.4119999999999999E-2</v>
      </c>
    </row>
    <row r="108" spans="1:8" x14ac:dyDescent="0.25">
      <c r="A108" s="3" t="s">
        <v>159</v>
      </c>
      <c r="B108" s="5">
        <v>751.95</v>
      </c>
      <c r="C108" s="5">
        <v>244.7</v>
      </c>
      <c r="D108" s="4">
        <v>61561</v>
      </c>
      <c r="F108" s="3" t="s">
        <v>159</v>
      </c>
      <c r="G108" s="20">
        <v>32.963000000000001</v>
      </c>
      <c r="H108" s="21">
        <v>2.4188000000000001E-2</v>
      </c>
    </row>
    <row r="109" spans="1:8" x14ac:dyDescent="0.25">
      <c r="A109" s="3" t="s">
        <v>160</v>
      </c>
      <c r="B109" s="5">
        <v>753.75</v>
      </c>
      <c r="C109" s="5">
        <v>243.04</v>
      </c>
      <c r="D109" s="4">
        <v>60178</v>
      </c>
      <c r="F109" s="3" t="s">
        <v>160</v>
      </c>
      <c r="G109" s="20">
        <v>33.090800000000002</v>
      </c>
      <c r="H109" s="21">
        <v>2.4317999999999999E-2</v>
      </c>
    </row>
    <row r="110" spans="1:8" x14ac:dyDescent="0.25">
      <c r="A110" s="3" t="s">
        <v>161</v>
      </c>
      <c r="B110" s="5">
        <v>746.4</v>
      </c>
      <c r="C110" s="5">
        <v>239.6</v>
      </c>
      <c r="D110" s="4">
        <v>60079</v>
      </c>
      <c r="F110" s="3" t="s">
        <v>161</v>
      </c>
      <c r="G110" s="20">
        <v>33.158299999999997</v>
      </c>
      <c r="H110" s="21">
        <v>2.4313999999999999E-2</v>
      </c>
    </row>
    <row r="111" spans="1:8" x14ac:dyDescent="0.25">
      <c r="A111" s="3" t="s">
        <v>162</v>
      </c>
      <c r="B111" s="5">
        <v>757.1</v>
      </c>
      <c r="C111" s="5">
        <v>243.05</v>
      </c>
      <c r="D111" s="4">
        <v>59561</v>
      </c>
      <c r="F111" s="3" t="s">
        <v>162</v>
      </c>
      <c r="G111" s="20">
        <v>33.206400000000002</v>
      </c>
      <c r="H111" s="21">
        <v>2.4458000000000001E-2</v>
      </c>
    </row>
    <row r="112" spans="1:8" x14ac:dyDescent="0.25">
      <c r="A112" s="3" t="s">
        <v>163</v>
      </c>
      <c r="B112" s="5">
        <v>752.21</v>
      </c>
      <c r="C112" s="5">
        <v>243.84</v>
      </c>
      <c r="D112" s="4">
        <v>57536</v>
      </c>
      <c r="F112" s="3" t="s">
        <v>163</v>
      </c>
      <c r="G112" s="20">
        <v>33.233800000000002</v>
      </c>
      <c r="H112" s="21">
        <v>2.4473999999999999E-2</v>
      </c>
    </row>
    <row r="113" spans="1:8" x14ac:dyDescent="0.25">
      <c r="A113" s="3" t="s">
        <v>164</v>
      </c>
      <c r="B113" s="5">
        <v>765.7</v>
      </c>
      <c r="C113" s="5">
        <v>250.28</v>
      </c>
      <c r="D113" s="4">
        <v>58892</v>
      </c>
      <c r="F113" s="3" t="s">
        <v>164</v>
      </c>
      <c r="G113" s="20">
        <v>33.255899999999997</v>
      </c>
      <c r="H113" s="21">
        <v>2.4566000000000001E-2</v>
      </c>
    </row>
    <row r="114" spans="1:8" x14ac:dyDescent="0.25">
      <c r="A114" s="3" t="s">
        <v>165</v>
      </c>
      <c r="B114" s="5">
        <v>733.45</v>
      </c>
      <c r="C114" s="5">
        <v>248.61</v>
      </c>
      <c r="D114" s="4">
        <v>56151</v>
      </c>
      <c r="F114" s="3" t="s">
        <v>165</v>
      </c>
      <c r="G114" s="20">
        <v>33.206499999999998</v>
      </c>
      <c r="H114" s="21">
        <v>2.4733000000000002E-2</v>
      </c>
    </row>
    <row r="115" spans="1:8" x14ac:dyDescent="0.25">
      <c r="A115" s="3" t="s">
        <v>166</v>
      </c>
      <c r="B115" s="5">
        <v>747.59</v>
      </c>
      <c r="C115" s="5">
        <v>240.8</v>
      </c>
      <c r="D115" s="4">
        <v>54283</v>
      </c>
      <c r="F115" s="3" t="s">
        <v>166</v>
      </c>
      <c r="G115" s="20">
        <v>33.303600000000003</v>
      </c>
      <c r="H115" s="21">
        <v>2.4670000000000001E-2</v>
      </c>
    </row>
    <row r="116" spans="1:8" x14ac:dyDescent="0.25">
      <c r="A116" s="3" t="s">
        <v>167</v>
      </c>
      <c r="B116" s="5">
        <v>753.38</v>
      </c>
      <c r="C116" s="5">
        <v>235.51</v>
      </c>
      <c r="D116" s="4">
        <v>51013</v>
      </c>
      <c r="F116" s="3" t="s">
        <v>167</v>
      </c>
      <c r="G116" s="20">
        <v>33.483400000000003</v>
      </c>
      <c r="H116" s="21">
        <v>2.4504000000000001E-2</v>
      </c>
    </row>
    <row r="117" spans="1:8" x14ac:dyDescent="0.25">
      <c r="A117" s="3" t="s">
        <v>168</v>
      </c>
      <c r="B117" s="5">
        <v>737.53</v>
      </c>
      <c r="C117" s="5">
        <v>235.99</v>
      </c>
      <c r="D117" s="4">
        <v>49595</v>
      </c>
      <c r="F117" s="3" t="s">
        <v>168</v>
      </c>
      <c r="G117" s="20">
        <v>33.2515</v>
      </c>
      <c r="H117" s="21">
        <v>2.4563999999999999E-2</v>
      </c>
    </row>
    <row r="118" spans="1:8" x14ac:dyDescent="0.25">
      <c r="A118" s="3" t="s">
        <v>169</v>
      </c>
      <c r="B118" s="5">
        <v>721.83</v>
      </c>
      <c r="C118" s="5">
        <v>235.37</v>
      </c>
      <c r="D118" s="4">
        <v>49389</v>
      </c>
      <c r="F118" s="3" t="s">
        <v>169</v>
      </c>
      <c r="G118" s="20">
        <v>33.175600000000003</v>
      </c>
      <c r="H118" s="21">
        <v>2.4503E-2</v>
      </c>
    </row>
    <row r="119" spans="1:8" x14ac:dyDescent="0.25">
      <c r="A119" s="3" t="s">
        <v>170</v>
      </c>
      <c r="B119" s="5">
        <v>740.35</v>
      </c>
      <c r="C119" s="5">
        <v>240.54</v>
      </c>
      <c r="D119" s="4">
        <v>49465</v>
      </c>
      <c r="F119" s="3" t="s">
        <v>170</v>
      </c>
      <c r="G119" s="20">
        <v>33.228700000000003</v>
      </c>
      <c r="H119" s="21">
        <v>2.4611000000000001E-2</v>
      </c>
    </row>
    <row r="120" spans="1:8" x14ac:dyDescent="0.25">
      <c r="A120" s="3" t="s">
        <v>171</v>
      </c>
      <c r="B120" s="5">
        <v>730.2</v>
      </c>
      <c r="C120" s="5">
        <v>244.17</v>
      </c>
      <c r="D120" s="4">
        <v>48799</v>
      </c>
      <c r="F120" s="3" t="s">
        <v>171</v>
      </c>
      <c r="G120" s="20">
        <v>33.4544</v>
      </c>
      <c r="H120" s="21">
        <v>2.4660000000000001E-2</v>
      </c>
    </row>
    <row r="121" spans="1:8" x14ac:dyDescent="0.25">
      <c r="A121" s="3" t="s">
        <v>172</v>
      </c>
      <c r="B121" s="5">
        <v>714.64</v>
      </c>
      <c r="C121" s="5">
        <v>244.75</v>
      </c>
      <c r="D121" s="4">
        <v>48028</v>
      </c>
      <c r="F121" s="3" t="s">
        <v>172</v>
      </c>
      <c r="G121" s="20">
        <v>33.383099999999999</v>
      </c>
      <c r="H121" s="21">
        <v>2.4718E-2</v>
      </c>
    </row>
    <row r="122" spans="1:8" x14ac:dyDescent="0.25">
      <c r="A122" s="3" t="s">
        <v>173</v>
      </c>
      <c r="B122" s="5">
        <v>693.06</v>
      </c>
      <c r="C122" s="5">
        <v>245.36</v>
      </c>
      <c r="D122" s="4">
        <v>48742</v>
      </c>
      <c r="F122" s="3" t="s">
        <v>173</v>
      </c>
      <c r="G122" s="20">
        <v>33.350900000000003</v>
      </c>
      <c r="H122" s="21">
        <v>2.4663999999999998E-2</v>
      </c>
    </row>
    <row r="123" spans="1:8" x14ac:dyDescent="0.25">
      <c r="A123" s="3" t="s">
        <v>174</v>
      </c>
      <c r="B123" s="5">
        <v>676.89</v>
      </c>
      <c r="C123" s="5">
        <v>242.32</v>
      </c>
      <c r="D123" s="4">
        <v>47938</v>
      </c>
      <c r="F123" s="3" t="s">
        <v>174</v>
      </c>
      <c r="G123" s="20">
        <v>33.460599999999999</v>
      </c>
      <c r="H123" s="21">
        <v>2.4792000000000002E-2</v>
      </c>
    </row>
    <row r="124" spans="1:8" x14ac:dyDescent="0.25">
      <c r="A124" s="3" t="s">
        <v>175</v>
      </c>
      <c r="B124" s="5">
        <v>675.03</v>
      </c>
      <c r="C124" s="5">
        <v>240.35</v>
      </c>
      <c r="D124" s="4">
        <v>46326</v>
      </c>
      <c r="F124" s="3" t="s">
        <v>175</v>
      </c>
      <c r="G124" s="20">
        <v>33.272300000000001</v>
      </c>
      <c r="H124" s="21">
        <v>2.4895E-2</v>
      </c>
    </row>
    <row r="125" spans="1:8" x14ac:dyDescent="0.25">
      <c r="A125" s="3" t="s">
        <v>176</v>
      </c>
      <c r="B125" s="5">
        <v>675.9</v>
      </c>
      <c r="C125" s="5">
        <v>239.14</v>
      </c>
      <c r="D125" s="4">
        <v>46424</v>
      </c>
      <c r="F125" s="3" t="s">
        <v>176</v>
      </c>
      <c r="G125" s="20">
        <v>33.287300000000002</v>
      </c>
      <c r="H125" s="21">
        <v>2.4945999999999999E-2</v>
      </c>
    </row>
    <row r="126" spans="1:8" x14ac:dyDescent="0.25">
      <c r="A126" s="3" t="s">
        <v>177</v>
      </c>
      <c r="B126" s="5">
        <v>685.39</v>
      </c>
      <c r="C126" s="5">
        <v>243.52</v>
      </c>
      <c r="D126" s="4">
        <v>47146</v>
      </c>
      <c r="F126" s="3" t="s">
        <v>177</v>
      </c>
      <c r="G126" s="20">
        <v>33.186900000000001</v>
      </c>
      <c r="H126" s="21">
        <v>2.4837999999999999E-2</v>
      </c>
    </row>
    <row r="127" spans="1:8" x14ac:dyDescent="0.25">
      <c r="A127" s="3" t="s">
        <v>178</v>
      </c>
      <c r="B127" s="5">
        <v>650.63</v>
      </c>
      <c r="C127" s="5">
        <v>235.97</v>
      </c>
      <c r="D127" s="4">
        <v>46533</v>
      </c>
      <c r="F127" s="3" t="s">
        <v>178</v>
      </c>
      <c r="G127" s="20">
        <v>33.136400000000002</v>
      </c>
      <c r="H127" s="21">
        <v>2.4889000000000001E-2</v>
      </c>
    </row>
    <row r="128" spans="1:8" x14ac:dyDescent="0.25">
      <c r="A128" s="3" t="s">
        <v>179</v>
      </c>
      <c r="B128" s="5">
        <v>661.92</v>
      </c>
      <c r="C128" s="5">
        <v>233</v>
      </c>
      <c r="D128" s="4">
        <v>45776</v>
      </c>
      <c r="F128" s="3" t="s">
        <v>179</v>
      </c>
      <c r="G128" s="20">
        <v>33.116100000000003</v>
      </c>
      <c r="H128" s="21">
        <v>2.4849E-2</v>
      </c>
    </row>
    <row r="129" spans="1:8" x14ac:dyDescent="0.25">
      <c r="A129" s="3" t="s">
        <v>180</v>
      </c>
      <c r="B129" s="5">
        <v>685.76</v>
      </c>
      <c r="C129" s="5">
        <v>225.21</v>
      </c>
      <c r="D129" s="4">
        <v>45389</v>
      </c>
      <c r="F129" s="3" t="s">
        <v>180</v>
      </c>
      <c r="G129" s="20">
        <v>33.203800000000001</v>
      </c>
      <c r="H129" s="21">
        <v>2.4764999999999999E-2</v>
      </c>
    </row>
    <row r="130" spans="1:8" x14ac:dyDescent="0.25">
      <c r="A130" s="3" t="s">
        <v>181</v>
      </c>
      <c r="B130" s="5">
        <v>676.98</v>
      </c>
      <c r="C130" s="5">
        <v>222.93</v>
      </c>
      <c r="D130" s="4">
        <v>44859</v>
      </c>
      <c r="F130" s="3" t="s">
        <v>181</v>
      </c>
      <c r="G130" s="20">
        <v>33.008000000000003</v>
      </c>
      <c r="H130" s="21">
        <v>2.4806000000000002E-2</v>
      </c>
    </row>
    <row r="131" spans="1:8" x14ac:dyDescent="0.25">
      <c r="A131" s="3" t="s">
        <v>182</v>
      </c>
      <c r="B131" s="5">
        <v>686.25</v>
      </c>
      <c r="C131" s="5">
        <v>227.56</v>
      </c>
      <c r="D131" s="4">
        <v>48234</v>
      </c>
      <c r="F131" s="3" t="s">
        <v>182</v>
      </c>
      <c r="G131" s="20">
        <v>32.885399999999997</v>
      </c>
      <c r="H131" s="21">
        <v>2.4819000000000001E-2</v>
      </c>
    </row>
    <row r="132" spans="1:8" x14ac:dyDescent="0.25">
      <c r="A132" s="3" t="s">
        <v>183</v>
      </c>
      <c r="B132" s="5">
        <v>711.95</v>
      </c>
      <c r="C132" s="5">
        <v>229.71</v>
      </c>
      <c r="D132" s="4">
        <v>48903</v>
      </c>
      <c r="F132" s="3" t="s">
        <v>183</v>
      </c>
      <c r="G132" s="20">
        <v>32.988500000000002</v>
      </c>
      <c r="H132" s="21">
        <v>2.4728E-2</v>
      </c>
    </row>
    <row r="133" spans="1:8" x14ac:dyDescent="0.25">
      <c r="A133" s="3" t="s">
        <v>184</v>
      </c>
      <c r="B133" s="5">
        <v>727.81</v>
      </c>
      <c r="C133" s="5">
        <v>242.11</v>
      </c>
      <c r="D133" s="4">
        <v>49465</v>
      </c>
      <c r="F133" s="3" t="s">
        <v>184</v>
      </c>
      <c r="G133" s="20">
        <v>32.925400000000003</v>
      </c>
      <c r="H133" s="21">
        <v>2.4584999999999999E-2</v>
      </c>
    </row>
    <row r="134" spans="1:8" x14ac:dyDescent="0.25">
      <c r="A134" s="3" t="s">
        <v>185</v>
      </c>
      <c r="B134" s="5">
        <v>734.43</v>
      </c>
      <c r="C134" s="5">
        <v>242.11</v>
      </c>
      <c r="D134" s="4">
        <v>50839</v>
      </c>
      <c r="F134" s="3" t="s">
        <v>185</v>
      </c>
      <c r="G134" s="20">
        <v>32.911200000000001</v>
      </c>
      <c r="H134" s="21">
        <v>2.4501999999999999E-2</v>
      </c>
    </row>
    <row r="135" spans="1:8" x14ac:dyDescent="0.25">
      <c r="A135" s="3" t="s">
        <v>186</v>
      </c>
      <c r="B135" s="5">
        <v>715.36</v>
      </c>
      <c r="C135" s="5">
        <v>241.16</v>
      </c>
      <c r="D135" s="4">
        <v>49197</v>
      </c>
      <c r="F135" s="3" t="s">
        <v>186</v>
      </c>
      <c r="G135" s="20">
        <v>32.722099999999998</v>
      </c>
      <c r="H135" s="21">
        <v>2.4468E-2</v>
      </c>
    </row>
    <row r="136" spans="1:8" x14ac:dyDescent="0.25">
      <c r="A136" s="3" t="s">
        <v>187</v>
      </c>
      <c r="B136" s="5">
        <v>720.06</v>
      </c>
      <c r="C136" s="5">
        <v>245.12</v>
      </c>
      <c r="D136" s="4">
        <v>49030</v>
      </c>
      <c r="F136" s="3" t="s">
        <v>187</v>
      </c>
      <c r="G136" s="20">
        <v>32.810299999999998</v>
      </c>
      <c r="H136" s="21">
        <v>2.4334999999999999E-2</v>
      </c>
    </row>
    <row r="137" spans="1:8" x14ac:dyDescent="0.25">
      <c r="A137" s="3" t="s">
        <v>188</v>
      </c>
      <c r="B137" s="5">
        <v>717.46</v>
      </c>
      <c r="C137" s="5">
        <v>249.9</v>
      </c>
      <c r="D137" s="4">
        <v>49122</v>
      </c>
      <c r="F137" s="3" t="s">
        <v>188</v>
      </c>
      <c r="G137" s="20">
        <v>32.823500000000003</v>
      </c>
      <c r="H137" s="21">
        <v>2.4257999999999998E-2</v>
      </c>
    </row>
    <row r="138" spans="1:8" x14ac:dyDescent="0.25">
      <c r="A138" s="3" t="s">
        <v>189</v>
      </c>
      <c r="B138" s="5">
        <v>726.4</v>
      </c>
      <c r="C138" s="5">
        <v>249.88</v>
      </c>
      <c r="D138" s="4">
        <v>48280</v>
      </c>
      <c r="F138" s="3" t="s">
        <v>189</v>
      </c>
      <c r="G138" s="20">
        <v>32.631399999999999</v>
      </c>
      <c r="H138" s="21">
        <v>2.4383999999999999E-2</v>
      </c>
    </row>
    <row r="139" spans="1:8" x14ac:dyDescent="0.25">
      <c r="A139" s="3" t="s">
        <v>190</v>
      </c>
      <c r="B139" s="5">
        <v>721.11</v>
      </c>
      <c r="C139" s="5">
        <v>258.76</v>
      </c>
      <c r="D139" s="4">
        <v>48324</v>
      </c>
      <c r="F139" s="3" t="s">
        <v>190</v>
      </c>
      <c r="G139" s="20">
        <v>32.666600000000003</v>
      </c>
      <c r="H139" s="21">
        <v>2.4386999999999999E-2</v>
      </c>
    </row>
    <row r="140" spans="1:8" x14ac:dyDescent="0.25">
      <c r="A140" s="3" t="s">
        <v>191</v>
      </c>
      <c r="B140" s="5">
        <v>722.73</v>
      </c>
      <c r="C140" s="5">
        <v>264.52999999999997</v>
      </c>
      <c r="D140" s="4">
        <v>48992</v>
      </c>
      <c r="F140" s="3" t="s">
        <v>191</v>
      </c>
      <c r="G140" s="20">
        <v>32.581800000000001</v>
      </c>
      <c r="H140" s="21">
        <v>2.4197E-2</v>
      </c>
    </row>
    <row r="141" spans="1:8" x14ac:dyDescent="0.25">
      <c r="A141" s="3" t="s">
        <v>192</v>
      </c>
      <c r="B141" s="5">
        <v>731.45</v>
      </c>
      <c r="C141" s="5">
        <v>276.33</v>
      </c>
      <c r="D141" s="4">
        <v>50572</v>
      </c>
      <c r="F141" s="3" t="s">
        <v>192</v>
      </c>
      <c r="G141" s="20">
        <v>32.659700000000001</v>
      </c>
      <c r="H141" s="21">
        <v>2.4118000000000001E-2</v>
      </c>
    </row>
    <row r="142" spans="1:8" x14ac:dyDescent="0.25">
      <c r="A142" s="3" t="s">
        <v>193</v>
      </c>
      <c r="B142" s="5">
        <v>720.58</v>
      </c>
      <c r="C142" s="5">
        <v>278.70999999999998</v>
      </c>
      <c r="D142" s="4">
        <v>49945</v>
      </c>
      <c r="F142" s="3" t="s">
        <v>193</v>
      </c>
      <c r="G142" s="20">
        <v>32.8292</v>
      </c>
      <c r="H142" s="21">
        <v>2.4038E-2</v>
      </c>
    </row>
    <row r="143" spans="1:8" x14ac:dyDescent="0.25">
      <c r="A143" s="3" t="s">
        <v>194</v>
      </c>
      <c r="B143" s="5">
        <v>716.44</v>
      </c>
      <c r="C143" s="5">
        <v>283.7</v>
      </c>
      <c r="D143" s="4">
        <v>50199</v>
      </c>
      <c r="F143" s="3" t="s">
        <v>194</v>
      </c>
      <c r="G143" s="20">
        <v>32.783999999999999</v>
      </c>
      <c r="H143" s="21">
        <v>2.4014000000000001E-2</v>
      </c>
    </row>
    <row r="144" spans="1:8" x14ac:dyDescent="0.25">
      <c r="A144" s="3" t="s">
        <v>195</v>
      </c>
      <c r="B144" s="5">
        <v>713.09</v>
      </c>
      <c r="C144" s="5">
        <v>280.82</v>
      </c>
      <c r="D144" s="4">
        <v>50241</v>
      </c>
      <c r="F144" s="3" t="s">
        <v>195</v>
      </c>
      <c r="G144" s="20">
        <v>32.749000000000002</v>
      </c>
      <c r="H144" s="21">
        <v>2.4045E-2</v>
      </c>
    </row>
    <row r="145" spans="1:8" x14ac:dyDescent="0.25">
      <c r="A145" s="3" t="s">
        <v>196</v>
      </c>
      <c r="B145" s="5">
        <v>710.04</v>
      </c>
      <c r="C145" s="5">
        <v>285.45</v>
      </c>
      <c r="D145" s="4">
        <v>50636</v>
      </c>
      <c r="F145" s="3" t="s">
        <v>196</v>
      </c>
      <c r="G145" s="20">
        <v>32.7318</v>
      </c>
      <c r="H145" s="21">
        <v>2.4049000000000001E-2</v>
      </c>
    </row>
    <row r="146" spans="1:8" x14ac:dyDescent="0.25">
      <c r="A146" s="3" t="s">
        <v>197</v>
      </c>
      <c r="B146" s="5">
        <v>708.64</v>
      </c>
      <c r="C146" s="5">
        <v>301.08</v>
      </c>
      <c r="D146" s="4">
        <v>51588</v>
      </c>
      <c r="F146" s="3" t="s">
        <v>197</v>
      </c>
      <c r="G146" s="20">
        <v>32.6648</v>
      </c>
      <c r="H146" s="21">
        <v>2.4185999999999999E-2</v>
      </c>
    </row>
    <row r="147" spans="1:8" x14ac:dyDescent="0.25">
      <c r="A147" s="3" t="s">
        <v>198</v>
      </c>
      <c r="B147" s="5">
        <v>699.23</v>
      </c>
      <c r="C147" s="5">
        <v>293.88</v>
      </c>
      <c r="D147" s="4">
        <v>50023</v>
      </c>
      <c r="F147" s="3" t="s">
        <v>198</v>
      </c>
      <c r="G147" s="20">
        <v>32.663899999999998</v>
      </c>
      <c r="H147" s="21">
        <v>2.4145E-2</v>
      </c>
    </row>
    <row r="148" spans="1:8" x14ac:dyDescent="0.25">
      <c r="A148" s="3" t="s">
        <v>199</v>
      </c>
      <c r="B148" s="5">
        <v>681.01</v>
      </c>
      <c r="C148" s="5">
        <v>291.52999999999997</v>
      </c>
      <c r="D148" s="4">
        <v>49720</v>
      </c>
      <c r="F148" s="3" t="s">
        <v>199</v>
      </c>
      <c r="G148" s="20">
        <v>32.664499999999997</v>
      </c>
      <c r="H148" s="21">
        <v>2.4043999999999999E-2</v>
      </c>
    </row>
    <row r="149" spans="1:8" x14ac:dyDescent="0.25">
      <c r="A149" s="3" t="s">
        <v>200</v>
      </c>
      <c r="B149" s="5">
        <v>689.87</v>
      </c>
      <c r="C149" s="5">
        <v>287.68</v>
      </c>
      <c r="D149" s="4">
        <v>49209</v>
      </c>
      <c r="F149" s="3" t="s">
        <v>200</v>
      </c>
      <c r="G149" s="20">
        <v>32.615000000000002</v>
      </c>
      <c r="H149" s="21">
        <v>2.4059000000000001E-2</v>
      </c>
    </row>
    <row r="150" spans="1:8" x14ac:dyDescent="0.25">
      <c r="A150" s="3" t="s">
        <v>201</v>
      </c>
      <c r="B150" s="5">
        <v>682.53</v>
      </c>
      <c r="C150" s="5">
        <v>295.26</v>
      </c>
      <c r="D150" s="4">
        <v>49568</v>
      </c>
      <c r="F150" s="3" t="s">
        <v>201</v>
      </c>
      <c r="G150" s="20">
        <v>32.633099999999999</v>
      </c>
      <c r="H150" s="21">
        <v>2.4223000000000001E-2</v>
      </c>
    </row>
    <row r="151" spans="1:8" x14ac:dyDescent="0.25">
      <c r="A151" s="3" t="s">
        <v>202</v>
      </c>
      <c r="B151" s="5">
        <v>689.18</v>
      </c>
      <c r="C151" s="5">
        <v>301.93</v>
      </c>
      <c r="D151" s="4">
        <v>50149</v>
      </c>
      <c r="F151" s="3" t="s">
        <v>202</v>
      </c>
      <c r="G151" s="20">
        <v>32.620800000000003</v>
      </c>
      <c r="H151" s="21">
        <v>2.4250000000000001E-2</v>
      </c>
    </row>
    <row r="152" spans="1:8" x14ac:dyDescent="0.25">
      <c r="A152" s="3" t="s">
        <v>203</v>
      </c>
      <c r="B152" s="5">
        <v>688.97</v>
      </c>
      <c r="C152" s="5">
        <v>299.83999999999997</v>
      </c>
      <c r="D152" s="4">
        <v>49781</v>
      </c>
      <c r="F152" s="3" t="s">
        <v>203</v>
      </c>
      <c r="G152" s="20">
        <v>32.519100000000002</v>
      </c>
      <c r="H152" s="21">
        <v>2.4364E-2</v>
      </c>
    </row>
    <row r="153" spans="1:8" x14ac:dyDescent="0.25">
      <c r="A153" s="3" t="s">
        <v>204</v>
      </c>
      <c r="B153" s="5">
        <v>689.05</v>
      </c>
      <c r="C153" s="5">
        <v>298.79000000000002</v>
      </c>
      <c r="D153" s="4">
        <v>49520</v>
      </c>
      <c r="F153" s="3" t="s">
        <v>204</v>
      </c>
      <c r="G153" s="20">
        <v>32.487499999999997</v>
      </c>
      <c r="H153" s="21">
        <v>2.4552000000000001E-2</v>
      </c>
    </row>
    <row r="154" spans="1:8" x14ac:dyDescent="0.25">
      <c r="A154" s="3" t="s">
        <v>205</v>
      </c>
      <c r="B154" s="5">
        <v>716.48</v>
      </c>
      <c r="C154" s="5">
        <v>295.29000000000002</v>
      </c>
      <c r="D154" s="4">
        <v>47598</v>
      </c>
      <c r="F154" s="3" t="s">
        <v>205</v>
      </c>
      <c r="G154" s="20">
        <v>32.310499999999998</v>
      </c>
      <c r="H154" s="21">
        <v>2.4684999999999999E-2</v>
      </c>
    </row>
    <row r="155" spans="1:8" x14ac:dyDescent="0.25">
      <c r="A155" s="3" t="s">
        <v>206</v>
      </c>
      <c r="B155" s="5">
        <v>722.57</v>
      </c>
      <c r="C155" s="5">
        <v>303.22000000000003</v>
      </c>
      <c r="D155" s="4">
        <v>47683</v>
      </c>
      <c r="F155" s="3" t="s">
        <v>206</v>
      </c>
      <c r="G155" s="20">
        <v>32.283900000000003</v>
      </c>
      <c r="H155" s="21">
        <v>2.4656999999999998E-2</v>
      </c>
    </row>
    <row r="156" spans="1:8" x14ac:dyDescent="0.25">
      <c r="A156" s="3" t="s">
        <v>207</v>
      </c>
      <c r="B156" s="5">
        <v>735.42</v>
      </c>
      <c r="C156" s="5">
        <v>313.64</v>
      </c>
      <c r="D156" s="4">
        <v>47955</v>
      </c>
      <c r="F156" s="3" t="s">
        <v>207</v>
      </c>
      <c r="G156" s="20">
        <v>32.168300000000002</v>
      </c>
      <c r="H156" s="21">
        <v>2.4712000000000001E-2</v>
      </c>
    </row>
    <row r="157" spans="1:8" x14ac:dyDescent="0.25">
      <c r="A157" s="3" t="s">
        <v>208</v>
      </c>
      <c r="B157" s="5">
        <v>739.26</v>
      </c>
      <c r="C157" s="5">
        <v>309.88</v>
      </c>
      <c r="D157" s="4">
        <v>47251</v>
      </c>
      <c r="F157" s="3" t="s">
        <v>208</v>
      </c>
      <c r="G157" s="20">
        <v>32.278799999999997</v>
      </c>
      <c r="H157" s="21">
        <v>2.4577000000000002E-2</v>
      </c>
    </row>
    <row r="158" spans="1:8" x14ac:dyDescent="0.25">
      <c r="A158" s="3" t="s">
        <v>209</v>
      </c>
      <c r="B158" s="5">
        <v>734.05</v>
      </c>
      <c r="C158" s="5">
        <v>313.41000000000003</v>
      </c>
      <c r="D158" s="4">
        <v>48858</v>
      </c>
      <c r="F158" s="3" t="s">
        <v>209</v>
      </c>
      <c r="G158" s="20">
        <v>32.2958</v>
      </c>
      <c r="H158" s="21">
        <v>2.4500999999999998E-2</v>
      </c>
    </row>
    <row r="159" spans="1:8" x14ac:dyDescent="0.25">
      <c r="A159" s="3" t="s">
        <v>210</v>
      </c>
      <c r="B159" s="5">
        <v>744.99</v>
      </c>
      <c r="C159" s="5">
        <v>310.24</v>
      </c>
      <c r="D159" s="4">
        <v>48092</v>
      </c>
      <c r="F159" s="3" t="s">
        <v>210</v>
      </c>
      <c r="G159" s="20">
        <v>32.318199999999997</v>
      </c>
      <c r="H159" s="21">
        <v>2.4523E-2</v>
      </c>
    </row>
    <row r="160" spans="1:8" x14ac:dyDescent="0.25">
      <c r="A160" s="3" t="s">
        <v>211</v>
      </c>
      <c r="B160" s="5">
        <v>740.33</v>
      </c>
      <c r="C160" s="5">
        <v>310</v>
      </c>
      <c r="D160" s="4">
        <v>48670</v>
      </c>
      <c r="F160" s="3" t="s">
        <v>211</v>
      </c>
      <c r="G160" s="20">
        <v>32.192300000000003</v>
      </c>
      <c r="H160" s="21">
        <v>2.4336E-2</v>
      </c>
    </row>
    <row r="161" spans="1:8" x14ac:dyDescent="0.25">
      <c r="A161" s="3" t="s">
        <v>212</v>
      </c>
      <c r="B161" s="5">
        <v>719.34</v>
      </c>
      <c r="C161" s="5">
        <v>302.35000000000002</v>
      </c>
      <c r="D161" s="4">
        <v>50088</v>
      </c>
      <c r="F161" s="3" t="s">
        <v>212</v>
      </c>
      <c r="G161" s="20">
        <v>32.168399999999998</v>
      </c>
      <c r="H161" s="21">
        <v>2.4406000000000001E-2</v>
      </c>
    </row>
    <row r="162" spans="1:8" x14ac:dyDescent="0.25">
      <c r="A162" s="3" t="s">
        <v>213</v>
      </c>
      <c r="B162" s="5">
        <v>727.05</v>
      </c>
      <c r="C162" s="5">
        <v>305.7</v>
      </c>
      <c r="D162" s="4">
        <v>48868</v>
      </c>
      <c r="F162" s="3" t="s">
        <v>213</v>
      </c>
      <c r="G162" s="20">
        <v>32.046599999999998</v>
      </c>
      <c r="H162" s="21">
        <v>2.4395E-2</v>
      </c>
    </row>
    <row r="163" spans="1:8" x14ac:dyDescent="0.25">
      <c r="A163" s="3" t="s">
        <v>214</v>
      </c>
      <c r="B163" s="5">
        <v>743.2</v>
      </c>
      <c r="C163" s="5">
        <v>310.73</v>
      </c>
      <c r="D163" s="4">
        <v>47760</v>
      </c>
      <c r="F163" s="3" t="s">
        <v>214</v>
      </c>
      <c r="G163" s="20">
        <v>32.099600000000002</v>
      </c>
      <c r="H163" s="21">
        <v>2.4324999999999999E-2</v>
      </c>
    </row>
    <row r="164" spans="1:8" x14ac:dyDescent="0.25">
      <c r="A164" s="3" t="s">
        <v>215</v>
      </c>
      <c r="B164" s="5">
        <v>726.19</v>
      </c>
      <c r="C164" s="5">
        <v>312.52</v>
      </c>
      <c r="D164" s="4">
        <v>46379</v>
      </c>
      <c r="F164" s="3" t="s">
        <v>215</v>
      </c>
      <c r="G164" s="20">
        <v>31.977900000000002</v>
      </c>
      <c r="H164" s="21">
        <v>2.4281E-2</v>
      </c>
    </row>
    <row r="165" spans="1:8" x14ac:dyDescent="0.25">
      <c r="A165" s="3" t="s">
        <v>216</v>
      </c>
      <c r="B165" s="5">
        <v>736.14</v>
      </c>
      <c r="C165" s="5">
        <v>311.14999999999998</v>
      </c>
      <c r="D165" s="4">
        <v>47154</v>
      </c>
      <c r="F165" s="3" t="s">
        <v>216</v>
      </c>
      <c r="G165" s="20">
        <v>32.046100000000003</v>
      </c>
      <c r="H165" s="21">
        <v>2.4271999999999998E-2</v>
      </c>
    </row>
    <row r="166" spans="1:8" x14ac:dyDescent="0.25">
      <c r="A166" s="3" t="s">
        <v>217</v>
      </c>
      <c r="B166" s="5">
        <v>750.94</v>
      </c>
      <c r="C166" s="5">
        <v>323.35000000000002</v>
      </c>
      <c r="D166" s="4">
        <v>45997</v>
      </c>
      <c r="F166" s="3" t="s">
        <v>217</v>
      </c>
      <c r="G166" s="20">
        <v>32.162999999999997</v>
      </c>
      <c r="H166" s="21">
        <v>2.4143999999999999E-2</v>
      </c>
    </row>
    <row r="167" spans="1:8" x14ac:dyDescent="0.25">
      <c r="A167" s="3" t="s">
        <v>218</v>
      </c>
      <c r="B167" s="5">
        <v>730.37</v>
      </c>
      <c r="C167" s="5">
        <v>320.72000000000003</v>
      </c>
      <c r="D167" s="4">
        <v>47437</v>
      </c>
      <c r="F167" s="3" t="s">
        <v>218</v>
      </c>
      <c r="G167" s="20">
        <v>32.386499999999998</v>
      </c>
      <c r="H167" s="21">
        <v>2.4167999999999999E-2</v>
      </c>
    </row>
    <row r="168" spans="1:8" x14ac:dyDescent="0.25">
      <c r="A168" s="3" t="s">
        <v>219</v>
      </c>
      <c r="B168" s="5">
        <v>739.04</v>
      </c>
      <c r="C168" s="5">
        <v>314.67</v>
      </c>
      <c r="D168" s="4">
        <v>48311</v>
      </c>
      <c r="F168" s="3" t="s">
        <v>219</v>
      </c>
      <c r="G168" s="20">
        <v>32.310499999999998</v>
      </c>
      <c r="H168" s="21">
        <v>2.4296000000000002E-2</v>
      </c>
    </row>
    <row r="169" spans="1:8" x14ac:dyDescent="0.25">
      <c r="A169" s="3" t="s">
        <v>220</v>
      </c>
      <c r="B169" s="5">
        <v>739.01</v>
      </c>
      <c r="C169" s="5">
        <v>322.06</v>
      </c>
      <c r="D169" s="4">
        <v>47418</v>
      </c>
      <c r="F169" s="3" t="s">
        <v>220</v>
      </c>
      <c r="G169" s="20">
        <v>32.259399999999999</v>
      </c>
      <c r="H169" s="21">
        <v>2.4222E-2</v>
      </c>
    </row>
    <row r="170" spans="1:8" x14ac:dyDescent="0.25">
      <c r="A170" s="3" t="s">
        <v>221</v>
      </c>
      <c r="B170" s="5">
        <v>753.98</v>
      </c>
      <c r="C170" s="5">
        <v>331.98</v>
      </c>
      <c r="D170" s="4">
        <v>46934</v>
      </c>
      <c r="F170" s="3" t="s">
        <v>221</v>
      </c>
      <c r="G170" s="20">
        <v>32.2059</v>
      </c>
      <c r="H170" s="21">
        <v>2.3968E-2</v>
      </c>
    </row>
    <row r="171" spans="1:8" x14ac:dyDescent="0.25">
      <c r="A171" s="3" t="s">
        <v>222</v>
      </c>
      <c r="B171" s="5">
        <v>757.29</v>
      </c>
      <c r="C171" s="5">
        <v>335.31</v>
      </c>
      <c r="D171" s="4">
        <v>47326</v>
      </c>
      <c r="F171" s="3" t="s">
        <v>222</v>
      </c>
      <c r="G171" s="20">
        <v>32.268599999999999</v>
      </c>
      <c r="H171" s="21">
        <v>2.3942999999999999E-2</v>
      </c>
    </row>
    <row r="172" spans="1:8" x14ac:dyDescent="0.25">
      <c r="A172" s="3" t="s">
        <v>223</v>
      </c>
      <c r="B172" s="5">
        <v>745.42</v>
      </c>
      <c r="C172" s="5">
        <v>340.15</v>
      </c>
      <c r="D172" s="4">
        <v>46493</v>
      </c>
      <c r="F172" s="3" t="s">
        <v>223</v>
      </c>
      <c r="G172" s="20">
        <v>32.216999999999999</v>
      </c>
      <c r="H172" s="21">
        <v>2.3833E-2</v>
      </c>
    </row>
    <row r="173" spans="1:8" x14ac:dyDescent="0.25">
      <c r="A173" s="3" t="s">
        <v>224</v>
      </c>
      <c r="B173" s="5">
        <v>747.95</v>
      </c>
      <c r="C173" s="5">
        <v>343.78</v>
      </c>
      <c r="D173" s="4">
        <v>47043</v>
      </c>
      <c r="F173" s="3" t="s">
        <v>224</v>
      </c>
      <c r="G173" s="20">
        <v>32.353299999999997</v>
      </c>
      <c r="H173" s="21">
        <v>2.3819E-2</v>
      </c>
    </row>
    <row r="174" spans="1:8" x14ac:dyDescent="0.25">
      <c r="A174" s="3" t="s">
        <v>225</v>
      </c>
      <c r="B174" s="5">
        <v>758.21</v>
      </c>
      <c r="C174" s="5">
        <v>334.81</v>
      </c>
      <c r="D174" s="4">
        <v>44714</v>
      </c>
      <c r="F174" s="3" t="s">
        <v>225</v>
      </c>
      <c r="G174" s="20">
        <v>32.305399999999999</v>
      </c>
      <c r="H174" s="21">
        <v>2.3886999999999999E-2</v>
      </c>
    </row>
    <row r="175" spans="1:8" x14ac:dyDescent="0.25">
      <c r="A175" s="3" t="s">
        <v>226</v>
      </c>
      <c r="B175" s="5">
        <v>762.79</v>
      </c>
      <c r="C175" s="5">
        <v>337.68</v>
      </c>
      <c r="D175" s="4">
        <v>46242</v>
      </c>
      <c r="F175" s="3" t="s">
        <v>226</v>
      </c>
      <c r="G175" s="20">
        <v>32.243200000000002</v>
      </c>
      <c r="H175" s="21">
        <v>2.3827000000000001E-2</v>
      </c>
    </row>
    <row r="176" spans="1:8" x14ac:dyDescent="0.25">
      <c r="A176" s="3" t="s">
        <v>227</v>
      </c>
      <c r="B176" s="5">
        <v>760.38</v>
      </c>
      <c r="C176" s="5">
        <v>336.77</v>
      </c>
      <c r="D176" s="4">
        <v>44786</v>
      </c>
      <c r="F176" s="3" t="s">
        <v>227</v>
      </c>
      <c r="G176" s="20">
        <v>32.320500000000003</v>
      </c>
      <c r="H176" s="21">
        <v>2.3886999999999999E-2</v>
      </c>
    </row>
    <row r="177" spans="1:8" x14ac:dyDescent="0.25">
      <c r="A177" s="3" t="s">
        <v>228</v>
      </c>
      <c r="B177" s="5">
        <v>767.46</v>
      </c>
      <c r="C177" s="5">
        <v>346.36</v>
      </c>
      <c r="D177" s="4">
        <v>44782</v>
      </c>
      <c r="F177" s="3" t="s">
        <v>228</v>
      </c>
      <c r="G177" s="20">
        <v>32.371099999999998</v>
      </c>
      <c r="H177" s="21">
        <v>2.3938000000000001E-2</v>
      </c>
    </row>
    <row r="178" spans="1:8" x14ac:dyDescent="0.25">
      <c r="A178" s="3" t="s">
        <v>229</v>
      </c>
      <c r="B178" s="5">
        <v>775.66</v>
      </c>
      <c r="C178" s="5">
        <v>354.87</v>
      </c>
      <c r="D178" s="4">
        <v>46285</v>
      </c>
      <c r="F178" s="3" t="s">
        <v>229</v>
      </c>
      <c r="G178" s="20">
        <v>32.363700000000001</v>
      </c>
      <c r="H178" s="21">
        <v>2.3841000000000001E-2</v>
      </c>
    </row>
    <row r="179" spans="1:8" x14ac:dyDescent="0.25">
      <c r="A179" s="3" t="s">
        <v>230</v>
      </c>
      <c r="B179" s="5">
        <v>791.41</v>
      </c>
      <c r="C179" s="5">
        <v>363.5</v>
      </c>
      <c r="D179" s="4">
        <v>43485</v>
      </c>
      <c r="F179" s="3" t="s">
        <v>230</v>
      </c>
      <c r="G179" s="20">
        <v>32.348999999999997</v>
      </c>
      <c r="H179" s="21">
        <v>2.4003E-2</v>
      </c>
    </row>
    <row r="180" spans="1:8" x14ac:dyDescent="0.25">
      <c r="A180" s="3" t="s">
        <v>231</v>
      </c>
      <c r="B180" s="5">
        <v>763.39</v>
      </c>
      <c r="C180" s="5">
        <v>362.63</v>
      </c>
      <c r="D180" s="4">
        <v>41728</v>
      </c>
      <c r="F180" s="3" t="s">
        <v>231</v>
      </c>
      <c r="G180" s="20">
        <v>32.3142</v>
      </c>
      <c r="H180" s="21">
        <v>2.4094999999999998E-2</v>
      </c>
    </row>
    <row r="181" spans="1:8" x14ac:dyDescent="0.25">
      <c r="A181" s="3" t="s">
        <v>232</v>
      </c>
      <c r="B181" s="5">
        <v>779.49</v>
      </c>
      <c r="C181" s="5">
        <v>361.44</v>
      </c>
      <c r="D181" s="4">
        <v>40504</v>
      </c>
      <c r="F181" s="3" t="s">
        <v>232</v>
      </c>
      <c r="G181" s="20">
        <v>32.241799999999998</v>
      </c>
      <c r="H181" s="21">
        <v>2.4119000000000002E-2</v>
      </c>
    </row>
    <row r="182" spans="1:8" x14ac:dyDescent="0.25">
      <c r="A182" s="3" t="s">
        <v>233</v>
      </c>
      <c r="B182" s="5">
        <v>794.36</v>
      </c>
      <c r="C182" s="5">
        <v>359.62</v>
      </c>
      <c r="D182" s="4">
        <v>39781</v>
      </c>
      <c r="F182" s="3" t="s">
        <v>233</v>
      </c>
      <c r="G182" s="20">
        <v>32.168199999999999</v>
      </c>
      <c r="H182" s="21">
        <v>2.4135E-2</v>
      </c>
    </row>
    <row r="183" spans="1:8" x14ac:dyDescent="0.25">
      <c r="A183" s="3" t="s">
        <v>234</v>
      </c>
      <c r="B183" s="5">
        <v>807.39</v>
      </c>
      <c r="C183" s="5">
        <v>360.16</v>
      </c>
      <c r="D183" s="4">
        <v>38923</v>
      </c>
      <c r="F183" s="3" t="s">
        <v>234</v>
      </c>
      <c r="G183" s="20">
        <v>32.113599999999998</v>
      </c>
      <c r="H183" s="21">
        <v>2.3963999999999999E-2</v>
      </c>
    </row>
    <row r="184" spans="1:8" x14ac:dyDescent="0.25">
      <c r="A184" s="3" t="s">
        <v>235</v>
      </c>
      <c r="B184" s="5">
        <v>790.98</v>
      </c>
      <c r="C184" s="5">
        <v>348.5</v>
      </c>
      <c r="D184" s="4">
        <v>39904</v>
      </c>
      <c r="F184" s="3" t="s">
        <v>235</v>
      </c>
      <c r="G184" s="20">
        <v>32.077500000000001</v>
      </c>
      <c r="H184" s="21">
        <v>2.4049000000000001E-2</v>
      </c>
    </row>
    <row r="185" spans="1:8" x14ac:dyDescent="0.25">
      <c r="A185" s="3" t="s">
        <v>236</v>
      </c>
      <c r="B185" s="5">
        <v>813.03</v>
      </c>
      <c r="C185" s="5">
        <v>351.61</v>
      </c>
      <c r="D185" s="4">
        <v>39600</v>
      </c>
      <c r="F185" s="3" t="s">
        <v>236</v>
      </c>
      <c r="G185" s="20">
        <v>32.010199999999998</v>
      </c>
      <c r="H185" s="21">
        <v>2.3993E-2</v>
      </c>
    </row>
    <row r="186" spans="1:8" x14ac:dyDescent="0.25">
      <c r="A186" s="3" t="s">
        <v>237</v>
      </c>
      <c r="B186" s="5">
        <v>821.76</v>
      </c>
      <c r="C186" s="5">
        <v>351.65</v>
      </c>
      <c r="D186" s="4">
        <v>40360</v>
      </c>
      <c r="F186" s="3" t="s">
        <v>237</v>
      </c>
      <c r="G186" s="20">
        <v>31.963100000000001</v>
      </c>
      <c r="H186" s="21">
        <v>2.3945000000000001E-2</v>
      </c>
    </row>
    <row r="187" spans="1:8" x14ac:dyDescent="0.25">
      <c r="A187" s="3" t="s">
        <v>238</v>
      </c>
      <c r="B187" s="5">
        <v>833.01</v>
      </c>
      <c r="C187" s="5">
        <v>353.52</v>
      </c>
      <c r="D187" s="4">
        <v>40279</v>
      </c>
      <c r="F187" s="3" t="s">
        <v>238</v>
      </c>
      <c r="G187" s="20">
        <v>32.036700000000003</v>
      </c>
      <c r="H187" s="21">
        <v>2.3955000000000001E-2</v>
      </c>
    </row>
    <row r="188" spans="1:8" x14ac:dyDescent="0.25">
      <c r="A188" s="3" t="s">
        <v>239</v>
      </c>
      <c r="B188" s="5">
        <v>843.98</v>
      </c>
      <c r="C188" s="5">
        <v>355.02</v>
      </c>
      <c r="D188" s="4">
        <v>39024</v>
      </c>
      <c r="F188" s="3" t="s">
        <v>239</v>
      </c>
      <c r="G188" s="20">
        <v>32.008000000000003</v>
      </c>
      <c r="H188" s="21">
        <v>2.3841999999999999E-2</v>
      </c>
    </row>
    <row r="189" spans="1:8" x14ac:dyDescent="0.25">
      <c r="A189" s="3" t="s">
        <v>240</v>
      </c>
      <c r="B189" s="5">
        <v>849.63</v>
      </c>
      <c r="C189" s="5">
        <v>367.07</v>
      </c>
      <c r="D189" s="4">
        <v>39059</v>
      </c>
      <c r="F189" s="3" t="s">
        <v>240</v>
      </c>
      <c r="G189" s="20">
        <v>32.141399999999997</v>
      </c>
      <c r="H189" s="21">
        <v>2.3823E-2</v>
      </c>
    </row>
    <row r="190" spans="1:8" x14ac:dyDescent="0.25">
      <c r="A190" s="3" t="s">
        <v>241</v>
      </c>
      <c r="B190" s="5">
        <v>855</v>
      </c>
      <c r="C190" s="5">
        <v>365.84</v>
      </c>
      <c r="D190" s="4">
        <v>39326</v>
      </c>
      <c r="F190" s="3" t="s">
        <v>241</v>
      </c>
      <c r="G190" s="20">
        <v>32.105499999999999</v>
      </c>
      <c r="H190" s="21">
        <v>2.3701E-2</v>
      </c>
    </row>
    <row r="191" spans="1:8" x14ac:dyDescent="0.25">
      <c r="A191" s="3" t="s">
        <v>242</v>
      </c>
      <c r="B191" s="5">
        <v>850.76</v>
      </c>
      <c r="C191" s="5">
        <v>380.78</v>
      </c>
      <c r="D191" s="4">
        <v>40053</v>
      </c>
      <c r="F191" s="3" t="s">
        <v>242</v>
      </c>
      <c r="G191" s="20">
        <v>32.157600000000002</v>
      </c>
      <c r="H191" s="21">
        <v>2.3717999999999999E-2</v>
      </c>
    </row>
    <row r="192" spans="1:8" x14ac:dyDescent="0.25">
      <c r="A192" s="3" t="s">
        <v>243</v>
      </c>
      <c r="B192" s="5">
        <v>852.25</v>
      </c>
      <c r="C192" s="5">
        <v>383.34</v>
      </c>
      <c r="D192" s="4">
        <v>40238</v>
      </c>
      <c r="F192" s="3" t="s">
        <v>243</v>
      </c>
      <c r="G192" s="20">
        <v>32.154200000000003</v>
      </c>
      <c r="H192" s="21">
        <v>2.3564000000000002E-2</v>
      </c>
    </row>
    <row r="193" spans="1:8" x14ac:dyDescent="0.25">
      <c r="A193" s="3" t="s">
        <v>244</v>
      </c>
      <c r="B193" s="5">
        <v>878.79</v>
      </c>
      <c r="C193" s="5">
        <v>382.22</v>
      </c>
      <c r="D193" s="4">
        <v>39752</v>
      </c>
      <c r="F193" s="3" t="s">
        <v>244</v>
      </c>
      <c r="G193" s="20">
        <v>31.9998</v>
      </c>
      <c r="H193" s="21">
        <v>2.3529999999999999E-2</v>
      </c>
    </row>
    <row r="194" spans="1:8" x14ac:dyDescent="0.25">
      <c r="A194" s="3" t="s">
        <v>245</v>
      </c>
      <c r="B194" s="5">
        <v>889.67</v>
      </c>
      <c r="C194" s="5">
        <v>382.44</v>
      </c>
      <c r="D194" s="4">
        <v>39333</v>
      </c>
      <c r="F194" s="3" t="s">
        <v>245</v>
      </c>
      <c r="G194" s="20">
        <v>32.212699999999998</v>
      </c>
      <c r="H194" s="21">
        <v>2.3517E-2</v>
      </c>
    </row>
    <row r="195" spans="1:8" x14ac:dyDescent="0.25">
      <c r="A195" s="3" t="s">
        <v>246</v>
      </c>
      <c r="B195" s="5">
        <v>858.04</v>
      </c>
      <c r="C195" s="5">
        <v>378.91</v>
      </c>
      <c r="D195" s="4">
        <v>38571</v>
      </c>
      <c r="F195" s="3" t="s">
        <v>246</v>
      </c>
      <c r="G195" s="20">
        <v>32.285200000000003</v>
      </c>
      <c r="H195" s="21">
        <v>2.3695000000000001E-2</v>
      </c>
    </row>
    <row r="196" spans="1:8" x14ac:dyDescent="0.25">
      <c r="A196" s="3" t="s">
        <v>247</v>
      </c>
      <c r="B196" s="5">
        <v>877.82</v>
      </c>
      <c r="C196" s="5">
        <v>374.48</v>
      </c>
      <c r="D196" s="4">
        <v>38986</v>
      </c>
      <c r="F196" s="3" t="s">
        <v>247</v>
      </c>
      <c r="G196" s="20">
        <v>32.421599999999998</v>
      </c>
      <c r="H196" s="21">
        <v>2.3712E-2</v>
      </c>
    </row>
    <row r="197" spans="1:8" x14ac:dyDescent="0.25">
      <c r="A197" s="3" t="s">
        <v>248</v>
      </c>
      <c r="B197" s="5">
        <v>878.01</v>
      </c>
      <c r="C197" s="5">
        <v>370.49</v>
      </c>
      <c r="D197" s="4">
        <v>40005</v>
      </c>
      <c r="F197" s="3" t="s">
        <v>248</v>
      </c>
      <c r="G197" s="20">
        <v>32.245600000000003</v>
      </c>
      <c r="H197" s="21">
        <v>2.3736E-2</v>
      </c>
    </row>
    <row r="198" spans="1:8" x14ac:dyDescent="0.25">
      <c r="A198" s="3" t="s">
        <v>249</v>
      </c>
      <c r="B198" s="5">
        <v>905.29</v>
      </c>
      <c r="C198" s="5">
        <v>372.01</v>
      </c>
      <c r="D198" s="4">
        <v>40102</v>
      </c>
      <c r="F198" s="3" t="s">
        <v>249</v>
      </c>
      <c r="G198" s="20">
        <v>32.312600000000003</v>
      </c>
      <c r="H198" s="21">
        <v>2.3777E-2</v>
      </c>
    </row>
    <row r="199" spans="1:8" x14ac:dyDescent="0.25">
      <c r="A199" s="3" t="s">
        <v>250</v>
      </c>
      <c r="B199" s="5">
        <v>869.4</v>
      </c>
      <c r="C199" s="5">
        <v>374.3</v>
      </c>
      <c r="D199" s="4">
        <v>39816</v>
      </c>
      <c r="F199" s="3" t="s">
        <v>250</v>
      </c>
      <c r="G199" s="20">
        <v>32.2667</v>
      </c>
      <c r="H199" s="21">
        <v>2.3651999999999999E-2</v>
      </c>
    </row>
    <row r="200" spans="1:8" x14ac:dyDescent="0.25">
      <c r="A200" s="3" t="s">
        <v>251</v>
      </c>
      <c r="B200" s="5">
        <v>891.45</v>
      </c>
      <c r="C200" s="5">
        <v>374.59</v>
      </c>
      <c r="D200" s="4">
        <v>40519</v>
      </c>
      <c r="F200" s="3" t="s">
        <v>251</v>
      </c>
      <c r="G200" s="20">
        <v>32.323999999999998</v>
      </c>
      <c r="H200" s="21">
        <v>2.376E-2</v>
      </c>
    </row>
    <row r="201" spans="1:8" x14ac:dyDescent="0.25">
      <c r="A201" s="3" t="s">
        <v>252</v>
      </c>
      <c r="B201" s="5">
        <v>901.43</v>
      </c>
      <c r="C201" s="5">
        <v>379.6</v>
      </c>
      <c r="D201" s="4">
        <v>40399</v>
      </c>
      <c r="F201" s="3" t="s">
        <v>252</v>
      </c>
      <c r="G201" s="20">
        <v>32.324300000000001</v>
      </c>
      <c r="H201" s="21">
        <v>2.3741000000000002E-2</v>
      </c>
    </row>
    <row r="202" spans="1:8" x14ac:dyDescent="0.25">
      <c r="A202" s="3" t="s">
        <v>253</v>
      </c>
      <c r="B202" s="5">
        <v>891.58</v>
      </c>
      <c r="C202" s="5">
        <v>371.81</v>
      </c>
      <c r="D202" s="4">
        <v>40381</v>
      </c>
      <c r="F202" s="3" t="s">
        <v>253</v>
      </c>
      <c r="G202" s="20">
        <v>32.3581</v>
      </c>
      <c r="H202" s="21">
        <v>2.3609999999999999E-2</v>
      </c>
    </row>
    <row r="203" spans="1:8" x14ac:dyDescent="0.25">
      <c r="A203" s="3" t="s">
        <v>254</v>
      </c>
      <c r="B203" s="5">
        <v>878.46</v>
      </c>
      <c r="C203" s="5">
        <v>374.13</v>
      </c>
      <c r="D203" s="4">
        <v>38793</v>
      </c>
      <c r="F203" s="3" t="s">
        <v>254</v>
      </c>
      <c r="G203" s="20">
        <v>32.293799999999997</v>
      </c>
      <c r="H203" s="21">
        <v>2.3602000000000001E-2</v>
      </c>
    </row>
    <row r="204" spans="1:8" x14ac:dyDescent="0.25">
      <c r="A204" s="3" t="s">
        <v>255</v>
      </c>
      <c r="B204" s="5">
        <v>904.3</v>
      </c>
      <c r="C204" s="5">
        <v>381.04</v>
      </c>
      <c r="D204" s="4">
        <v>39248</v>
      </c>
      <c r="F204" s="3" t="s">
        <v>255</v>
      </c>
      <c r="G204" s="20">
        <v>32.158499999999997</v>
      </c>
      <c r="H204" s="21">
        <v>2.3668000000000002E-2</v>
      </c>
    </row>
    <row r="205" spans="1:8" x14ac:dyDescent="0.25">
      <c r="A205" s="3" t="s">
        <v>256</v>
      </c>
      <c r="B205" s="5">
        <v>891.87</v>
      </c>
      <c r="C205" s="5">
        <v>374.82</v>
      </c>
      <c r="D205" s="4">
        <v>38692</v>
      </c>
      <c r="F205" s="3" t="s">
        <v>256</v>
      </c>
      <c r="G205" s="20">
        <v>32.161900000000003</v>
      </c>
      <c r="H205" s="21">
        <v>2.3730999999999999E-2</v>
      </c>
    </row>
    <row r="206" spans="1:8" x14ac:dyDescent="0.25">
      <c r="A206" s="3" t="s">
        <v>257</v>
      </c>
      <c r="B206" s="5">
        <v>905.25</v>
      </c>
      <c r="C206" s="5">
        <v>378.18</v>
      </c>
      <c r="D206" s="4">
        <v>39253</v>
      </c>
      <c r="F206" s="3" t="s">
        <v>257</v>
      </c>
      <c r="G206" s="20">
        <v>32.0182</v>
      </c>
      <c r="H206" s="21">
        <v>2.3758000000000001E-2</v>
      </c>
    </row>
    <row r="207" spans="1:8" x14ac:dyDescent="0.25">
      <c r="A207" s="3" t="s">
        <v>258</v>
      </c>
      <c r="B207" s="5">
        <v>923.71</v>
      </c>
      <c r="C207" s="5">
        <v>384.95</v>
      </c>
      <c r="D207" s="4">
        <v>40295</v>
      </c>
      <c r="F207" s="3" t="s">
        <v>258</v>
      </c>
      <c r="G207" s="20">
        <v>31.9285</v>
      </c>
      <c r="H207" s="21">
        <v>2.3786999999999999E-2</v>
      </c>
    </row>
    <row r="208" spans="1:8" x14ac:dyDescent="0.25">
      <c r="A208" s="3" t="s">
        <v>259</v>
      </c>
      <c r="B208" s="5">
        <v>924.47</v>
      </c>
      <c r="C208" s="5">
        <v>378.79</v>
      </c>
      <c r="D208" s="4">
        <v>41432</v>
      </c>
      <c r="F208" s="3" t="s">
        <v>259</v>
      </c>
      <c r="G208" s="20">
        <v>31.8324</v>
      </c>
      <c r="H208" s="21">
        <v>2.3813000000000001E-2</v>
      </c>
    </row>
    <row r="209" spans="1:8" x14ac:dyDescent="0.25">
      <c r="A209" s="3" t="s">
        <v>260</v>
      </c>
      <c r="B209" s="5">
        <v>950.79</v>
      </c>
      <c r="C209" s="5">
        <v>371.13</v>
      </c>
      <c r="D209" s="4">
        <v>41299</v>
      </c>
      <c r="F209" s="3" t="s">
        <v>260</v>
      </c>
      <c r="G209" s="20">
        <v>32.063899999999997</v>
      </c>
      <c r="H209" s="21">
        <v>2.3737000000000001E-2</v>
      </c>
    </row>
    <row r="210" spans="1:8" x14ac:dyDescent="0.25">
      <c r="A210" s="3" t="s">
        <v>261</v>
      </c>
      <c r="B210" s="5">
        <v>997.88</v>
      </c>
      <c r="C210" s="5">
        <v>384.93</v>
      </c>
      <c r="D210" s="4">
        <v>42965</v>
      </c>
      <c r="F210" s="3" t="s">
        <v>261</v>
      </c>
      <c r="G210" s="20">
        <v>32.096699999999998</v>
      </c>
      <c r="H210" s="21">
        <v>2.3778000000000001E-2</v>
      </c>
    </row>
    <row r="211" spans="1:8" x14ac:dyDescent="0.25">
      <c r="A211" s="3" t="s">
        <v>262</v>
      </c>
      <c r="B211" s="5">
        <v>954.9</v>
      </c>
      <c r="C211" s="5">
        <v>378.53</v>
      </c>
      <c r="D211" s="4">
        <v>41882</v>
      </c>
      <c r="F211" s="3" t="s">
        <v>262</v>
      </c>
      <c r="G211" s="20">
        <v>32.203800000000001</v>
      </c>
      <c r="H211" s="21">
        <v>2.3848999999999999E-2</v>
      </c>
    </row>
    <row r="212" spans="1:8" x14ac:dyDescent="0.25">
      <c r="A212" s="3" t="s">
        <v>263</v>
      </c>
      <c r="B212" s="5">
        <v>954.68</v>
      </c>
      <c r="C212" s="5">
        <v>378.44</v>
      </c>
      <c r="D212" s="4">
        <v>42872</v>
      </c>
      <c r="F212" s="3" t="s">
        <v>263</v>
      </c>
      <c r="G212" s="20">
        <v>32.283099999999997</v>
      </c>
      <c r="H212" s="21">
        <v>2.3723000000000001E-2</v>
      </c>
    </row>
    <row r="213" spans="1:8" x14ac:dyDescent="0.25">
      <c r="A213" s="3" t="s">
        <v>264</v>
      </c>
      <c r="B213" s="5">
        <v>946.41</v>
      </c>
      <c r="C213" s="5">
        <v>376.67</v>
      </c>
      <c r="D213" s="4">
        <v>41986</v>
      </c>
      <c r="F213" s="3" t="s">
        <v>264</v>
      </c>
      <c r="G213" s="20">
        <v>32.239100000000001</v>
      </c>
      <c r="H213" s="21">
        <v>2.3595999999999999E-2</v>
      </c>
    </row>
    <row r="214" spans="1:8" x14ac:dyDescent="0.25">
      <c r="A214" s="3" t="s">
        <v>265</v>
      </c>
      <c r="B214" s="5">
        <v>920.24</v>
      </c>
      <c r="C214" s="5">
        <v>376.62</v>
      </c>
      <c r="D214" s="4">
        <v>42823</v>
      </c>
      <c r="F214" s="3" t="s">
        <v>265</v>
      </c>
      <c r="G214" s="20">
        <v>32.137799999999999</v>
      </c>
      <c r="H214" s="21">
        <v>2.3726000000000001E-2</v>
      </c>
    </row>
    <row r="215" spans="1:8" x14ac:dyDescent="0.25">
      <c r="A215" s="3" t="s">
        <v>266</v>
      </c>
      <c r="B215" s="5">
        <v>920.97</v>
      </c>
      <c r="C215" s="5">
        <v>386.35</v>
      </c>
      <c r="D215" s="4">
        <v>42718</v>
      </c>
      <c r="F215" s="3" t="s">
        <v>266</v>
      </c>
      <c r="G215" s="20">
        <v>32.118200000000002</v>
      </c>
      <c r="H215" s="21">
        <v>2.3618E-2</v>
      </c>
    </row>
    <row r="216" spans="1:8" x14ac:dyDescent="0.25">
      <c r="A216" s="3" t="s">
        <v>267</v>
      </c>
      <c r="B216" s="5">
        <v>932.04</v>
      </c>
      <c r="C216" s="5">
        <v>374.64</v>
      </c>
      <c r="D216" s="4">
        <v>42880</v>
      </c>
      <c r="F216" s="3" t="s">
        <v>267</v>
      </c>
      <c r="G216" s="20">
        <v>32.090200000000003</v>
      </c>
      <c r="H216" s="21">
        <v>2.3713999999999999E-2</v>
      </c>
    </row>
    <row r="217" spans="1:8" x14ac:dyDescent="0.25">
      <c r="A217" s="3" t="s">
        <v>268</v>
      </c>
      <c r="B217" s="5">
        <v>966.49</v>
      </c>
      <c r="C217" s="5">
        <v>374.06</v>
      </c>
      <c r="D217" s="4">
        <v>43605</v>
      </c>
      <c r="F217" s="3" t="s">
        <v>268</v>
      </c>
      <c r="G217" s="20">
        <v>32.009300000000003</v>
      </c>
      <c r="H217" s="21">
        <v>2.3684E-2</v>
      </c>
    </row>
    <row r="218" spans="1:8" x14ac:dyDescent="0.25">
      <c r="A218" s="3" t="s">
        <v>269</v>
      </c>
      <c r="B218" s="5">
        <v>975.34</v>
      </c>
      <c r="C218" s="5">
        <v>373.28</v>
      </c>
      <c r="D218" s="4">
        <v>43894</v>
      </c>
      <c r="F218" s="3" t="s">
        <v>269</v>
      </c>
      <c r="G218" s="20">
        <v>31.923100000000002</v>
      </c>
      <c r="H218" s="21">
        <v>2.3595000000000001E-2</v>
      </c>
    </row>
    <row r="219" spans="1:8" x14ac:dyDescent="0.25">
      <c r="A219" s="3" t="s">
        <v>270</v>
      </c>
      <c r="B219" s="5">
        <v>972.56</v>
      </c>
      <c r="C219" s="5">
        <v>368.66</v>
      </c>
      <c r="D219" s="4">
        <v>43758</v>
      </c>
      <c r="F219" s="3" t="s">
        <v>270</v>
      </c>
      <c r="G219" s="20">
        <v>31.967500000000001</v>
      </c>
      <c r="H219" s="21">
        <v>2.3722E-2</v>
      </c>
    </row>
    <row r="220" spans="1:8" x14ac:dyDescent="0.25">
      <c r="A220" s="3" t="s">
        <v>271</v>
      </c>
      <c r="B220" s="5">
        <v>967.71</v>
      </c>
      <c r="C220" s="5">
        <v>368.97</v>
      </c>
      <c r="D220" s="4">
        <v>41715</v>
      </c>
      <c r="F220" s="3" t="s">
        <v>271</v>
      </c>
      <c r="G220" s="20">
        <v>31.904399999999999</v>
      </c>
      <c r="H220" s="21">
        <v>2.3879000000000001E-2</v>
      </c>
    </row>
    <row r="221" spans="1:8" x14ac:dyDescent="0.25">
      <c r="A221" s="3" t="s">
        <v>272</v>
      </c>
      <c r="B221" s="5">
        <v>960.76</v>
      </c>
      <c r="C221" s="5">
        <v>375.38</v>
      </c>
      <c r="D221" s="4">
        <v>42442</v>
      </c>
      <c r="F221" s="3" t="s">
        <v>272</v>
      </c>
      <c r="G221" s="20">
        <v>31.823399999999999</v>
      </c>
      <c r="H221" s="21">
        <v>2.4065E-2</v>
      </c>
    </row>
    <row r="222" spans="1:8" x14ac:dyDescent="0.25">
      <c r="A222" s="3" t="s">
        <v>273</v>
      </c>
      <c r="B222" s="5">
        <v>985.35</v>
      </c>
      <c r="C222" s="5">
        <v>377.79</v>
      </c>
      <c r="D222" s="4">
        <v>43648</v>
      </c>
      <c r="F222" s="3" t="s">
        <v>273</v>
      </c>
      <c r="G222" s="20">
        <v>31.847300000000001</v>
      </c>
      <c r="H222" s="21">
        <v>2.4256E-2</v>
      </c>
    </row>
    <row r="223" spans="1:8" x14ac:dyDescent="0.25">
      <c r="A223" s="3" t="s">
        <v>274</v>
      </c>
      <c r="B223" s="5">
        <v>1019.24</v>
      </c>
      <c r="C223" s="5">
        <v>378.47</v>
      </c>
      <c r="D223" s="4">
        <v>43837</v>
      </c>
      <c r="F223" s="3" t="s">
        <v>274</v>
      </c>
      <c r="G223" s="20">
        <v>31.748699999999999</v>
      </c>
      <c r="H223" s="21">
        <v>2.4341000000000002E-2</v>
      </c>
    </row>
    <row r="224" spans="1:8" x14ac:dyDescent="0.25">
      <c r="A224" s="3" t="s">
        <v>275</v>
      </c>
      <c r="B224" s="5">
        <v>1082.95</v>
      </c>
      <c r="C224" s="5">
        <v>381.96</v>
      </c>
      <c r="D224" s="4">
        <v>42641</v>
      </c>
      <c r="F224" s="3" t="s">
        <v>275</v>
      </c>
      <c r="G224" s="20">
        <v>31.841999999999999</v>
      </c>
      <c r="H224" s="21">
        <v>2.4249E-2</v>
      </c>
    </row>
    <row r="225" spans="1:8" x14ac:dyDescent="0.25">
      <c r="A225" s="3" t="s">
        <v>276</v>
      </c>
      <c r="B225" s="5">
        <v>1118.81</v>
      </c>
      <c r="C225" s="5">
        <v>386.74</v>
      </c>
      <c r="D225" s="4">
        <v>41675</v>
      </c>
      <c r="F225" s="3" t="s">
        <v>276</v>
      </c>
      <c r="G225" s="20">
        <v>31.7378</v>
      </c>
      <c r="H225" s="21">
        <v>2.4233999999999999E-2</v>
      </c>
    </row>
    <row r="226" spans="1:8" x14ac:dyDescent="0.25">
      <c r="A226" s="3" t="s">
        <v>277</v>
      </c>
      <c r="B226" s="5">
        <v>1092.07</v>
      </c>
      <c r="C226" s="5">
        <v>387.03</v>
      </c>
      <c r="D226" s="4">
        <v>40328</v>
      </c>
      <c r="F226" s="3" t="s">
        <v>277</v>
      </c>
      <c r="G226" s="20">
        <v>31.6675</v>
      </c>
      <c r="H226" s="21">
        <v>2.4337999999999999E-2</v>
      </c>
    </row>
    <row r="227" spans="1:8" x14ac:dyDescent="0.25">
      <c r="A227" s="3" t="s">
        <v>278</v>
      </c>
      <c r="B227" s="5">
        <v>1075.8900000000001</v>
      </c>
      <c r="C227" s="5">
        <v>376.22</v>
      </c>
      <c r="D227" s="4">
        <v>40091</v>
      </c>
      <c r="F227" s="3" t="s">
        <v>278</v>
      </c>
      <c r="G227" s="20">
        <v>31.6187</v>
      </c>
      <c r="H227" s="21">
        <v>2.4322E-2</v>
      </c>
    </row>
    <row r="228" spans="1:8" x14ac:dyDescent="0.25">
      <c r="A228" s="3" t="s">
        <v>279</v>
      </c>
      <c r="B228" s="5">
        <v>1076.01</v>
      </c>
      <c r="C228" s="5">
        <v>364.97</v>
      </c>
      <c r="D228" s="4">
        <v>41168</v>
      </c>
      <c r="F228" s="3" t="s">
        <v>279</v>
      </c>
      <c r="G228" s="20">
        <v>31.6267</v>
      </c>
      <c r="H228" s="21">
        <v>2.4500000000000001E-2</v>
      </c>
    </row>
    <row r="229" spans="1:8" x14ac:dyDescent="0.25">
      <c r="A229" s="3" t="s">
        <v>280</v>
      </c>
      <c r="B229" s="5">
        <v>1055.73</v>
      </c>
      <c r="C229" s="5">
        <v>360.66</v>
      </c>
      <c r="D229" s="4">
        <v>42825</v>
      </c>
      <c r="F229" s="3" t="s">
        <v>280</v>
      </c>
      <c r="G229" s="20">
        <v>31.732700000000001</v>
      </c>
      <c r="H229" s="21">
        <v>2.4580999999999999E-2</v>
      </c>
    </row>
    <row r="230" spans="1:8" x14ac:dyDescent="0.25">
      <c r="A230" s="3" t="s">
        <v>281</v>
      </c>
      <c r="B230" s="5">
        <v>1052.44</v>
      </c>
      <c r="C230" s="5">
        <v>357.22</v>
      </c>
      <c r="D230" s="4">
        <v>42209</v>
      </c>
      <c r="F230" s="3" t="s">
        <v>281</v>
      </c>
      <c r="G230" s="20">
        <v>31.7409</v>
      </c>
      <c r="H230" s="21">
        <v>2.4618000000000001E-2</v>
      </c>
    </row>
    <row r="231" spans="1:8" x14ac:dyDescent="0.25">
      <c r="A231" s="3" t="s">
        <v>282</v>
      </c>
      <c r="B231" s="5">
        <v>1070.82</v>
      </c>
      <c r="C231" s="5">
        <v>355.48</v>
      </c>
      <c r="D231" s="4">
        <v>40527</v>
      </c>
      <c r="F231" s="3" t="s">
        <v>282</v>
      </c>
      <c r="G231" s="20">
        <v>31.557600000000001</v>
      </c>
      <c r="H231" s="21">
        <v>2.46E-2</v>
      </c>
    </row>
    <row r="232" spans="1:8" x14ac:dyDescent="0.25">
      <c r="A232" s="3" t="s">
        <v>283</v>
      </c>
      <c r="B232" s="5">
        <v>1043.6600000000001</v>
      </c>
      <c r="C232" s="5">
        <v>349.23</v>
      </c>
      <c r="D232" s="4">
        <v>40069</v>
      </c>
      <c r="F232" s="3" t="s">
        <v>283</v>
      </c>
      <c r="G232" s="20">
        <v>31.459299999999999</v>
      </c>
      <c r="H232" s="21">
        <v>2.4607E-2</v>
      </c>
    </row>
    <row r="233" spans="1:8" x14ac:dyDescent="0.25">
      <c r="A233" s="3" t="s">
        <v>284</v>
      </c>
      <c r="B233" s="5">
        <v>1011.06</v>
      </c>
      <c r="C233" s="5">
        <v>347.17</v>
      </c>
      <c r="D233" s="4">
        <v>39395</v>
      </c>
      <c r="F233" s="3" t="s">
        <v>284</v>
      </c>
      <c r="G233" s="20">
        <v>31.4527</v>
      </c>
      <c r="H233" s="21">
        <v>2.4549000000000001E-2</v>
      </c>
    </row>
    <row r="234" spans="1:8" x14ac:dyDescent="0.25">
      <c r="A234" s="3" t="s">
        <v>285</v>
      </c>
      <c r="B234" s="5">
        <v>990.15</v>
      </c>
      <c r="C234" s="5">
        <v>343.62</v>
      </c>
      <c r="D234" s="4">
        <v>40791</v>
      </c>
      <c r="F234" s="3" t="s">
        <v>285</v>
      </c>
      <c r="G234" s="20">
        <v>31.462599999999998</v>
      </c>
      <c r="H234" s="21">
        <v>2.4566000000000001E-2</v>
      </c>
    </row>
    <row r="235" spans="1:8" x14ac:dyDescent="0.25">
      <c r="A235" s="3" t="s">
        <v>286</v>
      </c>
      <c r="B235" s="5">
        <v>983.44</v>
      </c>
      <c r="C235" s="5">
        <v>342.12</v>
      </c>
      <c r="D235" s="4">
        <v>41454</v>
      </c>
      <c r="F235" s="3" t="s">
        <v>286</v>
      </c>
      <c r="G235" s="20">
        <v>31.3583</v>
      </c>
      <c r="H235" s="21">
        <v>2.4638E-2</v>
      </c>
    </row>
    <row r="236" spans="1:8" x14ac:dyDescent="0.25">
      <c r="A236" s="3" t="s">
        <v>287</v>
      </c>
      <c r="B236" s="5">
        <v>979.79</v>
      </c>
      <c r="C236" s="5">
        <v>344.58</v>
      </c>
      <c r="D236" s="4">
        <v>41866</v>
      </c>
      <c r="F236" s="3" t="s">
        <v>287</v>
      </c>
      <c r="G236" s="20">
        <v>31.394600000000001</v>
      </c>
      <c r="H236" s="21">
        <v>2.4624E-2</v>
      </c>
    </row>
    <row r="237" spans="1:8" x14ac:dyDescent="0.25">
      <c r="A237" s="3" t="s">
        <v>288</v>
      </c>
      <c r="B237" s="5">
        <v>954.85</v>
      </c>
      <c r="C237" s="5">
        <v>345.45</v>
      </c>
      <c r="D237" s="4">
        <v>41133</v>
      </c>
      <c r="F237" s="3" t="s">
        <v>288</v>
      </c>
      <c r="G237" s="20">
        <v>31.433199999999999</v>
      </c>
      <c r="H237" s="21">
        <v>2.4750000000000001E-2</v>
      </c>
    </row>
    <row r="238" spans="1:8" x14ac:dyDescent="0.25">
      <c r="A238" s="3" t="s">
        <v>289</v>
      </c>
      <c r="B238" s="5">
        <v>947.72</v>
      </c>
      <c r="C238" s="5">
        <v>344.48</v>
      </c>
      <c r="D238" s="4">
        <v>40034</v>
      </c>
      <c r="F238" s="3" t="s">
        <v>289</v>
      </c>
      <c r="G238" s="20">
        <v>31.543299999999999</v>
      </c>
      <c r="H238" s="21">
        <v>2.4846E-2</v>
      </c>
    </row>
    <row r="239" spans="1:8" x14ac:dyDescent="0.25">
      <c r="A239" s="3" t="s">
        <v>290</v>
      </c>
      <c r="B239" s="5">
        <v>962.24</v>
      </c>
      <c r="C239" s="5">
        <v>350.88</v>
      </c>
      <c r="D239" s="4">
        <v>42270</v>
      </c>
      <c r="F239" s="3" t="s">
        <v>290</v>
      </c>
      <c r="G239" s="20">
        <v>31.569600000000001</v>
      </c>
      <c r="H239" s="21">
        <v>2.5075E-2</v>
      </c>
    </row>
    <row r="240" spans="1:8" x14ac:dyDescent="0.25">
      <c r="A240" s="3" t="s">
        <v>291</v>
      </c>
      <c r="B240" s="5">
        <v>952.65</v>
      </c>
      <c r="C240" s="5">
        <v>347.87</v>
      </c>
      <c r="D240" s="4">
        <v>43699</v>
      </c>
      <c r="F240" s="3" t="s">
        <v>291</v>
      </c>
      <c r="G240" s="20">
        <v>31.7377</v>
      </c>
      <c r="H240" s="21">
        <v>2.4878999999999998E-2</v>
      </c>
    </row>
    <row r="241" spans="1:11" x14ac:dyDescent="0.25">
      <c r="A241" s="3" t="s">
        <v>292</v>
      </c>
      <c r="B241" s="5">
        <v>920.73</v>
      </c>
      <c r="C241" s="5">
        <v>341.13</v>
      </c>
      <c r="D241" s="4">
        <v>44675</v>
      </c>
      <c r="F241" s="3" t="s">
        <v>292</v>
      </c>
      <c r="G241" s="20">
        <v>31.8202</v>
      </c>
      <c r="H241" s="21">
        <v>2.4663000000000001E-2</v>
      </c>
    </row>
    <row r="242" spans="1:11" x14ac:dyDescent="0.25">
      <c r="A242" s="3" t="s">
        <v>293</v>
      </c>
      <c r="B242" s="5">
        <v>905.96</v>
      </c>
      <c r="C242" s="5">
        <v>353.99</v>
      </c>
      <c r="D242" s="4">
        <v>44459</v>
      </c>
      <c r="F242" s="3" t="s">
        <v>293</v>
      </c>
      <c r="G242" s="20">
        <v>31.919499999999999</v>
      </c>
      <c r="H242" s="21">
        <v>2.4767999999999998E-2</v>
      </c>
    </row>
    <row r="243" spans="1:11" x14ac:dyDescent="0.25">
      <c r="A243" s="3" t="s">
        <v>294</v>
      </c>
      <c r="B243" s="5">
        <v>886.83</v>
      </c>
      <c r="C243" s="5">
        <v>352.26</v>
      </c>
      <c r="D243" s="4">
        <v>44271</v>
      </c>
      <c r="F243" s="3" t="s">
        <v>294</v>
      </c>
      <c r="G243" s="20">
        <v>31.930599999999998</v>
      </c>
      <c r="H243" s="21">
        <v>2.477E-2</v>
      </c>
    </row>
    <row r="244" spans="1:11" x14ac:dyDescent="0.25">
      <c r="A244" s="3" t="s">
        <v>295</v>
      </c>
      <c r="B244" s="5">
        <v>878.01</v>
      </c>
      <c r="C244" s="5">
        <v>348.51</v>
      </c>
      <c r="D244" s="4">
        <v>44213</v>
      </c>
      <c r="F244" s="3" t="s">
        <v>295</v>
      </c>
      <c r="G244" s="20">
        <v>31.980499999999999</v>
      </c>
      <c r="H244" s="21">
        <v>2.4847999999999999E-2</v>
      </c>
    </row>
    <row r="245" spans="1:11" x14ac:dyDescent="0.25">
      <c r="A245" s="3" t="s">
        <v>296</v>
      </c>
      <c r="B245" s="5">
        <v>870.4</v>
      </c>
      <c r="C245" s="5">
        <v>341.9</v>
      </c>
      <c r="D245" s="4">
        <v>43971</v>
      </c>
      <c r="F245" s="3" t="s">
        <v>296</v>
      </c>
      <c r="G245" s="20">
        <v>32.005400000000002</v>
      </c>
      <c r="H245" s="21">
        <v>2.4708000000000001E-2</v>
      </c>
    </row>
    <row r="246" spans="1:11" x14ac:dyDescent="0.25">
      <c r="A246" s="3" t="s">
        <v>297</v>
      </c>
      <c r="B246" s="5">
        <v>868.7</v>
      </c>
      <c r="C246" s="5">
        <v>332.4</v>
      </c>
      <c r="D246" s="4">
        <v>43974</v>
      </c>
      <c r="F246" s="3" t="s">
        <v>297</v>
      </c>
      <c r="G246" s="20">
        <v>31.9528</v>
      </c>
      <c r="H246" s="21">
        <v>2.4816000000000001E-2</v>
      </c>
    </row>
    <row r="247" spans="1:11" x14ac:dyDescent="0.25">
      <c r="A247" s="3" t="s">
        <v>298</v>
      </c>
      <c r="B247" s="5">
        <v>866.97</v>
      </c>
      <c r="C247" s="5">
        <v>340.16</v>
      </c>
      <c r="D247" s="4">
        <v>43717</v>
      </c>
      <c r="F247" s="3" t="s">
        <v>298</v>
      </c>
      <c r="G247" s="20">
        <v>31.970800000000001</v>
      </c>
      <c r="H247" s="21">
        <v>2.4823000000000001E-2</v>
      </c>
    </row>
    <row r="248" spans="1:11" x14ac:dyDescent="0.25">
      <c r="A248" s="3" t="s">
        <v>299</v>
      </c>
      <c r="B248" s="5">
        <v>848.86</v>
      </c>
      <c r="C248" s="5">
        <v>333.55</v>
      </c>
      <c r="D248" s="4">
        <v>44516</v>
      </c>
      <c r="F248" s="3" t="s">
        <v>299</v>
      </c>
      <c r="G248" s="20">
        <v>32.101300000000002</v>
      </c>
      <c r="H248" s="21">
        <v>2.4801E-2</v>
      </c>
    </row>
    <row r="249" spans="1:11" x14ac:dyDescent="0.25">
      <c r="A249" s="3" t="s">
        <v>300</v>
      </c>
      <c r="B249" s="5">
        <v>858.52</v>
      </c>
      <c r="C249" s="5">
        <v>334.2</v>
      </c>
      <c r="D249" s="4">
        <v>43552</v>
      </c>
      <c r="F249" s="3" t="s">
        <v>300</v>
      </c>
      <c r="G249" s="20">
        <v>32.014000000000003</v>
      </c>
      <c r="H249" s="21">
        <v>2.4702999999999999E-2</v>
      </c>
    </row>
    <row r="250" spans="1:11" x14ac:dyDescent="0.25">
      <c r="A250" s="3" t="s">
        <v>301</v>
      </c>
      <c r="B250" s="5">
        <v>849.52</v>
      </c>
      <c r="C250" s="5">
        <v>333.48</v>
      </c>
      <c r="D250" s="4">
        <v>43999</v>
      </c>
      <c r="F250" s="3" t="s">
        <v>301</v>
      </c>
      <c r="G250" s="20">
        <v>32.174300000000002</v>
      </c>
      <c r="H250" s="21">
        <v>2.4646999999999999E-2</v>
      </c>
    </row>
    <row r="251" spans="1:11" x14ac:dyDescent="0.25">
      <c r="A251" s="3" t="s">
        <v>302</v>
      </c>
      <c r="B251" s="5">
        <v>842.61</v>
      </c>
      <c r="C251" s="5">
        <v>340.43</v>
      </c>
      <c r="D251" s="4">
        <v>43897</v>
      </c>
      <c r="F251" s="3" t="s">
        <v>302</v>
      </c>
      <c r="G251" s="20">
        <v>32.314599999999999</v>
      </c>
      <c r="H251" s="21">
        <v>2.4660999999999999E-2</v>
      </c>
    </row>
    <row r="252" spans="1:11" x14ac:dyDescent="0.25">
      <c r="A252" s="3" t="s">
        <v>303</v>
      </c>
      <c r="B252" s="5">
        <v>863.87</v>
      </c>
      <c r="C252" s="5">
        <v>334.47</v>
      </c>
      <c r="D252" s="4">
        <v>44506</v>
      </c>
      <c r="F252" s="3" t="s">
        <v>303</v>
      </c>
      <c r="G252" s="20">
        <v>32.296500000000002</v>
      </c>
      <c r="H252" s="21">
        <v>2.4712999999999999E-2</v>
      </c>
    </row>
    <row r="253" spans="1:11" x14ac:dyDescent="0.25">
      <c r="A253" s="3" t="s">
        <v>304</v>
      </c>
      <c r="B253" s="5">
        <v>858.34</v>
      </c>
      <c r="C253" s="5">
        <v>322.48</v>
      </c>
      <c r="D253" s="4">
        <v>44776</v>
      </c>
      <c r="F253" s="3" t="s">
        <v>304</v>
      </c>
      <c r="G253" s="20">
        <v>32.268999999999998</v>
      </c>
      <c r="H253" s="21">
        <v>2.4607E-2</v>
      </c>
    </row>
    <row r="254" spans="1:11" x14ac:dyDescent="0.25">
      <c r="A254" s="80" t="s">
        <v>305</v>
      </c>
      <c r="B254" s="78"/>
      <c r="C254" s="78"/>
      <c r="D254" s="78"/>
      <c r="E254" s="78"/>
      <c r="F254" s="78"/>
      <c r="G254" s="78"/>
      <c r="H254" s="78"/>
      <c r="I254" s="78"/>
      <c r="J254" s="78"/>
      <c r="K254" s="78"/>
    </row>
  </sheetData>
  <mergeCells count="2">
    <mergeCell ref="A1:I1"/>
    <mergeCell ref="A254:K254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0"/>
  <sheetViews>
    <sheetView workbookViewId="0">
      <selection sqref="A1:J1"/>
    </sheetView>
  </sheetViews>
  <sheetFormatPr defaultRowHeight="15.75" x14ac:dyDescent="0.25"/>
  <cols>
    <col min="1" max="6" width="30" customWidth="1"/>
    <col min="7" max="9" width="20.7109375" customWidth="1"/>
    <col min="10" max="10" width="30" customWidth="1"/>
    <col min="11" max="12" width="8" customWidth="1"/>
  </cols>
  <sheetData>
    <row r="1" spans="1:12" x14ac:dyDescent="0.25">
      <c r="A1" s="79" t="s">
        <v>306</v>
      </c>
      <c r="B1" s="78"/>
      <c r="C1" s="78"/>
      <c r="D1" s="78"/>
      <c r="E1" s="78"/>
      <c r="F1" s="78"/>
      <c r="G1" s="78"/>
      <c r="H1" s="78"/>
      <c r="I1" s="78"/>
      <c r="J1" s="78"/>
    </row>
    <row r="3" spans="1:12" x14ac:dyDescent="0.25">
      <c r="A3" s="77" t="s">
        <v>307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x14ac:dyDescent="0.25">
      <c r="A4" s="22" t="s">
        <v>308</v>
      </c>
      <c r="B4" s="81"/>
      <c r="C4" s="78"/>
      <c r="D4" s="78"/>
      <c r="E4" s="78"/>
      <c r="F4" s="78"/>
      <c r="G4" s="78"/>
      <c r="H4" s="78"/>
      <c r="I4" s="78"/>
      <c r="J4" s="78"/>
    </row>
    <row r="5" spans="1:12" x14ac:dyDescent="0.25">
      <c r="A5" s="22" t="s">
        <v>309</v>
      </c>
      <c r="B5" s="81"/>
      <c r="C5" s="78"/>
      <c r="D5" s="78"/>
      <c r="E5" s="78"/>
      <c r="F5" s="78"/>
      <c r="G5" s="78"/>
      <c r="H5" s="78"/>
      <c r="I5" s="78"/>
      <c r="J5" s="78"/>
    </row>
    <row r="6" spans="1:12" x14ac:dyDescent="0.25">
      <c r="A6" s="22" t="s">
        <v>310</v>
      </c>
      <c r="B6" s="81"/>
      <c r="C6" s="78"/>
      <c r="D6" s="78"/>
      <c r="E6" s="78"/>
      <c r="F6" s="78"/>
      <c r="G6" s="78"/>
      <c r="H6" s="78"/>
      <c r="I6" s="78"/>
      <c r="J6" s="78"/>
    </row>
    <row r="7" spans="1:12" x14ac:dyDescent="0.25">
      <c r="A7" s="22" t="s">
        <v>311</v>
      </c>
      <c r="B7" s="81"/>
      <c r="C7" s="78"/>
      <c r="D7" s="78"/>
      <c r="E7" s="78"/>
      <c r="F7" s="78"/>
      <c r="G7" s="78"/>
      <c r="H7" s="78"/>
      <c r="I7" s="78"/>
      <c r="J7" s="78"/>
    </row>
    <row r="8" spans="1:12" x14ac:dyDescent="0.25">
      <c r="A8" s="22" t="s">
        <v>312</v>
      </c>
      <c r="B8" s="81"/>
      <c r="C8" s="78"/>
      <c r="D8" s="78"/>
      <c r="E8" s="78"/>
      <c r="F8" s="78"/>
      <c r="G8" s="78"/>
      <c r="H8" s="78"/>
      <c r="I8" s="78"/>
      <c r="J8" s="78"/>
    </row>
    <row r="9" spans="1:12" x14ac:dyDescent="0.25">
      <c r="A9" s="22" t="s">
        <v>313</v>
      </c>
      <c r="B9" s="81"/>
      <c r="C9" s="78"/>
      <c r="D9" s="78"/>
      <c r="E9" s="78"/>
      <c r="F9" s="78"/>
      <c r="G9" s="78"/>
      <c r="H9" s="78"/>
      <c r="I9" s="78"/>
      <c r="J9" s="78"/>
    </row>
    <row r="10" spans="1:12" x14ac:dyDescent="0.25">
      <c r="A10" s="22" t="s">
        <v>314</v>
      </c>
      <c r="B10" s="81"/>
      <c r="C10" s="78"/>
      <c r="D10" s="78"/>
      <c r="E10" s="78"/>
      <c r="F10" s="78"/>
      <c r="G10" s="78"/>
      <c r="H10" s="78"/>
      <c r="I10" s="78"/>
      <c r="J10" s="78"/>
    </row>
    <row r="11" spans="1:12" x14ac:dyDescent="0.25">
      <c r="A11" s="22" t="s">
        <v>315</v>
      </c>
      <c r="B11" s="81"/>
      <c r="C11" s="78"/>
      <c r="D11" s="78"/>
      <c r="E11" s="78"/>
      <c r="F11" s="78"/>
      <c r="G11" s="78"/>
      <c r="H11" s="78"/>
      <c r="I11" s="78"/>
      <c r="J11" s="78"/>
    </row>
    <row r="12" spans="1:12" x14ac:dyDescent="0.25">
      <c r="A12" s="22" t="s">
        <v>316</v>
      </c>
      <c r="B12" s="81"/>
      <c r="C12" s="78"/>
      <c r="D12" s="78"/>
      <c r="E12" s="78"/>
      <c r="F12" s="78"/>
      <c r="G12" s="78"/>
      <c r="H12" s="78"/>
      <c r="I12" s="78"/>
      <c r="J12" s="78"/>
    </row>
    <row r="13" spans="1:12" x14ac:dyDescent="0.25">
      <c r="A13" s="24" t="s">
        <v>317</v>
      </c>
      <c r="B13" s="81" t="s">
        <v>318</v>
      </c>
      <c r="C13" s="78"/>
      <c r="D13" s="78"/>
      <c r="E13" s="78"/>
      <c r="F13" s="78"/>
      <c r="G13" s="78"/>
      <c r="H13" s="78"/>
      <c r="I13" s="78"/>
      <c r="J13" s="78"/>
    </row>
    <row r="14" spans="1:12" x14ac:dyDescent="0.25">
      <c r="A14" s="77" t="s">
        <v>319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</row>
    <row r="15" spans="1:12" x14ac:dyDescent="0.25">
      <c r="A15" s="1" t="s">
        <v>48</v>
      </c>
      <c r="B15" s="1" t="s">
        <v>320</v>
      </c>
      <c r="C15" s="1" t="s">
        <v>321</v>
      </c>
      <c r="D15" s="1" t="s">
        <v>322</v>
      </c>
      <c r="E15" s="1" t="s">
        <v>323</v>
      </c>
      <c r="F15" s="1" t="s">
        <v>324</v>
      </c>
      <c r="G15" s="1" t="s">
        <v>325</v>
      </c>
      <c r="H15" s="1" t="s">
        <v>326</v>
      </c>
      <c r="I15" s="1" t="s">
        <v>327</v>
      </c>
      <c r="J15" s="1" t="s">
        <v>328</v>
      </c>
    </row>
    <row r="16" spans="1:12" x14ac:dyDescent="0.25">
      <c r="A16" s="3" t="s">
        <v>55</v>
      </c>
      <c r="B16" s="25">
        <f>LN(②原始價格與FX!B4/②原始價格與FX!B3)</f>
        <v>2.1370025736192545E-2</v>
      </c>
      <c r="C16" s="25">
        <f>LN(②原始價格與FX!C4/②原始價格與FX!C3)</f>
        <v>3.4427539445983417E-2</v>
      </c>
      <c r="D16" s="25">
        <f>LN(②原始價格與FX!D4/②原始價格與FX!D3)</f>
        <v>3.5532601742420136E-2</v>
      </c>
      <c r="E16" s="25">
        <f>LN(②原始價格與FX!G4/②原始價格與FX!G3)</f>
        <v>-1.8355297082723427E-3</v>
      </c>
      <c r="F16" s="25">
        <f>LN(②原始價格與FX!H4/②原始價格與FX!H3)</f>
        <v>4.246290881451004E-3</v>
      </c>
      <c r="G16" s="25">
        <f t="shared" ref="G16:G79" si="0">B16</f>
        <v>2.1370025736192545E-2</v>
      </c>
      <c r="H16" s="26">
        <f t="shared" ref="H16:H79" si="1">C16+E16</f>
        <v>3.2592009737711071E-2</v>
      </c>
      <c r="I16" s="26">
        <f t="shared" ref="I16:I79" si="2">D16+F16</f>
        <v>3.9778892623871139E-2</v>
      </c>
      <c r="J16" s="27">
        <f>G16*①基本設定!$G$5+H16*①基本設定!$G$6+I16*①基本設定!$G$7</f>
        <v>52696.244470385725</v>
      </c>
    </row>
    <row r="17" spans="1:10" x14ac:dyDescent="0.25">
      <c r="A17" s="3" t="s">
        <v>56</v>
      </c>
      <c r="B17" s="25">
        <f>LN(②原始價格與FX!B5/②原始價格與FX!B4)</f>
        <v>-1.8657042538750855E-2</v>
      </c>
      <c r="C17" s="25">
        <f>LN(②原始價格與FX!C5/②原始價格與FX!C4)</f>
        <v>-2.8445467768435907E-2</v>
      </c>
      <c r="D17" s="25">
        <f>LN(②原始價格與FX!D5/②原始價格與FX!D4)</f>
        <v>-7.3895029393112373E-3</v>
      </c>
      <c r="E17" s="25">
        <f>LN(②原始價格與FX!G5/②原始價格與FX!G4)</f>
        <v>-3.5667285551032632E-3</v>
      </c>
      <c r="F17" s="25">
        <f>LN(②原始價格與FX!H5/②原始價格與FX!H4)</f>
        <v>-3.3904051858926044E-4</v>
      </c>
      <c r="G17" s="25">
        <f t="shared" si="0"/>
        <v>-1.8657042538750855E-2</v>
      </c>
      <c r="H17" s="26">
        <f t="shared" si="1"/>
        <v>-3.2012196323539167E-2</v>
      </c>
      <c r="I17" s="26">
        <f t="shared" si="2"/>
        <v>-7.7285434579004979E-3</v>
      </c>
      <c r="J17" s="28">
        <f>G17*①基本設定!$G$5+H17*①基本設定!$G$6+I17*①基本設定!$G$7</f>
        <v>-49411.098466609095</v>
      </c>
    </row>
    <row r="18" spans="1:10" x14ac:dyDescent="0.25">
      <c r="A18" s="3" t="s">
        <v>57</v>
      </c>
      <c r="B18" s="25">
        <f>LN(②原始價格與FX!B6/②原始價格與FX!B5)</f>
        <v>1.8020583189464937E-2</v>
      </c>
      <c r="C18" s="25">
        <f>LN(②原始價格與FX!C6/②原始價格與FX!C5)</f>
        <v>1.4085491373261637E-2</v>
      </c>
      <c r="D18" s="25">
        <f>LN(②原始價格與FX!D6/②原始價格與FX!D5)</f>
        <v>4.4722264897716503E-2</v>
      </c>
      <c r="E18" s="25">
        <f>LN(②原始價格與FX!G6/②原始價格與FX!G5)</f>
        <v>1.0110927309795246E-3</v>
      </c>
      <c r="F18" s="25">
        <f>LN(②原始價格與FX!H6/②原始價格與FX!H5)</f>
        <v>-6.5063698302580851E-3</v>
      </c>
      <c r="G18" s="25">
        <f t="shared" si="0"/>
        <v>1.8020583189464937E-2</v>
      </c>
      <c r="H18" s="26">
        <f t="shared" si="1"/>
        <v>1.5096584104241162E-2</v>
      </c>
      <c r="I18" s="26">
        <f t="shared" si="2"/>
        <v>3.8215895067458421E-2</v>
      </c>
      <c r="J18" s="27">
        <f>G18*①基本設定!$G$5+H18*①基本設定!$G$6+I18*①基本設定!$G$7</f>
        <v>31598.340428987838</v>
      </c>
    </row>
    <row r="19" spans="1:10" x14ac:dyDescent="0.25">
      <c r="A19" s="3" t="s">
        <v>58</v>
      </c>
      <c r="B19" s="25">
        <f>LN(②原始價格與FX!B7/②原始價格與FX!B6)</f>
        <v>1.5823345585973415E-2</v>
      </c>
      <c r="C19" s="25">
        <f>LN(②原始價格與FX!C7/②原始價格與FX!C6)</f>
        <v>1.5769052118231434E-2</v>
      </c>
      <c r="D19" s="25">
        <f>LN(②原始價格與FX!D7/②原始價格與FX!D6)</f>
        <v>-9.2737192809844975E-3</v>
      </c>
      <c r="E19" s="25">
        <f>LN(②原始價格與FX!G7/②原始價格與FX!G6)</f>
        <v>-9.7397033534338024E-4</v>
      </c>
      <c r="F19" s="25">
        <f>LN(②原始價格與FX!H7/②原始價格與FX!H6)</f>
        <v>2.2586359775559222E-3</v>
      </c>
      <c r="G19" s="25">
        <f t="shared" si="0"/>
        <v>1.5823345585973415E-2</v>
      </c>
      <c r="H19" s="26">
        <f t="shared" si="1"/>
        <v>1.4795081782888053E-2</v>
      </c>
      <c r="I19" s="26">
        <f t="shared" si="2"/>
        <v>-7.0150833034285758E-3</v>
      </c>
      <c r="J19" s="27">
        <f>G19*①基本設定!$G$5+H19*①基本設定!$G$6+I19*①基本設定!$G$7</f>
        <v>28900.265570618769</v>
      </c>
    </row>
    <row r="20" spans="1:10" x14ac:dyDescent="0.25">
      <c r="A20" s="3" t="s">
        <v>59</v>
      </c>
      <c r="B20" s="25">
        <f>LN(②原始價格與FX!B8/②原始價格與FX!B7)</f>
        <v>-2.1356361273199773E-2</v>
      </c>
      <c r="C20" s="25">
        <f>LN(②原始價格與FX!C8/②原始價格與FX!C7)</f>
        <v>2.0186018781917218E-2</v>
      </c>
      <c r="D20" s="25">
        <f>LN(②原始價格與FX!D8/②原始價格與FX!D7)</f>
        <v>2.2362237239539626E-3</v>
      </c>
      <c r="E20" s="25">
        <f>LN(②原始價格與FX!G8/②原始價格與FX!G7)</f>
        <v>-2.499556058518725E-3</v>
      </c>
      <c r="F20" s="25">
        <f>LN(②原始價格與FX!H8/②原始價格與FX!H7)</f>
        <v>-2.7280494327371085E-3</v>
      </c>
      <c r="G20" s="25">
        <f t="shared" si="0"/>
        <v>-2.1356361273199773E-2</v>
      </c>
      <c r="H20" s="26">
        <f t="shared" si="1"/>
        <v>1.7686462723398494E-2</v>
      </c>
      <c r="I20" s="26">
        <f t="shared" si="2"/>
        <v>-4.9182570878314588E-4</v>
      </c>
      <c r="J20" s="27">
        <f>G20*①基本設定!$G$5+H20*①基本設定!$G$6+I20*①基本設定!$G$7</f>
        <v>68.077352608082677</v>
      </c>
    </row>
    <row r="21" spans="1:10" x14ac:dyDescent="0.25">
      <c r="A21" s="3" t="s">
        <v>60</v>
      </c>
      <c r="B21" s="25">
        <f>LN(②原始價格與FX!B9/②原始價格與FX!B8)</f>
        <v>1.7040734607337821E-2</v>
      </c>
      <c r="C21" s="25">
        <f>LN(②原始價格與FX!C9/②原始價格與FX!C8)</f>
        <v>-1.8570635819456064E-2</v>
      </c>
      <c r="D21" s="25">
        <f>LN(②原始價格與FX!D9/②原始價格與FX!D8)</f>
        <v>-1.016342686817605E-2</v>
      </c>
      <c r="E21" s="25">
        <f>LN(②原始價格與FX!G9/②原始價格與FX!G8)</f>
        <v>2.5304903355563113E-3</v>
      </c>
      <c r="F21" s="25">
        <f>LN(②原始價格與FX!H9/②原始價格與FX!H8)</f>
        <v>1.1247757636803996E-2</v>
      </c>
      <c r="G21" s="25">
        <f t="shared" si="0"/>
        <v>1.7040734607337821E-2</v>
      </c>
      <c r="H21" s="26">
        <f t="shared" si="1"/>
        <v>-1.6040145483899752E-2</v>
      </c>
      <c r="I21" s="26">
        <f t="shared" si="2"/>
        <v>1.0843307686279457E-3</v>
      </c>
      <c r="J21" s="28">
        <f>G21*①基本設定!$G$5+H21*①基本設定!$G$6+I21*①基本設定!$G$7</f>
        <v>-2052.6680511295117</v>
      </c>
    </row>
    <row r="22" spans="1:10" x14ac:dyDescent="0.25">
      <c r="A22" s="3" t="s">
        <v>61</v>
      </c>
      <c r="B22" s="25">
        <f>LN(②原始價格與FX!B10/②原始價格與FX!B9)</f>
        <v>-2.5033987057666126E-2</v>
      </c>
      <c r="C22" s="25">
        <f>LN(②原始價格與FX!C10/②原始價格與FX!C9)</f>
        <v>-1.9558983127909487E-2</v>
      </c>
      <c r="D22" s="25">
        <f>LN(②原始價格與FX!D10/②原始價格與FX!D9)</f>
        <v>1.1232902793275261E-2</v>
      </c>
      <c r="E22" s="25">
        <f>LN(②原始價格與FX!G10/②原始價格與FX!G9)</f>
        <v>-1.9228363571868392E-3</v>
      </c>
      <c r="F22" s="25">
        <f>LN(②原始價格與FX!H10/②原始價格與FX!H9)</f>
        <v>1.8974937699736045E-3</v>
      </c>
      <c r="G22" s="25">
        <f t="shared" si="0"/>
        <v>-2.5033987057666126E-2</v>
      </c>
      <c r="H22" s="26">
        <f t="shared" si="1"/>
        <v>-2.1481819485096327E-2</v>
      </c>
      <c r="I22" s="26">
        <f t="shared" si="2"/>
        <v>1.3130396563248865E-2</v>
      </c>
      <c r="J22" s="28">
        <f>G22*①基本設定!$G$5+H22*①基本設定!$G$6+I22*①基本設定!$G$7</f>
        <v>-43696.961616115019</v>
      </c>
    </row>
    <row r="23" spans="1:10" x14ac:dyDescent="0.25">
      <c r="A23" s="3" t="s">
        <v>62</v>
      </c>
      <c r="B23" s="25">
        <f>LN(②原始價格與FX!B11/②原始價格與FX!B10)</f>
        <v>-2.8805536690749887E-2</v>
      </c>
      <c r="C23" s="25">
        <f>LN(②原始價格與FX!C11/②原始價格與FX!C10)</f>
        <v>-1.648859625603585E-2</v>
      </c>
      <c r="D23" s="25">
        <f>LN(②原始價格與FX!D11/②原始價格與FX!D10)</f>
        <v>-4.405558924302549E-3</v>
      </c>
      <c r="E23" s="25">
        <f>LN(②原始價格與FX!G11/②原始價格與FX!G10)</f>
        <v>-1.9172248932068045E-3</v>
      </c>
      <c r="F23" s="25">
        <f>LN(②原始價格與FX!H11/②原始價格與FX!H10)</f>
        <v>6.1735072076118712E-3</v>
      </c>
      <c r="G23" s="25">
        <f t="shared" si="0"/>
        <v>-2.8805536690749887E-2</v>
      </c>
      <c r="H23" s="26">
        <f t="shared" si="1"/>
        <v>-1.8405821149242656E-2</v>
      </c>
      <c r="I23" s="26">
        <f t="shared" si="2"/>
        <v>1.7679482833093223E-3</v>
      </c>
      <c r="J23" s="28">
        <f>G23*①基本設定!$G$5+H23*①基本設定!$G$6+I23*①基本設定!$G$7</f>
        <v>-43858.544191033521</v>
      </c>
    </row>
    <row r="24" spans="1:10" x14ac:dyDescent="0.25">
      <c r="A24" s="3" t="s">
        <v>63</v>
      </c>
      <c r="B24" s="25">
        <f>LN(②原始價格與FX!B12/②原始價格與FX!B11)</f>
        <v>-1.2579213360188666E-2</v>
      </c>
      <c r="C24" s="25">
        <f>LN(②原始價格與FX!C12/②原始價格與FX!C11)</f>
        <v>-7.2593633709553337E-3</v>
      </c>
      <c r="D24" s="25">
        <f>LN(②原始價格與FX!D12/②原始價格與FX!D11)</f>
        <v>-7.9900718134980377E-3</v>
      </c>
      <c r="E24" s="25">
        <f>LN(②原始價格與FX!G12/②原始價格與FX!G11)</f>
        <v>-1.7062543474267557E-3</v>
      </c>
      <c r="F24" s="25">
        <f>LN(②原始價格與FX!H12/②原始價格與FX!H11)</f>
        <v>9.206562417956092E-4</v>
      </c>
      <c r="G24" s="25">
        <f t="shared" si="0"/>
        <v>-1.2579213360188666E-2</v>
      </c>
      <c r="H24" s="26">
        <f t="shared" si="1"/>
        <v>-8.9656177183820886E-3</v>
      </c>
      <c r="I24" s="26">
        <f t="shared" si="2"/>
        <v>-7.0694155717024284E-3</v>
      </c>
      <c r="J24" s="28">
        <f>G24*①基本設定!$G$5+H24*①基本設定!$G$6+I24*①基本設定!$G$7</f>
        <v>-20204.74564848404</v>
      </c>
    </row>
    <row r="25" spans="1:10" x14ac:dyDescent="0.25">
      <c r="A25" s="3" t="s">
        <v>64</v>
      </c>
      <c r="B25" s="25">
        <f>LN(②原始價格與FX!B13/②原始價格與FX!B12)</f>
        <v>9.1672887974188072E-3</v>
      </c>
      <c r="C25" s="25">
        <f>LN(②原始價格與FX!C13/②原始價格與FX!C12)</f>
        <v>-4.4138153013035548E-3</v>
      </c>
      <c r="D25" s="25">
        <f>LN(②原始價格與FX!D13/②原始價格與FX!D12)</f>
        <v>6.6337023776743666E-3</v>
      </c>
      <c r="E25" s="25">
        <f>LN(②原始價格與FX!G13/②原始價格與FX!G12)</f>
        <v>3.648273602396964E-3</v>
      </c>
      <c r="F25" s="25">
        <f>LN(②原始價格與FX!H13/②原始價格與FX!H12)</f>
        <v>-4.2336533380327593E-3</v>
      </c>
      <c r="G25" s="25">
        <f t="shared" si="0"/>
        <v>9.1672887974188072E-3</v>
      </c>
      <c r="H25" s="26">
        <f t="shared" si="1"/>
        <v>-7.6554169890659081E-4</v>
      </c>
      <c r="I25" s="26">
        <f t="shared" si="2"/>
        <v>2.4000490396416073E-3</v>
      </c>
      <c r="J25" s="27">
        <f>G25*①基本設定!$G$5+H25*①基本設定!$G$6+I25*①基本設定!$G$7</f>
        <v>7098.4724803547315</v>
      </c>
    </row>
    <row r="26" spans="1:10" x14ac:dyDescent="0.25">
      <c r="A26" s="3" t="s">
        <v>65</v>
      </c>
      <c r="B26" s="25">
        <f>LN(②原始價格與FX!B14/②原始價格與FX!B13)</f>
        <v>1.9462234056161895E-3</v>
      </c>
      <c r="C26" s="25">
        <f>LN(②原始價格與FX!C14/②原始價格與FX!C13)</f>
        <v>8.2667572540292156E-3</v>
      </c>
      <c r="D26" s="25">
        <f>LN(②原始價格與FX!D14/②原始價格與FX!D13)</f>
        <v>7.1905667904800319E-3</v>
      </c>
      <c r="E26" s="25">
        <f>LN(②原始價格與FX!G14/②原始價格與FX!G13)</f>
        <v>1.737173304145515E-3</v>
      </c>
      <c r="F26" s="25">
        <f>LN(②原始價格與FX!H14/②原始價格與FX!H13)</f>
        <v>-1.0507072225596078E-3</v>
      </c>
      <c r="G26" s="25">
        <f t="shared" si="0"/>
        <v>1.9462234056161895E-3</v>
      </c>
      <c r="H26" s="26">
        <f t="shared" si="1"/>
        <v>1.000393055817473E-2</v>
      </c>
      <c r="I26" s="26">
        <f t="shared" si="2"/>
        <v>6.1398595679204243E-3</v>
      </c>
      <c r="J26" s="27">
        <f>G26*①基本設定!$G$5+H26*①基本設定!$G$6+I26*①基本設定!$G$7</f>
        <v>12148.250505602013</v>
      </c>
    </row>
    <row r="27" spans="1:10" x14ac:dyDescent="0.25">
      <c r="A27" s="3" t="s">
        <v>66</v>
      </c>
      <c r="B27" s="25">
        <f>LN(②原始價格與FX!B15/②原始價格與FX!B14)</f>
        <v>3.3954422429724379E-2</v>
      </c>
      <c r="C27" s="25">
        <f>LN(②原始價格與FX!C15/②原始價格與FX!C14)</f>
        <v>-1.734699844120371E-3</v>
      </c>
      <c r="D27" s="25">
        <f>LN(②原始價格與FX!D15/②原始價格與FX!D14)</f>
        <v>3.0911540123511608E-2</v>
      </c>
      <c r="E27" s="25">
        <f>LN(②原始價格與FX!G15/②原始價格與FX!G14)</f>
        <v>-5.1428507533007387E-3</v>
      </c>
      <c r="F27" s="25">
        <f>LN(②原始價格與FX!H15/②原始價格與FX!H14)</f>
        <v>-2.3997485466483539E-3</v>
      </c>
      <c r="G27" s="25">
        <f t="shared" si="0"/>
        <v>3.3954422429724379E-2</v>
      </c>
      <c r="H27" s="26">
        <f t="shared" si="1"/>
        <v>-6.8775505974211096E-3</v>
      </c>
      <c r="I27" s="26">
        <f t="shared" si="2"/>
        <v>2.8511791576863253E-2</v>
      </c>
      <c r="J27" s="27">
        <f>G27*①基本設定!$G$5+H27*①基本設定!$G$6+I27*①基本設定!$G$7</f>
        <v>22301.809593797694</v>
      </c>
    </row>
    <row r="28" spans="1:10" x14ac:dyDescent="0.25">
      <c r="A28" s="3" t="s">
        <v>67</v>
      </c>
      <c r="B28" s="25">
        <f>LN(②原始價格與FX!B16/②原始價格與FX!B15)</f>
        <v>-7.2637341088239325E-3</v>
      </c>
      <c r="C28" s="25">
        <f>LN(②原始價格與FX!C16/②原始價格與FX!C15)</f>
        <v>-1.7901121238249499E-2</v>
      </c>
      <c r="D28" s="25">
        <f>LN(②原始價格與FX!D16/②原始價格與FX!D15)</f>
        <v>2.1018642801733607E-2</v>
      </c>
      <c r="E28" s="25">
        <f>LN(②原始價格與FX!G16/②原始價格與FX!G15)</f>
        <v>6.2196403803584949E-6</v>
      </c>
      <c r="F28" s="25">
        <f>LN(②原始價格與FX!H16/②原始價格與FX!H15)</f>
        <v>-2.1942788785716521E-3</v>
      </c>
      <c r="G28" s="25">
        <f t="shared" si="0"/>
        <v>-7.2637341088239325E-3</v>
      </c>
      <c r="H28" s="26">
        <f t="shared" si="1"/>
        <v>-1.7894901597869141E-2</v>
      </c>
      <c r="I28" s="26">
        <f t="shared" si="2"/>
        <v>1.8824363923161953E-2</v>
      </c>
      <c r="J28" s="28">
        <f>G28*①基本設定!$G$5+H28*①基本設定!$G$6+I28*①基本設定!$G$7</f>
        <v>-24648.76340110357</v>
      </c>
    </row>
    <row r="29" spans="1:10" x14ac:dyDescent="0.25">
      <c r="A29" s="3" t="s">
        <v>68</v>
      </c>
      <c r="B29" s="25">
        <f>LN(②原始價格與FX!B17/②原始價格與FX!B16)</f>
        <v>-7.9862374998018529E-3</v>
      </c>
      <c r="C29" s="25">
        <f>LN(②原始價格與FX!C17/②原始價格與FX!C16)</f>
        <v>-8.3199769967395205E-3</v>
      </c>
      <c r="D29" s="25">
        <f>LN(②原始價格與FX!D17/②原始價格與FX!D16)</f>
        <v>-3.2258370343291133E-2</v>
      </c>
      <c r="E29" s="25">
        <f>LN(②原始價格與FX!G17/②原始價格與FX!G16)</f>
        <v>2.6274449407564186E-3</v>
      </c>
      <c r="F29" s="25">
        <f>LN(②原始價格與FX!H17/②原始價格與FX!H16)</f>
        <v>-1.4373285078596078E-3</v>
      </c>
      <c r="G29" s="25">
        <f t="shared" si="0"/>
        <v>-7.9862374998018529E-3</v>
      </c>
      <c r="H29" s="26">
        <f t="shared" si="1"/>
        <v>-5.692532055983102E-3</v>
      </c>
      <c r="I29" s="26">
        <f t="shared" si="2"/>
        <v>-3.3695698851150743E-2</v>
      </c>
      <c r="J29" s="28">
        <f>G29*①基本設定!$G$5+H29*①基本設定!$G$6+I29*①基本設定!$G$7</f>
        <v>-13149.80947044586</v>
      </c>
    </row>
    <row r="30" spans="1:10" x14ac:dyDescent="0.25">
      <c r="A30" s="3" t="s">
        <v>69</v>
      </c>
      <c r="B30" s="25">
        <f>LN(②原始價格與FX!B18/②原始價格與FX!B17)</f>
        <v>-4.1161026524356534E-2</v>
      </c>
      <c r="C30" s="25">
        <f>LN(②原始價格與FX!C18/②原始價格與FX!C17)</f>
        <v>2.2276676412031843E-4</v>
      </c>
      <c r="D30" s="25">
        <f>LN(②原始價格與FX!D18/②原始價格與FX!D17)</f>
        <v>-3.1037019818089179E-2</v>
      </c>
      <c r="E30" s="25">
        <f>LN(②原始價格與FX!G18/②原始價格與FX!G17)</f>
        <v>6.1083852662449374E-4</v>
      </c>
      <c r="F30" s="25">
        <f>LN(②原始價格與FX!H18/②原始價格與FX!H17)</f>
        <v>1.9019045905477091E-3</v>
      </c>
      <c r="G30" s="25">
        <f t="shared" si="0"/>
        <v>-4.1161026524356534E-2</v>
      </c>
      <c r="H30" s="26">
        <f t="shared" si="1"/>
        <v>8.3360529074481219E-4</v>
      </c>
      <c r="I30" s="26">
        <f t="shared" si="2"/>
        <v>-2.9135115227541468E-2</v>
      </c>
      <c r="J30" s="28">
        <f>G30*①基本設定!$G$5+H30*①基本設定!$G$6+I30*①基本設定!$G$7</f>
        <v>-34783.71737454948</v>
      </c>
    </row>
    <row r="31" spans="1:10" x14ac:dyDescent="0.25">
      <c r="A31" s="3" t="s">
        <v>70</v>
      </c>
      <c r="B31" s="25">
        <f>LN(②原始價格與FX!B19/②原始價格與FX!B18)</f>
        <v>1.6366297871458112E-2</v>
      </c>
      <c r="C31" s="25">
        <f>LN(②原始價格與FX!C19/②原始價格與FX!C18)</f>
        <v>3.6630127021513928E-2</v>
      </c>
      <c r="D31" s="25">
        <f>LN(②原始價格與FX!D19/②原始價格與FX!D18)</f>
        <v>8.4122190334362384E-3</v>
      </c>
      <c r="E31" s="25">
        <f>LN(②原始價格與FX!G19/②原始價格與FX!G18)</f>
        <v>6.3436363303541483E-3</v>
      </c>
      <c r="F31" s="25">
        <f>LN(②原始價格與FX!H19/②原始價格與FX!H18)</f>
        <v>2.6987155320687996E-3</v>
      </c>
      <c r="G31" s="25">
        <f t="shared" si="0"/>
        <v>1.6366297871458112E-2</v>
      </c>
      <c r="H31" s="26">
        <f t="shared" si="1"/>
        <v>4.2973763351868075E-2</v>
      </c>
      <c r="I31" s="26">
        <f t="shared" si="2"/>
        <v>1.1110934565505038E-2</v>
      </c>
      <c r="J31" s="27">
        <f>G31*①基本設定!$G$5+H31*①基本設定!$G$6+I31*①基本設定!$G$7</f>
        <v>58888.723562220657</v>
      </c>
    </row>
    <row r="32" spans="1:10" x14ac:dyDescent="0.25">
      <c r="A32" s="3" t="s">
        <v>71</v>
      </c>
      <c r="B32" s="25">
        <f>LN(②原始價格與FX!B20/②原始價格與FX!B19)</f>
        <v>-2.1735649573040847E-2</v>
      </c>
      <c r="C32" s="25">
        <f>LN(②原始價格與FX!C20/②原始價格與FX!C19)</f>
        <v>1.394775184540903E-3</v>
      </c>
      <c r="D32" s="25">
        <f>LN(②原始價格與FX!D20/②原始價格與FX!D19)</f>
        <v>1.3266531575502781E-2</v>
      </c>
      <c r="E32" s="25">
        <f>LN(②原始價格與FX!G20/②原始價格與FX!G19)</f>
        <v>-2.2603060880953658E-3</v>
      </c>
      <c r="F32" s="25">
        <f>LN(②原始價格與FX!H20/②原始價格與FX!H19)</f>
        <v>6.2967213335747858E-3</v>
      </c>
      <c r="G32" s="25">
        <f t="shared" si="0"/>
        <v>-2.1735649573040847E-2</v>
      </c>
      <c r="H32" s="26">
        <f t="shared" si="1"/>
        <v>-8.6553090355446279E-4</v>
      </c>
      <c r="I32" s="26">
        <f t="shared" si="2"/>
        <v>1.9563252909077566E-2</v>
      </c>
      <c r="J32" s="28">
        <f>G32*①基本設定!$G$5+H32*①基本設定!$G$6+I32*①基本設定!$G$7</f>
        <v>-19341.700126679534</v>
      </c>
    </row>
    <row r="33" spans="1:10" x14ac:dyDescent="0.25">
      <c r="A33" s="3" t="s">
        <v>72</v>
      </c>
      <c r="B33" s="25">
        <f>LN(②原始價格與FX!B21/②原始價格與FX!B20)</f>
        <v>-4.4290632537478496E-3</v>
      </c>
      <c r="C33" s="25">
        <f>LN(②原始價格與FX!C21/②原始價格與FX!C20)</f>
        <v>-3.7532506271534602E-4</v>
      </c>
      <c r="D33" s="25">
        <f>LN(②原始價格與FX!D21/②原始價格與FX!D20)</f>
        <v>2.7867475177306596E-2</v>
      </c>
      <c r="E33" s="25">
        <f>LN(②原始價格與FX!G21/②原始價格與FX!G20)</f>
        <v>4.6604723352539448E-4</v>
      </c>
      <c r="F33" s="25">
        <f>LN(②原始價格與FX!H21/②原始價格與FX!H20)</f>
        <v>1.0874112322041456E-3</v>
      </c>
      <c r="G33" s="25">
        <f t="shared" si="0"/>
        <v>-4.4290632537478496E-3</v>
      </c>
      <c r="H33" s="26">
        <f t="shared" si="1"/>
        <v>9.0722170810048455E-5</v>
      </c>
      <c r="I33" s="26">
        <f t="shared" si="2"/>
        <v>2.895488640951074E-2</v>
      </c>
      <c r="J33" s="28">
        <f>G33*①基本設定!$G$5+H33*①基本設定!$G$6+I33*①基本設定!$G$7</f>
        <v>-3388.2118145391742</v>
      </c>
    </row>
    <row r="34" spans="1:10" x14ac:dyDescent="0.25">
      <c r="A34" s="3" t="s">
        <v>73</v>
      </c>
      <c r="B34" s="25">
        <f>LN(②原始價格與FX!B22/②原始價格與FX!B21)</f>
        <v>2.6096071580236749E-2</v>
      </c>
      <c r="C34" s="25">
        <f>LN(②原始價格與FX!C22/②原始價格與FX!C21)</f>
        <v>1.9700623875296218E-2</v>
      </c>
      <c r="D34" s="25">
        <f>LN(②原始價格與FX!D22/②原始價格與FX!D21)</f>
        <v>-9.6006931380909991E-3</v>
      </c>
      <c r="E34" s="25">
        <f>LN(②原始價格與FX!G22/②原始價格與FX!G21)</f>
        <v>-3.6136889483972643E-3</v>
      </c>
      <c r="F34" s="25">
        <f>LN(②原始價格與FX!H22/②原始價格與FX!H21)</f>
        <v>-1.2129578834122908E-3</v>
      </c>
      <c r="G34" s="25">
        <f t="shared" si="0"/>
        <v>2.6096071580236749E-2</v>
      </c>
      <c r="H34" s="26">
        <f t="shared" si="1"/>
        <v>1.6086934926898954E-2</v>
      </c>
      <c r="I34" s="26">
        <f t="shared" si="2"/>
        <v>-1.0813651021503289E-2</v>
      </c>
      <c r="J34" s="27">
        <f>G34*①基本設定!$G$5+H34*①基本設定!$G$6+I34*①基本設定!$G$7</f>
        <v>39020.205671221614</v>
      </c>
    </row>
    <row r="35" spans="1:10" x14ac:dyDescent="0.25">
      <c r="A35" s="3" t="s">
        <v>74</v>
      </c>
      <c r="B35" s="25">
        <f>LN(②原始價格與FX!B23/②原始價格與FX!B22)</f>
        <v>-2.7461211211996151E-4</v>
      </c>
      <c r="C35" s="25">
        <f>LN(②原始價格與FX!C23/②原始價格與FX!C22)</f>
        <v>1.0773599316915197E-2</v>
      </c>
      <c r="D35" s="25">
        <f>LN(②原始價格與FX!D23/②原始價格與FX!D22)</f>
        <v>-1.9208561500623472E-3</v>
      </c>
      <c r="E35" s="25">
        <f>LN(②原始價格與FX!G23/②原始價格與FX!G22)</f>
        <v>7.3987512178610743E-4</v>
      </c>
      <c r="F35" s="25">
        <f>LN(②原始價格與FX!H23/②原始價格與FX!H22)</f>
        <v>-6.2132861514314656E-3</v>
      </c>
      <c r="G35" s="25">
        <f t="shared" si="0"/>
        <v>-2.7461211211996151E-4</v>
      </c>
      <c r="H35" s="26">
        <f t="shared" si="1"/>
        <v>1.1513474438701305E-2</v>
      </c>
      <c r="I35" s="26">
        <f t="shared" si="2"/>
        <v>-8.134142301493813E-3</v>
      </c>
      <c r="J35" s="27">
        <f>G35*①基本設定!$G$5+H35*①基本設定!$G$6+I35*①基本設定!$G$7</f>
        <v>11655.577447243233</v>
      </c>
    </row>
    <row r="36" spans="1:10" x14ac:dyDescent="0.25">
      <c r="A36" s="3" t="s">
        <v>75</v>
      </c>
      <c r="B36" s="25">
        <f>LN(②原始價格與FX!B24/②原始價格與FX!B23)</f>
        <v>-1.1393970587053466E-2</v>
      </c>
      <c r="C36" s="25">
        <f>LN(②原始價格與FX!C24/②原始價格與FX!C23)</f>
        <v>-1.5728540665266185E-2</v>
      </c>
      <c r="D36" s="25">
        <f>LN(②原始價格與FX!D24/②原始價格與FX!D23)</f>
        <v>-1.8328689717497629E-2</v>
      </c>
      <c r="E36" s="25">
        <f>LN(②原始價格與FX!G24/②原始價格與FX!G23)</f>
        <v>-1.0620001586422697E-3</v>
      </c>
      <c r="F36" s="25">
        <f>LN(②原始價格與FX!H24/②原始價格與FX!H23)</f>
        <v>8.4221164828374303E-5</v>
      </c>
      <c r="G36" s="25">
        <f t="shared" si="0"/>
        <v>-1.1393970587053466E-2</v>
      </c>
      <c r="H36" s="26">
        <f t="shared" si="1"/>
        <v>-1.6790540823908455E-2</v>
      </c>
      <c r="I36" s="26">
        <f t="shared" si="2"/>
        <v>-1.8244468552669254E-2</v>
      </c>
      <c r="J36" s="28">
        <f>G36*①基本設定!$G$5+H36*①基本設定!$G$6+I36*①基本設定!$G$7</f>
        <v>-27453.138259023093</v>
      </c>
    </row>
    <row r="37" spans="1:10" x14ac:dyDescent="0.25">
      <c r="A37" s="3" t="s">
        <v>76</v>
      </c>
      <c r="B37" s="25">
        <f>LN(②原始價格與FX!B25/②原始價格與FX!B24)</f>
        <v>-1.2632409028371682E-2</v>
      </c>
      <c r="C37" s="25">
        <f>LN(②原始價格與FX!C25/②原始價格與FX!C24)</f>
        <v>-1.0678243148886083E-2</v>
      </c>
      <c r="D37" s="25">
        <f>LN(②原始價格與FX!D25/②原始價格與FX!D24)</f>
        <v>2.0314375269012884E-2</v>
      </c>
      <c r="E37" s="25">
        <f>LN(②原始價格與FX!G25/②原始價格與FX!G24)</f>
        <v>-2.2329468036715928E-3</v>
      </c>
      <c r="F37" s="25">
        <f>LN(②原始價格與FX!H25/②原始價格與FX!H24)</f>
        <v>5.6267207027639052E-3</v>
      </c>
      <c r="G37" s="25">
        <f t="shared" si="0"/>
        <v>-1.2632409028371682E-2</v>
      </c>
      <c r="H37" s="26">
        <f t="shared" si="1"/>
        <v>-1.2911189952557675E-2</v>
      </c>
      <c r="I37" s="26">
        <f t="shared" si="2"/>
        <v>2.5941095971776788E-2</v>
      </c>
      <c r="J37" s="28">
        <f>G37*①基本設定!$G$5+H37*①基本設定!$G$6+I37*①基本設定!$G$7</f>
        <v>-23992.454323437076</v>
      </c>
    </row>
    <row r="38" spans="1:10" x14ac:dyDescent="0.25">
      <c r="A38" s="3" t="s">
        <v>77</v>
      </c>
      <c r="B38" s="25">
        <f>LN(②原始價格與FX!B26/②原始價格與FX!B25)</f>
        <v>-1.5219052327295821E-2</v>
      </c>
      <c r="C38" s="25">
        <f>LN(②原始價格與FX!C26/②原始價格與FX!C25)</f>
        <v>1.1576170054588891E-2</v>
      </c>
      <c r="D38" s="25">
        <f>LN(②原始價格與FX!D26/②原始價格與FX!D25)</f>
        <v>9.2147519163218502E-3</v>
      </c>
      <c r="E38" s="25">
        <f>LN(②原始價格與FX!G26/②原始價格與FX!G25)</f>
        <v>4.9800652961379411E-3</v>
      </c>
      <c r="F38" s="25">
        <f>LN(②原始價格與FX!H26/②原始價格與FX!H25)</f>
        <v>-5.4582996497342974E-3</v>
      </c>
      <c r="G38" s="25">
        <f t="shared" si="0"/>
        <v>-1.5219052327295821E-2</v>
      </c>
      <c r="H38" s="26">
        <f t="shared" si="1"/>
        <v>1.6556235350726832E-2</v>
      </c>
      <c r="I38" s="26">
        <f t="shared" si="2"/>
        <v>3.7564522665875528E-3</v>
      </c>
      <c r="J38" s="27">
        <f>G38*①基本設定!$G$5+H38*①基本設定!$G$6+I38*①基本設定!$G$7</f>
        <v>4206.6691661931554</v>
      </c>
    </row>
    <row r="39" spans="1:10" x14ac:dyDescent="0.25">
      <c r="A39" s="3" t="s">
        <v>78</v>
      </c>
      <c r="B39" s="25">
        <f>LN(②原始價格與FX!B27/②原始價格與FX!B26)</f>
        <v>3.5997543995398727E-3</v>
      </c>
      <c r="C39" s="25">
        <f>LN(②原始價格與FX!C27/②原始價格與FX!C26)</f>
        <v>-1.2751886308021635E-2</v>
      </c>
      <c r="D39" s="25">
        <f>LN(②原始價格與FX!D27/②原始價格與FX!D26)</f>
        <v>-1.1538266529546414E-2</v>
      </c>
      <c r="E39" s="25">
        <f>LN(②原始價格與FX!G27/②原始價格與FX!G26)</f>
        <v>-5.818707490475342E-3</v>
      </c>
      <c r="F39" s="25">
        <f>LN(②原始價格與FX!H27/②原始價格與FX!H26)</f>
        <v>-5.615264591018701E-3</v>
      </c>
      <c r="G39" s="25">
        <f t="shared" si="0"/>
        <v>3.5997543995398727E-3</v>
      </c>
      <c r="H39" s="26">
        <f t="shared" si="1"/>
        <v>-1.8570593798496977E-2</v>
      </c>
      <c r="I39" s="26">
        <f t="shared" si="2"/>
        <v>-1.7153531120565113E-2</v>
      </c>
      <c r="J39" s="28">
        <f>G39*①基本設定!$G$5+H39*①基本設定!$G$6+I39*①基本設定!$G$7</f>
        <v>-16423.725750707486</v>
      </c>
    </row>
    <row r="40" spans="1:10" x14ac:dyDescent="0.25">
      <c r="A40" s="3" t="s">
        <v>79</v>
      </c>
      <c r="B40" s="25">
        <f>LN(②原始價格與FX!B28/②原始價格與FX!B27)</f>
        <v>4.0269686056180622E-2</v>
      </c>
      <c r="C40" s="25">
        <f>LN(②原始價格與FX!C28/②原始價格與FX!C27)</f>
        <v>1.3068609283642141E-2</v>
      </c>
      <c r="D40" s="25">
        <f>LN(②原始價格與FX!D28/②原始價格與FX!D27)</f>
        <v>2.1088875783100987E-2</v>
      </c>
      <c r="E40" s="25">
        <f>LN(②原始價格與FX!G28/②原始價格與FX!G27)</f>
        <v>4.0500323604175841E-3</v>
      </c>
      <c r="F40" s="25">
        <f>LN(②原始價格與FX!H28/②原始價格與FX!H27)</f>
        <v>-4.8383083943459347E-3</v>
      </c>
      <c r="G40" s="25">
        <f t="shared" si="0"/>
        <v>4.0269686056180622E-2</v>
      </c>
      <c r="H40" s="26">
        <f t="shared" si="1"/>
        <v>1.7118641644059726E-2</v>
      </c>
      <c r="I40" s="26">
        <f t="shared" si="2"/>
        <v>1.6250567388755053E-2</v>
      </c>
      <c r="J40" s="27">
        <f>G40*①基本設定!$G$5+H40*①基本設定!$G$6+I40*①基本設定!$G$7</f>
        <v>52557.772457118277</v>
      </c>
    </row>
    <row r="41" spans="1:10" x14ac:dyDescent="0.25">
      <c r="A41" s="3" t="s">
        <v>80</v>
      </c>
      <c r="B41" s="25">
        <f>LN(②原始價格與FX!B29/②原始價格與FX!B28)</f>
        <v>1.4065263559419974E-2</v>
      </c>
      <c r="C41" s="25">
        <f>LN(②原始價格與FX!C29/②原始價格與FX!C28)</f>
        <v>2.2389579160511368E-2</v>
      </c>
      <c r="D41" s="25">
        <f>LN(②原始價格與FX!D29/②原始價格與FX!D28)</f>
        <v>2.3639471113824865E-3</v>
      </c>
      <c r="E41" s="25">
        <f>LN(②原始價格與FX!G29/②原始價格與FX!G28)</f>
        <v>-6.9657828099320147E-4</v>
      </c>
      <c r="F41" s="25">
        <f>LN(②原始價格與FX!H29/②原始價格與FX!H28)</f>
        <v>5.5578090073342386E-3</v>
      </c>
      <c r="G41" s="25">
        <f t="shared" si="0"/>
        <v>1.4065263559419974E-2</v>
      </c>
      <c r="H41" s="26">
        <f t="shared" si="1"/>
        <v>2.1693000879518167E-2</v>
      </c>
      <c r="I41" s="26">
        <f t="shared" si="2"/>
        <v>7.921756118716726E-3</v>
      </c>
      <c r="J41" s="27">
        <f>G41*①基本設定!$G$5+H41*①基本設定!$G$6+I41*①基本設定!$G$7</f>
        <v>34733.775254734282</v>
      </c>
    </row>
    <row r="42" spans="1:10" x14ac:dyDescent="0.25">
      <c r="A42" s="3" t="s">
        <v>81</v>
      </c>
      <c r="B42" s="25">
        <f>LN(②原始價格與FX!B30/②原始價格與FX!B29)</f>
        <v>-1.1403327648616467E-2</v>
      </c>
      <c r="C42" s="25">
        <f>LN(②原始價格與FX!C30/②原始價格與FX!C29)</f>
        <v>-3.6192583843129571E-3</v>
      </c>
      <c r="D42" s="25">
        <f>LN(②原始價格與FX!D30/②原始價格與FX!D29)</f>
        <v>-7.850474258826224E-3</v>
      </c>
      <c r="E42" s="25">
        <f>LN(②原始價格與FX!G30/②原始價格與FX!G29)</f>
        <v>2.088280866873187E-3</v>
      </c>
      <c r="F42" s="25">
        <f>LN(②原始價格與FX!H30/②原始價格與FX!H29)</f>
        <v>3.8848119121479997E-3</v>
      </c>
      <c r="G42" s="25">
        <f t="shared" si="0"/>
        <v>-1.1403327648616467E-2</v>
      </c>
      <c r="H42" s="26">
        <f t="shared" si="1"/>
        <v>-1.5309775174397701E-3</v>
      </c>
      <c r="I42" s="26">
        <f t="shared" si="2"/>
        <v>-3.9656623466782243E-3</v>
      </c>
      <c r="J42" s="28">
        <f>G42*①基本設定!$G$5+H42*①基本設定!$G$6+I42*①基本設定!$G$7</f>
        <v>-11424.759595319467</v>
      </c>
    </row>
    <row r="43" spans="1:10" x14ac:dyDescent="0.25">
      <c r="A43" s="3" t="s">
        <v>82</v>
      </c>
      <c r="B43" s="25">
        <f>LN(②原始價格與FX!B31/②原始價格與FX!B30)</f>
        <v>1.6612547964738229E-2</v>
      </c>
      <c r="C43" s="25">
        <f>LN(②原始價格與FX!C31/②原始價格與FX!C30)</f>
        <v>8.2534255778785436E-3</v>
      </c>
      <c r="D43" s="25">
        <f>LN(②原始價格與FX!D31/②原始價格與FX!D30)</f>
        <v>9.8668468675079703E-3</v>
      </c>
      <c r="E43" s="25">
        <f>LN(②原始價格與FX!G31/②原始價格與FX!G30)</f>
        <v>2.8119790491999127E-4</v>
      </c>
      <c r="F43" s="25">
        <f>LN(②原始價格與FX!H31/②原始價格與FX!H30)</f>
        <v>9.0202201664051369E-3</v>
      </c>
      <c r="G43" s="25">
        <f t="shared" si="0"/>
        <v>1.6612547964738229E-2</v>
      </c>
      <c r="H43" s="26">
        <f t="shared" si="1"/>
        <v>8.5346234827985354E-3</v>
      </c>
      <c r="I43" s="26">
        <f t="shared" si="2"/>
        <v>1.8887067033913109E-2</v>
      </c>
      <c r="J43" s="27">
        <f>G43*①基本設定!$G$5+H43*①基本設定!$G$6+I43*①基本設定!$G$7</f>
        <v>23348.432786209738</v>
      </c>
    </row>
    <row r="44" spans="1:10" x14ac:dyDescent="0.25">
      <c r="A44" s="3" t="s">
        <v>83</v>
      </c>
      <c r="B44" s="25">
        <f>LN(②原始價格與FX!B32/②原始價格與FX!B31)</f>
        <v>3.6971711108853304E-3</v>
      </c>
      <c r="C44" s="25">
        <f>LN(②原始價格與FX!C32/②原始價格與FX!C31)</f>
        <v>2.2552764071803066E-2</v>
      </c>
      <c r="D44" s="25">
        <f>LN(②原始價格與FX!D32/②原始價格與FX!D31)</f>
        <v>-5.7555029761942288E-3</v>
      </c>
      <c r="E44" s="25">
        <f>LN(②原始價格與FX!G32/②原始價格與FX!G31)</f>
        <v>-1.3077777529026996E-3</v>
      </c>
      <c r="F44" s="25">
        <f>LN(②原始價格與FX!H32/②原始價格與FX!H31)</f>
        <v>-4.8146457955405633E-3</v>
      </c>
      <c r="G44" s="25">
        <f t="shared" si="0"/>
        <v>3.6971711108853304E-3</v>
      </c>
      <c r="H44" s="26">
        <f t="shared" si="1"/>
        <v>2.1244986318900368E-2</v>
      </c>
      <c r="I44" s="26">
        <f t="shared" si="2"/>
        <v>-1.0570148771734792E-2</v>
      </c>
      <c r="J44" s="27">
        <f>G44*①基本設定!$G$5+H44*①基本設定!$G$6+I44*①基本設定!$G$7</f>
        <v>25164.479470611743</v>
      </c>
    </row>
    <row r="45" spans="1:10" x14ac:dyDescent="0.25">
      <c r="A45" s="3" t="s">
        <v>84</v>
      </c>
      <c r="B45" s="25">
        <f>LN(②原始價格與FX!B33/②原始價格與FX!B32)</f>
        <v>-8.7716182668778429E-3</v>
      </c>
      <c r="C45" s="25">
        <f>LN(②原始價格與FX!C33/②原始價格與FX!C32)</f>
        <v>1.332122375643607E-2</v>
      </c>
      <c r="D45" s="25">
        <f>LN(②原始價格與FX!D33/②原始價格與FX!D32)</f>
        <v>-4.9705907741975073E-4</v>
      </c>
      <c r="E45" s="25">
        <f>LN(②原始價格與FX!G33/②原始價格與FX!G32)</f>
        <v>3.6498947194064723E-4</v>
      </c>
      <c r="F45" s="25">
        <f>LN(②原始價格與FX!H33/②原始價格與FX!H32)</f>
        <v>1.1433464838759112E-2</v>
      </c>
      <c r="G45" s="25">
        <f t="shared" si="0"/>
        <v>-8.7716182668778429E-3</v>
      </c>
      <c r="H45" s="26">
        <f t="shared" si="1"/>
        <v>1.3686213228376718E-2</v>
      </c>
      <c r="I45" s="26">
        <f t="shared" si="2"/>
        <v>1.0936405761339361E-2</v>
      </c>
      <c r="J45" s="27">
        <f>G45*①基本設定!$G$5+H45*①基本設定!$G$6+I45*①基本設定!$G$7</f>
        <v>6833.3262947220937</v>
      </c>
    </row>
    <row r="46" spans="1:10" x14ac:dyDescent="0.25">
      <c r="A46" s="3" t="s">
        <v>85</v>
      </c>
      <c r="B46" s="25">
        <f>LN(②原始價格與FX!B34/②原始價格與FX!B33)</f>
        <v>8.0199080909108007E-3</v>
      </c>
      <c r="C46" s="25">
        <f>LN(②原始價格與FX!C34/②原始價格與FX!C33)</f>
        <v>-9.8616199147291729E-3</v>
      </c>
      <c r="D46" s="25">
        <f>LN(②原始價格與FX!D34/②原始價格與FX!D33)</f>
        <v>-1.2748353869026698E-5</v>
      </c>
      <c r="E46" s="25">
        <f>LN(②原始價格與FX!G34/②原始價格與FX!G33)</f>
        <v>4.815881633153535E-3</v>
      </c>
      <c r="F46" s="25">
        <f>LN(②原始價格與FX!H34/②原始價格與FX!H33)</f>
        <v>-1.037796643508309E-3</v>
      </c>
      <c r="G46" s="25">
        <f t="shared" si="0"/>
        <v>8.0199080909108007E-3</v>
      </c>
      <c r="H46" s="26">
        <f t="shared" si="1"/>
        <v>-5.0457382815756379E-3</v>
      </c>
      <c r="I46" s="26">
        <f t="shared" si="2"/>
        <v>-1.0505449973773357E-3</v>
      </c>
      <c r="J46" s="27">
        <f>G46*①基本設定!$G$5+H46*①基本設定!$G$6+I46*①基本設定!$G$7</f>
        <v>1621.6427959019454</v>
      </c>
    </row>
    <row r="47" spans="1:10" x14ac:dyDescent="0.25">
      <c r="A47" s="3" t="s">
        <v>86</v>
      </c>
      <c r="B47" s="25">
        <f>LN(②原始價格與FX!B35/②原始價格與FX!B34)</f>
        <v>9.447055706364442E-3</v>
      </c>
      <c r="C47" s="25">
        <f>LN(②原始價格與FX!C35/②原始價格與FX!C34)</f>
        <v>-1.9764588077740893E-2</v>
      </c>
      <c r="D47" s="25">
        <f>LN(②原始價格與FX!D35/②原始價格與FX!D34)</f>
        <v>-1.7152682216237693E-2</v>
      </c>
      <c r="E47" s="25">
        <f>LN(②原始價格與FX!G35/②原始價格與FX!G34)</f>
        <v>-4.8468077784282904E-3</v>
      </c>
      <c r="F47" s="25">
        <f>LN(②原始價格與FX!H35/②原始價格與FX!H34)</f>
        <v>2.4916943650505686E-4</v>
      </c>
      <c r="G47" s="25">
        <f t="shared" si="0"/>
        <v>9.447055706364442E-3</v>
      </c>
      <c r="H47" s="26">
        <f t="shared" si="1"/>
        <v>-2.4611395856169185E-2</v>
      </c>
      <c r="I47" s="26">
        <f t="shared" si="2"/>
        <v>-1.6903512779732635E-2</v>
      </c>
      <c r="J47" s="28">
        <f>G47*①基本設定!$G$5+H47*①基本設定!$G$6+I47*①基本設定!$G$7</f>
        <v>-17688.051025340039</v>
      </c>
    </row>
    <row r="48" spans="1:10" x14ac:dyDescent="0.25">
      <c r="A48" s="3" t="s">
        <v>87</v>
      </c>
      <c r="B48" s="25">
        <f>LN(②原始價格與FX!B36/②原始價格與FX!B35)</f>
        <v>9.2602408312584643E-3</v>
      </c>
      <c r="C48" s="25">
        <f>LN(②原始價格與FX!C36/②原始價格與FX!C35)</f>
        <v>4.1597678896448567E-2</v>
      </c>
      <c r="D48" s="25">
        <f>LN(②原始價格與FX!D36/②原始價格與FX!D35)</f>
        <v>2.0576144526059399E-2</v>
      </c>
      <c r="E48" s="25">
        <f>LN(②原始價格與FX!G36/②原始價格與FX!G35)</f>
        <v>1.5760152334586132E-3</v>
      </c>
      <c r="F48" s="25">
        <f>LN(②原始價格與FX!H36/②原始價格與FX!H35)</f>
        <v>2.5297046272961341E-3</v>
      </c>
      <c r="G48" s="25">
        <f t="shared" si="0"/>
        <v>9.2602408312584643E-3</v>
      </c>
      <c r="H48" s="26">
        <f t="shared" si="1"/>
        <v>4.3173694129907181E-2</v>
      </c>
      <c r="I48" s="26">
        <f t="shared" si="2"/>
        <v>2.3105849153355534E-2</v>
      </c>
      <c r="J48" s="27">
        <f>G48*①基本設定!$G$5+H48*①基本設定!$G$6+I48*①基本設定!$G$7</f>
        <v>53129.518298961346</v>
      </c>
    </row>
    <row r="49" spans="1:10" x14ac:dyDescent="0.25">
      <c r="A49" s="3" t="s">
        <v>88</v>
      </c>
      <c r="B49" s="25">
        <f>LN(②原始價格與FX!B37/②原始價格與FX!B36)</f>
        <v>-3.7729968705200778E-4</v>
      </c>
      <c r="C49" s="25">
        <f>LN(②原始價格與FX!C37/②原始價格與FX!C36)</f>
        <v>-1.4104884429287865E-2</v>
      </c>
      <c r="D49" s="25">
        <f>LN(②原始價格與FX!D37/②原始價格與FX!D36)</f>
        <v>5.5366707379750123E-3</v>
      </c>
      <c r="E49" s="25">
        <f>LN(②原始價格與FX!G37/②原始價格與FX!G36)</f>
        <v>-3.026494200187548E-4</v>
      </c>
      <c r="F49" s="25">
        <f>LN(②原始價格與FX!H37/②原始價格與FX!H36)</f>
        <v>-4.1088272958670225E-3</v>
      </c>
      <c r="G49" s="25">
        <f t="shared" si="0"/>
        <v>-3.7729968705200778E-4</v>
      </c>
      <c r="H49" s="26">
        <f t="shared" si="1"/>
        <v>-1.440753384930662E-2</v>
      </c>
      <c r="I49" s="26">
        <f t="shared" si="2"/>
        <v>1.4278434421079898E-3</v>
      </c>
      <c r="J49" s="28">
        <f>G49*①基本設定!$G$5+H49*①基本設定!$G$6+I49*①基本設定!$G$7</f>
        <v>-15300.584750393693</v>
      </c>
    </row>
    <row r="50" spans="1:10" x14ac:dyDescent="0.25">
      <c r="A50" s="3" t="s">
        <v>89</v>
      </c>
      <c r="B50" s="25">
        <f>LN(②原始價格與FX!B38/②原始價格與FX!B37)</f>
        <v>-4.9233262913850245E-2</v>
      </c>
      <c r="C50" s="25">
        <f>LN(②原始價格與FX!C38/②原始價格與FX!C37)</f>
        <v>-1.3651918490576957E-2</v>
      </c>
      <c r="D50" s="25">
        <f>LN(②原始價格與FX!D38/②原始價格與FX!D37)</f>
        <v>-1.7589706215627322E-2</v>
      </c>
      <c r="E50" s="25">
        <f>LN(②原始價格與FX!G38/②原始價格與FX!G37)</f>
        <v>-1.5950544340047415E-3</v>
      </c>
      <c r="F50" s="25">
        <f>LN(②原始價格與FX!H38/②原始價格與FX!H37)</f>
        <v>1.6621653525581599E-3</v>
      </c>
      <c r="G50" s="25">
        <f t="shared" si="0"/>
        <v>-4.9233262913850245E-2</v>
      </c>
      <c r="H50" s="26">
        <f t="shared" si="1"/>
        <v>-1.5246972924581699E-2</v>
      </c>
      <c r="I50" s="26">
        <f t="shared" si="2"/>
        <v>-1.5927540863069162E-2</v>
      </c>
      <c r="J50" s="28">
        <f>G50*①基本設定!$G$5+H50*①基本設定!$G$6+I50*①基本設定!$G$7</f>
        <v>-58300.353313050306</v>
      </c>
    </row>
    <row r="51" spans="1:10" x14ac:dyDescent="0.25">
      <c r="A51" s="3" t="s">
        <v>90</v>
      </c>
      <c r="B51" s="25">
        <f>LN(②原始價格與FX!B39/②原始價格與FX!B38)</f>
        <v>-9.5943101271406452E-3</v>
      </c>
      <c r="C51" s="25">
        <f>LN(②原始價格與FX!C39/②原始價格與FX!C38)</f>
        <v>3.7697436380177127E-2</v>
      </c>
      <c r="D51" s="25">
        <f>LN(②原始價格與FX!D39/②原始價格與FX!D38)</f>
        <v>-4.5660062202999188E-2</v>
      </c>
      <c r="E51" s="25">
        <f>LN(②原始價格與FX!G39/②原始價格與FX!G38)</f>
        <v>4.2385960345400261E-3</v>
      </c>
      <c r="F51" s="25">
        <f>LN(②原始價格與FX!H39/②原始價格與FX!H38)</f>
        <v>4.2260586595259343E-3</v>
      </c>
      <c r="G51" s="25">
        <f t="shared" si="0"/>
        <v>-9.5943101271406452E-3</v>
      </c>
      <c r="H51" s="26">
        <f t="shared" si="1"/>
        <v>4.1936032414717155E-2</v>
      </c>
      <c r="I51" s="26">
        <f t="shared" si="2"/>
        <v>-4.1434003543473256E-2</v>
      </c>
      <c r="J51" s="27">
        <f>G51*①基本設定!$G$5+H51*①基本設定!$G$6+I51*①基本設定!$G$7</f>
        <v>34946.893389150369</v>
      </c>
    </row>
    <row r="52" spans="1:10" x14ac:dyDescent="0.25">
      <c r="A52" s="3" t="s">
        <v>91</v>
      </c>
      <c r="B52" s="25">
        <f>LN(②原始價格與FX!B40/②原始價格與FX!B39)</f>
        <v>3.6536671915676175E-4</v>
      </c>
      <c r="C52" s="25">
        <f>LN(②原始價格與FX!C40/②原始價格與FX!C39)</f>
        <v>1.7924190338392534E-3</v>
      </c>
      <c r="D52" s="25">
        <f>LN(②原始價格與FX!D40/②原始價格與FX!D39)</f>
        <v>1.0683547629362014E-2</v>
      </c>
      <c r="E52" s="25">
        <f>LN(②原始價格與FX!G40/②原始價格與FX!G39)</f>
        <v>-7.2111387478545361E-4</v>
      </c>
      <c r="F52" s="25">
        <f>LN(②原始價格與FX!H40/②原始價格與FX!H39)</f>
        <v>-8.6861213659348668E-4</v>
      </c>
      <c r="G52" s="25">
        <f t="shared" si="0"/>
        <v>3.6536671915676175E-4</v>
      </c>
      <c r="H52" s="26">
        <f t="shared" si="1"/>
        <v>1.0713051590537999E-3</v>
      </c>
      <c r="I52" s="26">
        <f t="shared" si="2"/>
        <v>9.8149354927685277E-3</v>
      </c>
      <c r="J52" s="27">
        <f>G52*①基本設定!$G$5+H52*①基本設定!$G$6+I52*①基本設定!$G$7</f>
        <v>1536.5489061865637</v>
      </c>
    </row>
    <row r="53" spans="1:10" x14ac:dyDescent="0.25">
      <c r="A53" s="3" t="s">
        <v>92</v>
      </c>
      <c r="B53" s="25">
        <f>LN(②原始價格與FX!B41/②原始價格與FX!B40)</f>
        <v>-3.1237633411959693E-2</v>
      </c>
      <c r="C53" s="25">
        <f>LN(②原始價格與FX!C41/②原始價格與FX!C40)</f>
        <v>-1.5953503377701638E-2</v>
      </c>
      <c r="D53" s="25">
        <f>LN(②原始價格與FX!D41/②原始價格與FX!D40)</f>
        <v>-3.9937938364492317E-2</v>
      </c>
      <c r="E53" s="25">
        <f>LN(②原始價格與FX!G41/②原始價格與FX!G40)</f>
        <v>3.5973088239608319E-3</v>
      </c>
      <c r="F53" s="25">
        <f>LN(②原始價格與FX!H41/②原始價格與FX!H40)</f>
        <v>4.3767360010599715E-3</v>
      </c>
      <c r="G53" s="25">
        <f t="shared" si="0"/>
        <v>-3.1237633411959693E-2</v>
      </c>
      <c r="H53" s="26">
        <f t="shared" si="1"/>
        <v>-1.2356194553740806E-2</v>
      </c>
      <c r="I53" s="26">
        <f t="shared" si="2"/>
        <v>-3.5561202363432347E-2</v>
      </c>
      <c r="J53" s="28">
        <f>G53*①基本設定!$G$5+H53*①基本設定!$G$6+I53*①基本設定!$G$7</f>
        <v>-40062.167286889904</v>
      </c>
    </row>
    <row r="54" spans="1:10" x14ac:dyDescent="0.25">
      <c r="A54" s="3" t="s">
        <v>93</v>
      </c>
      <c r="B54" s="25">
        <f>LN(②原始價格與FX!B42/②原始價格與FX!B41)</f>
        <v>-1.7603740849258841E-3</v>
      </c>
      <c r="C54" s="25">
        <f>LN(②原始價格與FX!C42/②原始價格與FX!C41)</f>
        <v>3.3385734073578459E-3</v>
      </c>
      <c r="D54" s="25">
        <f>LN(②原始價格與FX!D42/②原始價格與FX!D41)</f>
        <v>4.2595627827164226E-3</v>
      </c>
      <c r="E54" s="25">
        <f>LN(②原始價格與FX!G42/②原始價格與FX!G41)</f>
        <v>1.5224160240403623E-3</v>
      </c>
      <c r="F54" s="25">
        <f>LN(②原始價格與FX!H42/②原始價格與FX!H41)</f>
        <v>-9.0636937090684145E-3</v>
      </c>
      <c r="G54" s="25">
        <f t="shared" si="0"/>
        <v>-1.7603740849258841E-3</v>
      </c>
      <c r="H54" s="26">
        <f t="shared" si="1"/>
        <v>4.8609894313982084E-3</v>
      </c>
      <c r="I54" s="26">
        <f t="shared" si="2"/>
        <v>-4.8041309263519918E-3</v>
      </c>
      <c r="J54" s="27">
        <f>G54*①基本設定!$G$5+H54*①基本設定!$G$6+I54*①基本設定!$G$7</f>
        <v>3494.4093347217149</v>
      </c>
    </row>
    <row r="55" spans="1:10" x14ac:dyDescent="0.25">
      <c r="A55" s="3" t="s">
        <v>94</v>
      </c>
      <c r="B55" s="25">
        <f>LN(②原始價格與FX!B43/②原始價格與FX!B42)</f>
        <v>-3.1512536544302306E-3</v>
      </c>
      <c r="C55" s="25">
        <f>LN(②原始價格與FX!C43/②原始價格與FX!C42)</f>
        <v>2.8388252631532289E-3</v>
      </c>
      <c r="D55" s="25">
        <f>LN(②原始價格與FX!D43/②原始價格與FX!D42)</f>
        <v>4.1865266204497717E-3</v>
      </c>
      <c r="E55" s="25">
        <f>LN(②原始價格與FX!G43/②原始價格與FX!G42)</f>
        <v>-4.1953138630310034E-3</v>
      </c>
      <c r="F55" s="25">
        <f>LN(②原始價格與FX!H43/②原始價格與FX!H42)</f>
        <v>2.9889183279416154E-3</v>
      </c>
      <c r="G55" s="25">
        <f t="shared" si="0"/>
        <v>-3.1512536544302306E-3</v>
      </c>
      <c r="H55" s="26">
        <f t="shared" si="1"/>
        <v>-1.3564885998777745E-3</v>
      </c>
      <c r="I55" s="26">
        <f t="shared" si="2"/>
        <v>7.1754449483913876E-3</v>
      </c>
      <c r="J55" s="28">
        <f>G55*①基本設定!$G$5+H55*①基本設定!$G$6+I55*①基本設定!$G$7</f>
        <v>-4037.3486898464798</v>
      </c>
    </row>
    <row r="56" spans="1:10" x14ac:dyDescent="0.25">
      <c r="A56" s="3" t="s">
        <v>95</v>
      </c>
      <c r="B56" s="25">
        <f>LN(②原始價格與FX!B44/②原始價格與FX!B43)</f>
        <v>8.905865592809481E-3</v>
      </c>
      <c r="C56" s="25">
        <f>LN(②原始價格與FX!C44/②原始價格與FX!C43)</f>
        <v>3.3180473498002762E-3</v>
      </c>
      <c r="D56" s="25">
        <f>LN(②原始價格與FX!D44/②原始價格與FX!D43)</f>
        <v>-3.5387813044658711E-2</v>
      </c>
      <c r="E56" s="25">
        <f>LN(②原始價格與FX!G44/②原始價格與FX!G43)</f>
        <v>3.4589503607493021E-3</v>
      </c>
      <c r="F56" s="25">
        <f>LN(②原始價格與FX!H44/②原始價格與FX!H43)</f>
        <v>1.9049202381190354E-3</v>
      </c>
      <c r="G56" s="25">
        <f t="shared" si="0"/>
        <v>8.905865592809481E-3</v>
      </c>
      <c r="H56" s="26">
        <f t="shared" si="1"/>
        <v>6.7769977105495783E-3</v>
      </c>
      <c r="I56" s="26">
        <f t="shared" si="2"/>
        <v>-3.3482892806539676E-2</v>
      </c>
      <c r="J56" s="27">
        <f>G56*①基本設定!$G$5+H56*①基本設定!$G$6+I56*①基本設定!$G$7</f>
        <v>14327.483200589817</v>
      </c>
    </row>
    <row r="57" spans="1:10" x14ac:dyDescent="0.25">
      <c r="A57" s="3" t="s">
        <v>96</v>
      </c>
      <c r="B57" s="25">
        <f>LN(②原始價格與FX!B45/②原始價格與FX!B44)</f>
        <v>-1.5492455704910993E-2</v>
      </c>
      <c r="C57" s="25">
        <f>LN(②原始價格與FX!C45/②原始價格與FX!C44)</f>
        <v>2.238334835557671E-3</v>
      </c>
      <c r="D57" s="25">
        <f>LN(②原始價格與FX!D45/②原始價格與FX!D44)</f>
        <v>-2.1049774043710872E-2</v>
      </c>
      <c r="E57" s="25">
        <f>LN(②原始價格與FX!G45/②原始價格與FX!G44)</f>
        <v>3.4984027386564845E-4</v>
      </c>
      <c r="F57" s="25">
        <f>LN(②原始價格與FX!H45/②原始價格與FX!H44)</f>
        <v>-4.1372747776974364E-5</v>
      </c>
      <c r="G57" s="25">
        <f t="shared" si="0"/>
        <v>-1.5492455704910993E-2</v>
      </c>
      <c r="H57" s="26">
        <f t="shared" si="1"/>
        <v>2.5881751094233196E-3</v>
      </c>
      <c r="I57" s="26">
        <f t="shared" si="2"/>
        <v>-2.1091146791487846E-2</v>
      </c>
      <c r="J57" s="28">
        <f>G57*①基本設定!$G$5+H57*①基本設定!$G$6+I57*①基本設定!$G$7</f>
        <v>-10836.924254411118</v>
      </c>
    </row>
    <row r="58" spans="1:10" x14ac:dyDescent="0.25">
      <c r="A58" s="3" t="s">
        <v>97</v>
      </c>
      <c r="B58" s="25">
        <f>LN(②原始價格與FX!B46/②原始價格與FX!B45)</f>
        <v>-1.518312592138845E-2</v>
      </c>
      <c r="C58" s="25">
        <f>LN(②原始價格與FX!C46/②原始價格與FX!C45)</f>
        <v>-1.6539382084261064E-3</v>
      </c>
      <c r="D58" s="25">
        <f>LN(②原始價格與FX!D46/②原始價格與FX!D45)</f>
        <v>-3.4520713916304474E-3</v>
      </c>
      <c r="E58" s="25">
        <f>LN(②原始價格與FX!G46/②原始價格與FX!G45)</f>
        <v>1.1346040069687901E-3</v>
      </c>
      <c r="F58" s="25">
        <f>LN(②原始價格與FX!H46/②原始價格與FX!H45)</f>
        <v>-5.7675311845233343E-3</v>
      </c>
      <c r="G58" s="25">
        <f t="shared" si="0"/>
        <v>-1.518312592138845E-2</v>
      </c>
      <c r="H58" s="26">
        <f t="shared" si="1"/>
        <v>-5.1933420145731631E-4</v>
      </c>
      <c r="I58" s="26">
        <f t="shared" si="2"/>
        <v>-9.2196025761537813E-3</v>
      </c>
      <c r="J58" s="28">
        <f>G58*①基本設定!$G$5+H58*①基本設定!$G$6+I58*①基本設定!$G$7</f>
        <v>-13674.284535250907</v>
      </c>
    </row>
    <row r="59" spans="1:10" x14ac:dyDescent="0.25">
      <c r="A59" s="3" t="s">
        <v>98</v>
      </c>
      <c r="B59" s="25">
        <f>LN(②原始價格與FX!B47/②原始價格與FX!B46)</f>
        <v>1.8680868643041533E-2</v>
      </c>
      <c r="C59" s="25">
        <f>LN(②原始價格與FX!C47/②原始價格與FX!C46)</f>
        <v>1.4308055382532893E-2</v>
      </c>
      <c r="D59" s="25">
        <f>LN(②原始價格與FX!D47/②原始價格與FX!D46)</f>
        <v>-2.8200107818155424E-3</v>
      </c>
      <c r="E59" s="25">
        <f>LN(②原始價格與FX!G47/②原始價格與FX!G46)</f>
        <v>-2.0954238166757721E-3</v>
      </c>
      <c r="F59" s="25">
        <f>LN(②原始價格與FX!H47/②原始價格與FX!H46)</f>
        <v>2.3276123397883435E-3</v>
      </c>
      <c r="G59" s="25">
        <f t="shared" si="0"/>
        <v>1.8680868643041533E-2</v>
      </c>
      <c r="H59" s="26">
        <f t="shared" si="1"/>
        <v>1.221263156585712E-2</v>
      </c>
      <c r="I59" s="26">
        <f t="shared" si="2"/>
        <v>-4.9239844202719893E-4</v>
      </c>
      <c r="J59" s="27">
        <f>G59*①基本設定!$G$5+H59*①基本設定!$G$6+I59*①基本設定!$G$7</f>
        <v>28737.563739833367</v>
      </c>
    </row>
    <row r="60" spans="1:10" x14ac:dyDescent="0.25">
      <c r="A60" s="3" t="s">
        <v>99</v>
      </c>
      <c r="B60" s="25">
        <f>LN(②原始價格與FX!B48/②原始價格與FX!B47)</f>
        <v>3.0888473904485425E-3</v>
      </c>
      <c r="C60" s="25">
        <f>LN(②原始價格與FX!C48/②原始價格與FX!C47)</f>
        <v>-4.7773211677079749E-2</v>
      </c>
      <c r="D60" s="25">
        <f>LN(②原始價格與FX!D48/②原始價格與FX!D47)</f>
        <v>-2.6390276267306861E-2</v>
      </c>
      <c r="E60" s="25">
        <f>LN(②原始價格與FX!G48/②原始價格與FX!G47)</f>
        <v>-8.787454784674498E-4</v>
      </c>
      <c r="F60" s="25">
        <f>LN(②原始價格與FX!H48/②原始價格與FX!H47)</f>
        <v>-6.6447944635213206E-4</v>
      </c>
      <c r="G60" s="25">
        <f t="shared" si="0"/>
        <v>3.0888473904485425E-3</v>
      </c>
      <c r="H60" s="26">
        <f t="shared" si="1"/>
        <v>-4.8651957155547196E-2</v>
      </c>
      <c r="I60" s="26">
        <f t="shared" si="2"/>
        <v>-2.7054755713658993E-2</v>
      </c>
      <c r="J60" s="28">
        <f>G60*①基本設定!$G$5+H60*①基本設定!$G$6+I60*①基本設定!$G$7</f>
        <v>-48273.98599344075</v>
      </c>
    </row>
    <row r="61" spans="1:10" x14ac:dyDescent="0.25">
      <c r="A61" s="3" t="s">
        <v>100</v>
      </c>
      <c r="B61" s="25">
        <f>LN(②原始價格與FX!B49/②原始價格與FX!B48)</f>
        <v>-2.1485388276476216E-3</v>
      </c>
      <c r="C61" s="25">
        <f>LN(②原始價格與FX!C49/②原始價格與FX!C48)</f>
        <v>-4.1107308409424448E-2</v>
      </c>
      <c r="D61" s="25">
        <f>LN(②原始價格與FX!D49/②原始價格與FX!D48)</f>
        <v>-1.5701857168974206E-2</v>
      </c>
      <c r="E61" s="25">
        <f>LN(②原始價格與FX!G49/②原始價格與FX!G48)</f>
        <v>-9.8369222808800496E-5</v>
      </c>
      <c r="F61" s="25">
        <f>LN(②原始價格與FX!H49/②原始價格與FX!H48)</f>
        <v>1.4529757418473295E-3</v>
      </c>
      <c r="G61" s="25">
        <f t="shared" si="0"/>
        <v>-2.1485388276476216E-3</v>
      </c>
      <c r="H61" s="26">
        <f t="shared" si="1"/>
        <v>-4.1205677632233248E-2</v>
      </c>
      <c r="I61" s="26">
        <f t="shared" si="2"/>
        <v>-1.4248881427126877E-2</v>
      </c>
      <c r="J61" s="28">
        <f>G61*①基本設定!$G$5+H61*①基本設定!$G$6+I61*①基本設定!$G$7</f>
        <v>-44879.757931311426</v>
      </c>
    </row>
    <row r="62" spans="1:10" x14ac:dyDescent="0.25">
      <c r="A62" s="3" t="s">
        <v>101</v>
      </c>
      <c r="B62" s="25">
        <f>LN(②原始價格與FX!B50/②原始價格與FX!B49)</f>
        <v>5.8390117057262126E-3</v>
      </c>
      <c r="C62" s="25">
        <f>LN(②原始價格與FX!C50/②原始價格與FX!C49)</f>
        <v>1.9839653591024492E-2</v>
      </c>
      <c r="D62" s="25">
        <f>LN(②原始價格與FX!D50/②原始價格與FX!D49)</f>
        <v>1.4078016429649771E-2</v>
      </c>
      <c r="E62" s="25">
        <f>LN(②原始價格與FX!G50/②原始價格與FX!G49)</f>
        <v>-1.6398868369007864E-3</v>
      </c>
      <c r="F62" s="25">
        <f>LN(②原始價格與FX!H50/②原始價格與FX!H49)</f>
        <v>-4.323611956902256E-3</v>
      </c>
      <c r="G62" s="25">
        <f t="shared" si="0"/>
        <v>5.8390117057262126E-3</v>
      </c>
      <c r="H62" s="26">
        <f t="shared" si="1"/>
        <v>1.8199766754123707E-2</v>
      </c>
      <c r="I62" s="26">
        <f t="shared" si="2"/>
        <v>9.754404472747516E-3</v>
      </c>
      <c r="J62" s="27">
        <f>G62*①基本設定!$G$5+H62*①基本設定!$G$6+I62*①基本設定!$G$7</f>
        <v>24057.99042054814</v>
      </c>
    </row>
    <row r="63" spans="1:10" x14ac:dyDescent="0.25">
      <c r="A63" s="3" t="s">
        <v>102</v>
      </c>
      <c r="B63" s="25">
        <f>LN(②原始價格與FX!B51/②原始價格與FX!B50)</f>
        <v>3.8476791017849371E-2</v>
      </c>
      <c r="C63" s="25">
        <f>LN(②原始價格與FX!C51/②原始價格與FX!C50)</f>
        <v>3.7100174324113055E-2</v>
      </c>
      <c r="D63" s="25">
        <f>LN(②原始價格與FX!D51/②原始價格與FX!D50)</f>
        <v>-2.017046260161948E-2</v>
      </c>
      <c r="E63" s="25">
        <f>LN(②原始價格與FX!G51/②原始價格與FX!G50)</f>
        <v>9.2642043642677478E-4</v>
      </c>
      <c r="F63" s="25">
        <f>LN(②原始價格與FX!H51/②原始價格與FX!H50)</f>
        <v>-6.8981648566570014E-3</v>
      </c>
      <c r="G63" s="25">
        <f t="shared" si="0"/>
        <v>3.8476791017849371E-2</v>
      </c>
      <c r="H63" s="26">
        <f t="shared" si="1"/>
        <v>3.8026594760539829E-2</v>
      </c>
      <c r="I63" s="26">
        <f t="shared" si="2"/>
        <v>-2.7068627458276481E-2</v>
      </c>
      <c r="J63" s="27">
        <f>G63*①基本設定!$G$5+H63*①基本設定!$G$6+I63*①基本設定!$G$7</f>
        <v>72298.36314614852</v>
      </c>
    </row>
    <row r="64" spans="1:10" x14ac:dyDescent="0.25">
      <c r="A64" s="3" t="s">
        <v>103</v>
      </c>
      <c r="B64" s="25">
        <f>LN(②原始價格與FX!B52/②原始價格與FX!B51)</f>
        <v>-3.724463609144764E-3</v>
      </c>
      <c r="C64" s="25">
        <f>LN(②原始價格與FX!C52/②原始價格與FX!C51)</f>
        <v>-3.1763389651437886E-3</v>
      </c>
      <c r="D64" s="25">
        <f>LN(②原始價格與FX!D52/②原始價格與FX!D51)</f>
        <v>9.6685832315751281E-4</v>
      </c>
      <c r="E64" s="25">
        <f>LN(②原始價格與FX!G52/②原始價格與FX!G51)</f>
        <v>-5.1081010668376555E-4</v>
      </c>
      <c r="F64" s="25">
        <f>LN(②原始價格與FX!H52/②原始價格與FX!H51)</f>
        <v>-5.6795625863356163E-3</v>
      </c>
      <c r="G64" s="25">
        <f t="shared" si="0"/>
        <v>-3.724463609144764E-3</v>
      </c>
      <c r="H64" s="26">
        <f t="shared" si="1"/>
        <v>-3.6871490718275541E-3</v>
      </c>
      <c r="I64" s="26">
        <f t="shared" si="2"/>
        <v>-4.7127042631781033E-3</v>
      </c>
      <c r="J64" s="28">
        <f>G64*①基本設定!$G$5+H64*①基本設定!$G$6+I64*①基本設定!$G$7</f>
        <v>-7085.6243068396943</v>
      </c>
    </row>
    <row r="65" spans="1:10" x14ac:dyDescent="0.25">
      <c r="A65" s="3" t="s">
        <v>104</v>
      </c>
      <c r="B65" s="25">
        <f>LN(②原始價格與FX!B53/②原始價格與FX!B52)</f>
        <v>-1.0643224313411062E-2</v>
      </c>
      <c r="C65" s="25">
        <f>LN(②原始價格與FX!C53/②原始價格與FX!C52)</f>
        <v>8.0699499765477193E-3</v>
      </c>
      <c r="D65" s="25">
        <f>LN(②原始價格與FX!D53/②原始價格與FX!D52)</f>
        <v>1.6159324265120421E-2</v>
      </c>
      <c r="E65" s="25">
        <f>LN(②原始價格與FX!G53/②原始價格與FX!G52)</f>
        <v>3.2297099673307705E-3</v>
      </c>
      <c r="F65" s="25">
        <f>LN(②原始價格與FX!H53/②原始價格與FX!H52)</f>
        <v>9.5316797309219718E-3</v>
      </c>
      <c r="G65" s="25">
        <f t="shared" si="0"/>
        <v>-1.0643224313411062E-2</v>
      </c>
      <c r="H65" s="26">
        <f t="shared" si="1"/>
        <v>1.1299659943878489E-2</v>
      </c>
      <c r="I65" s="26">
        <f t="shared" si="2"/>
        <v>2.5691003996042391E-2</v>
      </c>
      <c r="J65" s="27">
        <f>G65*①基本設定!$G$5+H65*①基本設定!$G$6+I65*①基本設定!$G$7</f>
        <v>2905.973162795156</v>
      </c>
    </row>
    <row r="66" spans="1:10" x14ac:dyDescent="0.25">
      <c r="A66" s="3" t="s">
        <v>105</v>
      </c>
      <c r="B66" s="25">
        <f>LN(②原始價格與FX!B54/②原始價格與FX!B53)</f>
        <v>-2.9695105799778361E-2</v>
      </c>
      <c r="C66" s="25">
        <f>LN(②原始價格與FX!C54/②原始價格與FX!C53)</f>
        <v>8.6899434836430062E-3</v>
      </c>
      <c r="D66" s="25">
        <f>LN(②原始價格與FX!D54/②原始價格與FX!D53)</f>
        <v>-1.6374100898248492E-2</v>
      </c>
      <c r="E66" s="25">
        <f>LN(②原始價格與FX!G54/②原始價格與FX!G53)</f>
        <v>-3.5036855236525747E-3</v>
      </c>
      <c r="F66" s="25">
        <f>LN(②原始價格與FX!H54/②原始價格與FX!H53)</f>
        <v>3.6708004344471095E-3</v>
      </c>
      <c r="G66" s="25">
        <f t="shared" si="0"/>
        <v>-2.9695105799778361E-2</v>
      </c>
      <c r="H66" s="26">
        <f t="shared" si="1"/>
        <v>5.1862579599904314E-3</v>
      </c>
      <c r="I66" s="26">
        <f t="shared" si="2"/>
        <v>-1.2703300463801383E-2</v>
      </c>
      <c r="J66" s="28">
        <f>G66*①基本設定!$G$5+H66*①基本設定!$G$6+I66*①基本設定!$G$7</f>
        <v>-20231.647229783837</v>
      </c>
    </row>
    <row r="67" spans="1:10" x14ac:dyDescent="0.25">
      <c r="A67" s="3" t="s">
        <v>106</v>
      </c>
      <c r="B67" s="25">
        <f>LN(②原始價格與FX!B55/②原始價格與FX!B54)</f>
        <v>2.1929409994387649E-2</v>
      </c>
      <c r="C67" s="25">
        <f>LN(②原始價格與FX!C55/②原始價格與FX!C54)</f>
        <v>1.6146979663296056E-2</v>
      </c>
      <c r="D67" s="25">
        <f>LN(②原始價格與FX!D55/②原始價格與FX!D54)</f>
        <v>4.5617444320694787E-3</v>
      </c>
      <c r="E67" s="25">
        <f>LN(②原始價格與FX!G55/②原始價格與FX!G54)</f>
        <v>-1.4789164704671453E-3</v>
      </c>
      <c r="F67" s="25">
        <f>LN(②原始價格與FX!H55/②原始價格與FX!H54)</f>
        <v>-2.4596156224866881E-3</v>
      </c>
      <c r="G67" s="25">
        <f t="shared" si="0"/>
        <v>2.1929409994387649E-2</v>
      </c>
      <c r="H67" s="26">
        <f t="shared" si="1"/>
        <v>1.4668063192828911E-2</v>
      </c>
      <c r="I67" s="26">
        <f t="shared" si="2"/>
        <v>2.1021288095827905E-3</v>
      </c>
      <c r="J67" s="27">
        <f>G67*①基本設定!$G$5+H67*①基本設定!$G$6+I67*①基本設定!$G$7</f>
        <v>34109.622920201247</v>
      </c>
    </row>
    <row r="68" spans="1:10" x14ac:dyDescent="0.25">
      <c r="A68" s="3" t="s">
        <v>107</v>
      </c>
      <c r="B68" s="25">
        <f>LN(②原始價格與FX!B56/②原始價格與FX!B55)</f>
        <v>4.056740123165644E-2</v>
      </c>
      <c r="C68" s="25">
        <f>LN(②原始價格與FX!C56/②原始價格與FX!C55)</f>
        <v>2.672014315585523E-2</v>
      </c>
      <c r="D68" s="25">
        <f>LN(②原始價格與FX!D56/②原始價格與FX!D55)</f>
        <v>1.3320584132442276E-2</v>
      </c>
      <c r="E68" s="25">
        <f>LN(②原始價格與FX!G56/②原始價格與FX!G55)</f>
        <v>-1.3822981670193013E-3</v>
      </c>
      <c r="F68" s="25">
        <f>LN(②原始價格與FX!H56/②原始價格與FX!H55)</f>
        <v>1.4598238291449106E-3</v>
      </c>
      <c r="G68" s="25">
        <f t="shared" si="0"/>
        <v>4.056740123165644E-2</v>
      </c>
      <c r="H68" s="26">
        <f t="shared" si="1"/>
        <v>2.5337844988835928E-2</v>
      </c>
      <c r="I68" s="26">
        <f t="shared" si="2"/>
        <v>1.4780407961587187E-2</v>
      </c>
      <c r="J68" s="27">
        <f>G68*①基本設定!$G$5+H68*①基本設定!$G$6+I68*①基本設定!$G$7</f>
        <v>61350.009865638436</v>
      </c>
    </row>
    <row r="69" spans="1:10" x14ac:dyDescent="0.25">
      <c r="A69" s="3" t="s">
        <v>108</v>
      </c>
      <c r="B69" s="25">
        <f>LN(②原始價格與FX!B57/②原始價格與FX!B56)</f>
        <v>5.7718019763495334E-3</v>
      </c>
      <c r="C69" s="25">
        <f>LN(②原始價格與FX!C57/②原始價格與FX!C56)</f>
        <v>4.3484115517393389E-2</v>
      </c>
      <c r="D69" s="25">
        <f>LN(②原始價格與FX!D57/②原始價格與FX!D56)</f>
        <v>4.0710463577085153E-2</v>
      </c>
      <c r="E69" s="25">
        <f>LN(②原始價格與FX!G57/②原始價格與FX!G56)</f>
        <v>1.8847588477128678E-3</v>
      </c>
      <c r="F69" s="25">
        <f>LN(②原始價格與FX!H57/②原始價格與FX!H56)</f>
        <v>-2.7963873895718236E-3</v>
      </c>
      <c r="G69" s="25">
        <f t="shared" si="0"/>
        <v>5.7718019763495334E-3</v>
      </c>
      <c r="H69" s="26">
        <f t="shared" si="1"/>
        <v>4.5368874365106254E-2</v>
      </c>
      <c r="I69" s="26">
        <f t="shared" si="2"/>
        <v>3.7914076187513329E-2</v>
      </c>
      <c r="J69" s="27">
        <f>G69*①基本設定!$G$5+H69*①基本設定!$G$6+I69*①基本設定!$G$7</f>
        <v>52582.711095269085</v>
      </c>
    </row>
    <row r="70" spans="1:10" x14ac:dyDescent="0.25">
      <c r="A70" s="3" t="s">
        <v>109</v>
      </c>
      <c r="B70" s="25">
        <f>LN(②原始價格與FX!B58/②原始價格與FX!B57)</f>
        <v>1.9802296367648849E-2</v>
      </c>
      <c r="C70" s="25">
        <f>LN(②原始價格與FX!C58/②原始價格與FX!C57)</f>
        <v>9.549807058609942E-3</v>
      </c>
      <c r="D70" s="25">
        <f>LN(②原始價格與FX!D58/②原始價格與FX!D57)</f>
        <v>1.7513230798889289E-2</v>
      </c>
      <c r="E70" s="25">
        <f>LN(②原始價格與FX!G58/②原始價格與FX!G57)</f>
        <v>-1.894021752096585E-3</v>
      </c>
      <c r="F70" s="25">
        <f>LN(②原始價格與FX!H58/②原始價格與FX!H57)</f>
        <v>4.4205418330118722E-3</v>
      </c>
      <c r="G70" s="25">
        <f t="shared" si="0"/>
        <v>1.9802296367648849E-2</v>
      </c>
      <c r="H70" s="26">
        <f t="shared" si="1"/>
        <v>7.6557853065133573E-3</v>
      </c>
      <c r="I70" s="26">
        <f t="shared" si="2"/>
        <v>2.1933772631901161E-2</v>
      </c>
      <c r="J70" s="27">
        <f>G70*①基本設定!$G$5+H70*①基本設定!$G$6+I70*①基本設定!$G$7</f>
        <v>25205.371905238491</v>
      </c>
    </row>
    <row r="71" spans="1:10" x14ac:dyDescent="0.25">
      <c r="A71" s="3" t="s">
        <v>110</v>
      </c>
      <c r="B71" s="25">
        <f>LN(②原始價格與FX!B59/②原始價格與FX!B58)</f>
        <v>3.7654875210397756E-3</v>
      </c>
      <c r="C71" s="25">
        <f>LN(②原始價格與FX!C59/②原始價格與FX!C58)</f>
        <v>-2.4730364235626048E-2</v>
      </c>
      <c r="D71" s="25">
        <f>LN(②原始價格與FX!D59/②原始價格與FX!D58)</f>
        <v>1.444073511709121E-2</v>
      </c>
      <c r="E71" s="25">
        <f>LN(②原始價格與FX!G59/②原始價格與FX!G58)</f>
        <v>4.1719621254603491E-3</v>
      </c>
      <c r="F71" s="25">
        <f>LN(②原始價格與FX!H59/②原始價格與FX!H58)</f>
        <v>-4.2115859846221099E-3</v>
      </c>
      <c r="G71" s="25">
        <f t="shared" si="0"/>
        <v>3.7654875210397756E-3</v>
      </c>
      <c r="H71" s="26">
        <f t="shared" si="1"/>
        <v>-2.0558402110165699E-2</v>
      </c>
      <c r="I71" s="26">
        <f t="shared" si="2"/>
        <v>1.02291491324691E-2</v>
      </c>
      <c r="J71" s="28">
        <f>G71*①基本設定!$G$5+H71*①基本設定!$G$6+I71*①基本設定!$G$7</f>
        <v>-18048.27935348549</v>
      </c>
    </row>
    <row r="72" spans="1:10" x14ac:dyDescent="0.25">
      <c r="A72" s="3" t="s">
        <v>111</v>
      </c>
      <c r="B72" s="25">
        <f>LN(②原始價格與FX!B60/②原始價格與FX!B59)</f>
        <v>9.0908225225885576E-3</v>
      </c>
      <c r="C72" s="25">
        <f>LN(②原始價格與FX!C60/②原始價格與FX!C59)</f>
        <v>-2.0234296524047658E-2</v>
      </c>
      <c r="D72" s="25">
        <f>LN(②原始價格與FX!D60/②原始價格與FX!D59)</f>
        <v>-1.6205382859023048E-2</v>
      </c>
      <c r="E72" s="25">
        <f>LN(②原始價格與FX!G60/②原始價格與FX!G59)</f>
        <v>-9.7826295386326391E-4</v>
      </c>
      <c r="F72" s="25">
        <f>LN(②原始價格與FX!H60/②原始價格與FX!H59)</f>
        <v>4.0867446370056173E-3</v>
      </c>
      <c r="G72" s="25">
        <f t="shared" si="0"/>
        <v>9.0908225225885576E-3</v>
      </c>
      <c r="H72" s="26">
        <f t="shared" si="1"/>
        <v>-2.1212559477910922E-2</v>
      </c>
      <c r="I72" s="26">
        <f t="shared" si="2"/>
        <v>-1.211863822201743E-2</v>
      </c>
      <c r="J72" s="28">
        <f>G72*①基本設定!$G$5+H72*①基本設定!$G$6+I72*①基本設定!$G$7</f>
        <v>-14404.274732046153</v>
      </c>
    </row>
    <row r="73" spans="1:10" x14ac:dyDescent="0.25">
      <c r="A73" s="3" t="s">
        <v>112</v>
      </c>
      <c r="B73" s="25">
        <f>LN(②原始價格與FX!B61/②原始價格與FX!B60)</f>
        <v>-4.1577378976198785E-3</v>
      </c>
      <c r="C73" s="25">
        <f>LN(②原始價格與FX!C61/②原始價格與FX!C60)</f>
        <v>4.9584197606257208E-3</v>
      </c>
      <c r="D73" s="25">
        <f>LN(②原始價格與FX!D61/②原始價格與FX!D60)</f>
        <v>3.7434835365715652E-2</v>
      </c>
      <c r="E73" s="25">
        <f>LN(②原始價格與FX!G61/②原始價格與FX!G60)</f>
        <v>6.3080271144721495E-3</v>
      </c>
      <c r="F73" s="25">
        <f>LN(②原始價格與FX!H61/②原始價格與FX!H60)</f>
        <v>9.5671894321460067E-4</v>
      </c>
      <c r="G73" s="25">
        <f t="shared" si="0"/>
        <v>-4.1577378976198785E-3</v>
      </c>
      <c r="H73" s="26">
        <f t="shared" si="1"/>
        <v>1.126644687509787E-2</v>
      </c>
      <c r="I73" s="26">
        <f t="shared" si="2"/>
        <v>3.8391554308930251E-2</v>
      </c>
      <c r="J73" s="27">
        <f>G73*①基本設定!$G$5+H73*①基本設定!$G$6+I73*①基本設定!$G$7</f>
        <v>8578.0987501127147</v>
      </c>
    </row>
    <row r="74" spans="1:10" x14ac:dyDescent="0.25">
      <c r="A74" s="3" t="s">
        <v>113</v>
      </c>
      <c r="B74" s="25">
        <f>LN(②原始價格與FX!B62/②原始價格與FX!B61)</f>
        <v>1.163944098159753E-3</v>
      </c>
      <c r="C74" s="25">
        <f>LN(②原始價格與FX!C62/②原始價格與FX!C61)</f>
        <v>-3.2558721160341413E-2</v>
      </c>
      <c r="D74" s="25">
        <f>LN(②原始價格與FX!D62/②原始價格與FX!D61)</f>
        <v>7.313521542712159E-3</v>
      </c>
      <c r="E74" s="25">
        <f>LN(②原始價格與FX!G62/②原始價格與FX!G61)</f>
        <v>1.4944647998962697E-3</v>
      </c>
      <c r="F74" s="25">
        <f>LN(②原始價格與FX!H62/②原始價格與FX!H61)</f>
        <v>-3.5402690093077334E-3</v>
      </c>
      <c r="G74" s="25">
        <f t="shared" si="0"/>
        <v>1.163944098159753E-3</v>
      </c>
      <c r="H74" s="26">
        <f t="shared" si="1"/>
        <v>-3.1064256360445144E-2</v>
      </c>
      <c r="I74" s="26">
        <f t="shared" si="2"/>
        <v>3.7732525334044256E-3</v>
      </c>
      <c r="J74" s="28">
        <f>G74*①基本設定!$G$5+H74*①基本設定!$G$6+I74*①基本設定!$G$7</f>
        <v>-31284.800630795366</v>
      </c>
    </row>
    <row r="75" spans="1:10" x14ac:dyDescent="0.25">
      <c r="A75" s="3" t="s">
        <v>114</v>
      </c>
      <c r="B75" s="25">
        <f>LN(②原始價格與FX!B63/②原始價格與FX!B62)</f>
        <v>-2.5591824588216275E-3</v>
      </c>
      <c r="C75" s="25">
        <f>LN(②原始價格與FX!C63/②原始價格與FX!C62)</f>
        <v>-3.0104796541514545E-2</v>
      </c>
      <c r="D75" s="25">
        <f>LN(②原始價格與FX!D63/②原始價格與FX!D62)</f>
        <v>-5.5027911405790088E-2</v>
      </c>
      <c r="E75" s="25">
        <f>LN(②原始價格與FX!G63/②原始價格與FX!G62)</f>
        <v>3.1192520797578369E-3</v>
      </c>
      <c r="F75" s="25">
        <f>LN(②原始價格與FX!H63/②原始價格與FX!H62)</f>
        <v>2.0423907230916992E-3</v>
      </c>
      <c r="G75" s="25">
        <f t="shared" si="0"/>
        <v>-2.5591824588216275E-3</v>
      </c>
      <c r="H75" s="26">
        <f t="shared" si="1"/>
        <v>-2.6985544461756709E-2</v>
      </c>
      <c r="I75" s="26">
        <f t="shared" si="2"/>
        <v>-5.2985520682698392E-2</v>
      </c>
      <c r="J75" s="28">
        <f>G75*①基本設定!$G$5+H75*①基本設定!$G$6+I75*①基本設定!$G$7</f>
        <v>-30861.573719946497</v>
      </c>
    </row>
    <row r="76" spans="1:10" x14ac:dyDescent="0.25">
      <c r="A76" s="3" t="s">
        <v>115</v>
      </c>
      <c r="B76" s="25">
        <f>LN(②原始價格與FX!B64/②原始價格與FX!B63)</f>
        <v>-2.0494730934280284E-2</v>
      </c>
      <c r="C76" s="25">
        <f>LN(②原始價格與FX!C64/②原始價格與FX!C63)</f>
        <v>1.4262180596421445E-3</v>
      </c>
      <c r="D76" s="25">
        <f>LN(②原始價格與FX!D64/②原始價格與FX!D63)</f>
        <v>-1.8797218284059648E-2</v>
      </c>
      <c r="E76" s="25">
        <f>LN(②原始價格與FX!G64/②原始價格與FX!G63)</f>
        <v>-1.0478126348934908E-3</v>
      </c>
      <c r="F76" s="25">
        <f>LN(②原始價格與FX!H64/②原始價格與FX!H63)</f>
        <v>4.1638040519928718E-5</v>
      </c>
      <c r="G76" s="25">
        <f t="shared" si="0"/>
        <v>-2.0494730934280284E-2</v>
      </c>
      <c r="H76" s="26">
        <f t="shared" si="1"/>
        <v>3.7840542474865363E-4</v>
      </c>
      <c r="I76" s="26">
        <f t="shared" si="2"/>
        <v>-1.8755580243539721E-2</v>
      </c>
      <c r="J76" s="28">
        <f>G76*①基本設定!$G$5+H76*①基本設定!$G$6+I76*①基本設定!$G$7</f>
        <v>-17404.328026665436</v>
      </c>
    </row>
    <row r="77" spans="1:10" x14ac:dyDescent="0.25">
      <c r="A77" s="3" t="s">
        <v>116</v>
      </c>
      <c r="B77" s="25">
        <f>LN(②原始價格與FX!B65/②原始價格與FX!B64)</f>
        <v>1.2794203975434026E-2</v>
      </c>
      <c r="C77" s="25">
        <f>LN(②原始價格與FX!C65/②原始價格與FX!C64)</f>
        <v>-8.849993202632477E-4</v>
      </c>
      <c r="D77" s="25">
        <f>LN(②原始價格與FX!D65/②原始價格與FX!D64)</f>
        <v>6.0961981687402168E-3</v>
      </c>
      <c r="E77" s="25">
        <f>LN(②原始價格與FX!G65/②原始價格與FX!G64)</f>
        <v>6.7549149307508374E-3</v>
      </c>
      <c r="F77" s="25">
        <f>LN(②原始價格與FX!H65/②原始價格與FX!H64)</f>
        <v>6.1847736734904893E-3</v>
      </c>
      <c r="G77" s="25">
        <f t="shared" si="0"/>
        <v>1.2794203975434026E-2</v>
      </c>
      <c r="H77" s="26">
        <f t="shared" si="1"/>
        <v>5.86991561048759E-3</v>
      </c>
      <c r="I77" s="26">
        <f t="shared" si="2"/>
        <v>1.2280971842230707E-2</v>
      </c>
      <c r="J77" s="27">
        <f>G77*①基本設定!$G$5+H77*①基本設定!$G$6+I77*①基本設定!$G$7</f>
        <v>17225.317102389516</v>
      </c>
    </row>
    <row r="78" spans="1:10" x14ac:dyDescent="0.25">
      <c r="A78" s="3" t="s">
        <v>117</v>
      </c>
      <c r="B78" s="25">
        <f>LN(②原始價格與FX!B66/②原始價格與FX!B65)</f>
        <v>1.4853059599765685E-2</v>
      </c>
      <c r="C78" s="25">
        <f>LN(②原始價格與FX!C66/②原始價格與FX!C65)</f>
        <v>1.4454788253621828E-2</v>
      </c>
      <c r="D78" s="25">
        <f>LN(②原始價格與FX!D66/②原始價格與FX!D65)</f>
        <v>-1.6517642251214524E-2</v>
      </c>
      <c r="E78" s="25">
        <f>LN(②原始價格與FX!G66/②原始價格與FX!G65)</f>
        <v>4.6508200101633458E-3</v>
      </c>
      <c r="F78" s="25">
        <f>LN(②原始價格與FX!H66/②原始價格與FX!H65)</f>
        <v>-3.5235387875668465E-3</v>
      </c>
      <c r="G78" s="25">
        <f t="shared" si="0"/>
        <v>1.4853059599765685E-2</v>
      </c>
      <c r="H78" s="26">
        <f t="shared" si="1"/>
        <v>1.9105608263785174E-2</v>
      </c>
      <c r="I78" s="26">
        <f t="shared" si="2"/>
        <v>-2.0041181038781372E-2</v>
      </c>
      <c r="J78" s="27">
        <f>G78*①基本設定!$G$5+H78*①基本設定!$G$6+I78*①基本設定!$G$7</f>
        <v>32409.438297864173</v>
      </c>
    </row>
    <row r="79" spans="1:10" x14ac:dyDescent="0.25">
      <c r="A79" s="3" t="s">
        <v>118</v>
      </c>
      <c r="B79" s="25">
        <f>LN(②原始價格與FX!B67/②原始價格與FX!B66)</f>
        <v>3.9367482993973392E-2</v>
      </c>
      <c r="C79" s="25">
        <f>LN(②原始價格與FX!C67/②原始價格與FX!C66)</f>
        <v>-2.2851972690709318E-2</v>
      </c>
      <c r="D79" s="25">
        <f>LN(②原始價格與FX!D67/②原始價格與FX!D66)</f>
        <v>-2.2102406885481985E-3</v>
      </c>
      <c r="E79" s="25">
        <f>LN(②原始價格與FX!G67/②原始價格與FX!G66)</f>
        <v>-3.6372731905724215E-3</v>
      </c>
      <c r="F79" s="25">
        <f>LN(②原始價格與FX!H67/②原始價格與FX!H66)</f>
        <v>-6.2902458972676628E-3</v>
      </c>
      <c r="G79" s="25">
        <f t="shared" si="0"/>
        <v>3.9367482993973392E-2</v>
      </c>
      <c r="H79" s="26">
        <f t="shared" si="1"/>
        <v>-2.648924588128174E-2</v>
      </c>
      <c r="I79" s="26">
        <f t="shared" si="2"/>
        <v>-8.5004865858158609E-3</v>
      </c>
      <c r="J79" s="27">
        <f>G79*①基本設定!$G$5+H79*①基本設定!$G$6+I79*①基本設定!$G$7</f>
        <v>6132.3442170287035</v>
      </c>
    </row>
    <row r="80" spans="1:10" x14ac:dyDescent="0.25">
      <c r="A80" s="3" t="s">
        <v>119</v>
      </c>
      <c r="B80" s="25">
        <f>LN(②原始價格與FX!B68/②原始價格與FX!B67)</f>
        <v>-1.9633931312593979E-2</v>
      </c>
      <c r="C80" s="25">
        <f>LN(②原始價格與FX!C68/②原始價格與FX!C67)</f>
        <v>1.5601861863255365E-2</v>
      </c>
      <c r="D80" s="25">
        <f>LN(②原始價格與FX!D68/②原始價格與FX!D67)</f>
        <v>-2.732307586543092E-2</v>
      </c>
      <c r="E80" s="25">
        <f>LN(②原始價格與FX!G68/②原始價格與FX!G67)</f>
        <v>1.9666759104297843E-3</v>
      </c>
      <c r="F80" s="25">
        <f>LN(②原始價格與FX!H68/②原始價格與FX!H67)</f>
        <v>-4.6493204025045264E-3</v>
      </c>
      <c r="G80" s="25">
        <f t="shared" ref="G80:G143" si="3">B80</f>
        <v>-1.9633931312593979E-2</v>
      </c>
      <c r="H80" s="26">
        <f t="shared" ref="H80:H143" si="4">C80+E80</f>
        <v>1.7568537773685149E-2</v>
      </c>
      <c r="I80" s="26">
        <f t="shared" ref="I80:I143" si="5">D80+F80</f>
        <v>-3.1972396267935445E-2</v>
      </c>
      <c r="J80" s="27">
        <f>G80*①基本設定!$G$5+H80*①基本設定!$G$6+I80*①基本設定!$G$7</f>
        <v>1076.9423738269622</v>
      </c>
    </row>
    <row r="81" spans="1:10" x14ac:dyDescent="0.25">
      <c r="A81" s="3" t="s">
        <v>120</v>
      </c>
      <c r="B81" s="25">
        <f>LN(②原始價格與FX!B69/②原始價格與FX!B68)</f>
        <v>-1.9880343066619441E-2</v>
      </c>
      <c r="C81" s="25">
        <f>LN(②原始價格與FX!C69/②原始價格與FX!C68)</f>
        <v>-2.4420392967271068E-2</v>
      </c>
      <c r="D81" s="25">
        <f>LN(②原始價格與FX!D69/②原始價格與FX!D68)</f>
        <v>-3.7426340851392105E-2</v>
      </c>
      <c r="E81" s="25">
        <f>LN(②原始價格與FX!G69/②原始價格與FX!G68)</f>
        <v>-3.1103942084225343E-3</v>
      </c>
      <c r="F81" s="25">
        <f>LN(②原始價格與FX!H69/②原始價格與FX!H68)</f>
        <v>4.774678194700047E-3</v>
      </c>
      <c r="G81" s="25">
        <f t="shared" si="3"/>
        <v>-1.9880343066619441E-2</v>
      </c>
      <c r="H81" s="26">
        <f t="shared" si="4"/>
        <v>-2.7530787175693603E-2</v>
      </c>
      <c r="I81" s="26">
        <f t="shared" si="5"/>
        <v>-3.265166265669206E-2</v>
      </c>
      <c r="J81" s="28">
        <f>G81*①基本設定!$G$5+H81*①基本設定!$G$6+I81*①基本設定!$G$7</f>
        <v>-46072.359291193156</v>
      </c>
    </row>
    <row r="82" spans="1:10" x14ac:dyDescent="0.25">
      <c r="A82" s="3" t="s">
        <v>121</v>
      </c>
      <c r="B82" s="25">
        <f>LN(②原始價格與FX!B70/②原始價格與FX!B69)</f>
        <v>-1.0658983865347199E-2</v>
      </c>
      <c r="C82" s="25">
        <f>LN(②原始價格與FX!C70/②原始價格與FX!C69)</f>
        <v>7.003502037138343E-4</v>
      </c>
      <c r="D82" s="25">
        <f>LN(②原始價格與FX!D70/②原始價格與FX!D69)</f>
        <v>-2.1847589567070308E-2</v>
      </c>
      <c r="E82" s="25">
        <f>LN(②原始價格與FX!G70/②原始價格與FX!G69)</f>
        <v>-5.5099568824680152E-3</v>
      </c>
      <c r="F82" s="25">
        <f>LN(②原始價格與FX!H70/②原始價格與FX!H69)</f>
        <v>2.1703752415496605E-3</v>
      </c>
      <c r="G82" s="25">
        <f t="shared" si="3"/>
        <v>-1.0658983865347199E-2</v>
      </c>
      <c r="H82" s="26">
        <f t="shared" si="4"/>
        <v>-4.8096066787541806E-3</v>
      </c>
      <c r="I82" s="26">
        <f t="shared" si="5"/>
        <v>-1.9677214325520647E-2</v>
      </c>
      <c r="J82" s="28">
        <f>G82*①基本設定!$G$5+H82*①基本設定!$G$6+I82*①基本設定!$G$7</f>
        <v>-14370.707658725623</v>
      </c>
    </row>
    <row r="83" spans="1:10" x14ac:dyDescent="0.25">
      <c r="A83" s="3" t="s">
        <v>122</v>
      </c>
      <c r="B83" s="25">
        <f>LN(②原始價格與FX!B71/②原始價格與FX!B70)</f>
        <v>-3.3084968340941434E-2</v>
      </c>
      <c r="C83" s="25">
        <f>LN(②原始價格與FX!C71/②原始價格與FX!C70)</f>
        <v>-1.3289901115576952E-2</v>
      </c>
      <c r="D83" s="25">
        <f>LN(②原始價格與FX!D71/②原始價格與FX!D70)</f>
        <v>-8.8646573943716948E-3</v>
      </c>
      <c r="E83" s="25">
        <f>LN(②原始價格與FX!G71/②原始價格與FX!G70)</f>
        <v>-3.6138610164662007E-3</v>
      </c>
      <c r="F83" s="25">
        <f>LN(②原始價格與FX!H71/②原始價格與FX!H70)</f>
        <v>5.4185858816993072E-4</v>
      </c>
      <c r="G83" s="25">
        <f t="shared" si="3"/>
        <v>-3.3084968340941434E-2</v>
      </c>
      <c r="H83" s="26">
        <f t="shared" si="4"/>
        <v>-1.6903762132043153E-2</v>
      </c>
      <c r="I83" s="26">
        <f t="shared" si="5"/>
        <v>-8.3227988062017644E-3</v>
      </c>
      <c r="J83" s="28">
        <f>G83*①基本設定!$G$5+H83*①基本設定!$G$6+I83*①基本設定!$G$7</f>
        <v>-46079.890293852375</v>
      </c>
    </row>
    <row r="84" spans="1:10" x14ac:dyDescent="0.25">
      <c r="A84" s="3" t="s">
        <v>123</v>
      </c>
      <c r="B84" s="25">
        <f>LN(②原始價格與FX!B72/②原始價格與FX!B71)</f>
        <v>1.4733387278147818E-2</v>
      </c>
      <c r="C84" s="25">
        <f>LN(②原始價格與FX!C72/②原始價格與FX!C71)</f>
        <v>-9.6751951393490611E-3</v>
      </c>
      <c r="D84" s="25">
        <f>LN(②原始價格與FX!D72/②原始價格與FX!D71)</f>
        <v>-3.682763121693051E-3</v>
      </c>
      <c r="E84" s="25">
        <f>LN(②原始價格與FX!G72/②原始價格與FX!G71)</f>
        <v>7.1692096300302781E-3</v>
      </c>
      <c r="F84" s="25">
        <f>LN(②原始價格與FX!H72/②原始價格與FX!H71)</f>
        <v>1.4573923588923241E-3</v>
      </c>
      <c r="G84" s="25">
        <f t="shared" si="3"/>
        <v>1.4733387278147818E-2</v>
      </c>
      <c r="H84" s="26">
        <f t="shared" si="4"/>
        <v>-2.505985509318783E-3</v>
      </c>
      <c r="I84" s="26">
        <f t="shared" si="5"/>
        <v>-2.225370762800727E-3</v>
      </c>
      <c r="J84" s="27">
        <f>G84*①基本設定!$G$5+H84*①基本設定!$G$6+I84*①基本設定!$G$7</f>
        <v>10014.010486249243</v>
      </c>
    </row>
    <row r="85" spans="1:10" x14ac:dyDescent="0.25">
      <c r="A85" s="3" t="s">
        <v>124</v>
      </c>
      <c r="B85" s="25">
        <f>LN(②原始價格與FX!B73/②原始價格與FX!B72)</f>
        <v>1.8648287622185154E-2</v>
      </c>
      <c r="C85" s="25">
        <f>LN(②原始價格與FX!C73/②原始價格與FX!C72)</f>
        <v>-1.1786944503213714E-2</v>
      </c>
      <c r="D85" s="25">
        <f>LN(②原始價格與FX!D73/②原始價格與FX!D72)</f>
        <v>-1.5426023802083339E-3</v>
      </c>
      <c r="E85" s="25">
        <f>LN(②原始價格與FX!G73/②原始價格與FX!G72)</f>
        <v>-7.2827247891079196E-4</v>
      </c>
      <c r="F85" s="25">
        <f>LN(②原始價格與FX!H73/②原始價格與FX!H72)</f>
        <v>-7.9089229256313221E-4</v>
      </c>
      <c r="G85" s="25">
        <f t="shared" si="3"/>
        <v>1.8648287622185154E-2</v>
      </c>
      <c r="H85" s="26">
        <f t="shared" si="4"/>
        <v>-1.2515216982124506E-2</v>
      </c>
      <c r="I85" s="26">
        <f t="shared" si="5"/>
        <v>-2.3334946727714663E-3</v>
      </c>
      <c r="J85" s="27">
        <f>G85*①基本設定!$G$5+H85*①基本設定!$G$6+I85*①基本設定!$G$7</f>
        <v>2957.5384769400293</v>
      </c>
    </row>
    <row r="86" spans="1:10" x14ac:dyDescent="0.25">
      <c r="A86" s="3" t="s">
        <v>125</v>
      </c>
      <c r="B86" s="25">
        <f>LN(②原始價格與FX!B74/②原始價格與FX!B73)</f>
        <v>-6.6806922527033333E-3</v>
      </c>
      <c r="C86" s="25">
        <f>LN(②原始價格與FX!C74/②原始價格與FX!C73)</f>
        <v>-2.6335257461924465E-2</v>
      </c>
      <c r="D86" s="25">
        <f>LN(②原始價格與FX!D74/②原始價格與FX!D73)</f>
        <v>-9.1733167070738759E-3</v>
      </c>
      <c r="E86" s="25">
        <f>LN(②原始價格與FX!G74/②原始價格與FX!G73)</f>
        <v>-6.2552382066590286E-4</v>
      </c>
      <c r="F86" s="25">
        <f>LN(②原始價格與FX!H74/②原始價格與FX!H73)</f>
        <v>-2.0842893868478754E-3</v>
      </c>
      <c r="G86" s="25">
        <f t="shared" si="3"/>
        <v>-6.6806922527033333E-3</v>
      </c>
      <c r="H86" s="26">
        <f t="shared" si="4"/>
        <v>-2.6960781282590367E-2</v>
      </c>
      <c r="I86" s="26">
        <f t="shared" si="5"/>
        <v>-1.1257606093921752E-2</v>
      </c>
      <c r="J86" s="28">
        <f>G86*①基本設定!$G$5+H86*①基本設定!$G$6+I86*①基本設定!$G$7</f>
        <v>-33913.703734010458</v>
      </c>
    </row>
    <row r="87" spans="1:10" x14ac:dyDescent="0.25">
      <c r="A87" s="3" t="s">
        <v>126</v>
      </c>
      <c r="B87" s="25">
        <f>LN(②原始價格與FX!B75/②原始價格與FX!B74)</f>
        <v>2.2978959796999366E-2</v>
      </c>
      <c r="C87" s="25">
        <f>LN(②原始價格與FX!C75/②原始價格與FX!C74)</f>
        <v>4.5006296360772156E-2</v>
      </c>
      <c r="D87" s="25">
        <f>LN(②原始價格與FX!D75/②原始價格與FX!D74)</f>
        <v>-1.7236185472815677E-2</v>
      </c>
      <c r="E87" s="25">
        <f>LN(②原始價格與FX!G75/②原始價格與FX!G74)</f>
        <v>-4.9969577226267898E-3</v>
      </c>
      <c r="F87" s="25">
        <f>LN(②原始價格與FX!H75/②原始價格與FX!H74)</f>
        <v>-3.4276671104855314E-3</v>
      </c>
      <c r="G87" s="25">
        <f t="shared" si="3"/>
        <v>2.2978959796999366E-2</v>
      </c>
      <c r="H87" s="26">
        <f t="shared" si="4"/>
        <v>4.0009338638145368E-2</v>
      </c>
      <c r="I87" s="26">
        <f t="shared" si="5"/>
        <v>-2.0663852583301209E-2</v>
      </c>
      <c r="J87" s="27">
        <f>G87*①基本設定!$G$5+H87*①基本設定!$G$6+I87*①基本設定!$G$7</f>
        <v>61129.763801909052</v>
      </c>
    </row>
    <row r="88" spans="1:10" x14ac:dyDescent="0.25">
      <c r="A88" s="3" t="s">
        <v>127</v>
      </c>
      <c r="B88" s="25">
        <f>LN(②原始價格與FX!B76/②原始價格與FX!B75)</f>
        <v>1.9191364587164798E-2</v>
      </c>
      <c r="C88" s="25">
        <f>LN(②原始價格與FX!C76/②原始價格與FX!C75)</f>
        <v>2.4595929442044907E-2</v>
      </c>
      <c r="D88" s="25">
        <f>LN(②原始價格與FX!D76/②原始價格與FX!D75)</f>
        <v>3.4326966777926606E-2</v>
      </c>
      <c r="E88" s="25">
        <f>LN(②原始價格與FX!G76/②原始價格與FX!G75)</f>
        <v>4.1765034488326991E-3</v>
      </c>
      <c r="F88" s="25">
        <f>LN(②原始價格與FX!H76/②原始價格與FX!H75)</f>
        <v>5.0954460160735149E-3</v>
      </c>
      <c r="G88" s="25">
        <f t="shared" si="3"/>
        <v>1.9191364587164798E-2</v>
      </c>
      <c r="H88" s="26">
        <f t="shared" si="4"/>
        <v>2.8772432890877605E-2</v>
      </c>
      <c r="I88" s="26">
        <f t="shared" si="5"/>
        <v>3.942241279400012E-2</v>
      </c>
      <c r="J88" s="27">
        <f>G88*①基本設定!$G$5+H88*①基本設定!$G$6+I88*①基本設定!$G$7</f>
        <v>46847.636917725671</v>
      </c>
    </row>
    <row r="89" spans="1:10" x14ac:dyDescent="0.25">
      <c r="A89" s="3" t="s">
        <v>128</v>
      </c>
      <c r="B89" s="25">
        <f>LN(②原始價格與FX!B77/②原始價格與FX!B76)</f>
        <v>-8.0973395545500954E-3</v>
      </c>
      <c r="C89" s="25">
        <f>LN(②原始價格與FX!C77/②原始價格與FX!C76)</f>
        <v>3.5636545336461206E-3</v>
      </c>
      <c r="D89" s="25">
        <f>LN(②原始價格與FX!D77/②原始價格與FX!D76)</f>
        <v>-1.338492877213583E-2</v>
      </c>
      <c r="E89" s="25">
        <f>LN(②原始價格與FX!G77/②原始價格與FX!G76)</f>
        <v>1.9679605470652147E-3</v>
      </c>
      <c r="F89" s="25">
        <f>LN(②原始價格與FX!H77/②原始價格與FX!H76)</f>
        <v>-8.3322918016910251E-5</v>
      </c>
      <c r="G89" s="25">
        <f t="shared" si="3"/>
        <v>-8.0973395545500954E-3</v>
      </c>
      <c r="H89" s="26">
        <f t="shared" si="4"/>
        <v>5.5316150807113353E-3</v>
      </c>
      <c r="I89" s="26">
        <f t="shared" si="5"/>
        <v>-1.3468251690152741E-2</v>
      </c>
      <c r="J89" s="28">
        <f>G89*①基本設定!$G$5+H89*①基本設定!$G$6+I89*①基本設定!$G$7</f>
        <v>-1342.470509001497</v>
      </c>
    </row>
    <row r="90" spans="1:10" x14ac:dyDescent="0.25">
      <c r="A90" s="3" t="s">
        <v>129</v>
      </c>
      <c r="B90" s="25">
        <f>LN(②原始價格與FX!B78/②原始價格與FX!B77)</f>
        <v>1.1844267809047846E-2</v>
      </c>
      <c r="C90" s="25">
        <f>LN(②原始價格與FX!C78/②原始價格與FX!C77)</f>
        <v>2.4114020481655576E-2</v>
      </c>
      <c r="D90" s="25">
        <f>LN(②原始價格與FX!D78/②原始價格與FX!D77)</f>
        <v>1.9796433210135106E-3</v>
      </c>
      <c r="E90" s="25">
        <f>LN(②原始價格與FX!G78/②原始價格與FX!G77)</f>
        <v>1.9640952837912417E-3</v>
      </c>
      <c r="F90" s="25">
        <f>LN(②原始價格與FX!H78/②原始價格與FX!H77)</f>
        <v>1.1242740248581606E-3</v>
      </c>
      <c r="G90" s="25">
        <f t="shared" si="3"/>
        <v>1.1844267809047846E-2</v>
      </c>
      <c r="H90" s="26">
        <f t="shared" si="4"/>
        <v>2.6078115765446819E-2</v>
      </c>
      <c r="I90" s="26">
        <f t="shared" si="5"/>
        <v>3.103917345871671E-3</v>
      </c>
      <c r="J90" s="27">
        <f>G90*①基本設定!$G$5+H90*①基本設定!$G$6+I90*①基本設定!$G$7</f>
        <v>37337.468979943136</v>
      </c>
    </row>
    <row r="91" spans="1:10" x14ac:dyDescent="0.25">
      <c r="A91" s="3" t="s">
        <v>130</v>
      </c>
      <c r="B91" s="25">
        <f>LN(②原始價格與FX!B79/②原始價格與FX!B78)</f>
        <v>5.0582596824810845E-3</v>
      </c>
      <c r="C91" s="25">
        <f>LN(②原始價格與FX!C79/②原始價格與FX!C78)</f>
        <v>1.6454977610824702E-2</v>
      </c>
      <c r="D91" s="25">
        <f>LN(②原始價格與FX!D79/②原始價格與FX!D78)</f>
        <v>1.9745427904416531E-2</v>
      </c>
      <c r="E91" s="25">
        <f>LN(②原始價格與FX!G79/②原始價格與FX!G78)</f>
        <v>1.9058457738425866E-3</v>
      </c>
      <c r="F91" s="25">
        <f>LN(②原始價格與FX!H79/②原始價格與FX!H78)</f>
        <v>6.30576659035213E-3</v>
      </c>
      <c r="G91" s="25">
        <f t="shared" si="3"/>
        <v>5.0582596824810845E-3</v>
      </c>
      <c r="H91" s="26">
        <f t="shared" si="4"/>
        <v>1.8360823384667289E-2</v>
      </c>
      <c r="I91" s="26">
        <f t="shared" si="5"/>
        <v>2.605119449476866E-2</v>
      </c>
      <c r="J91" s="27">
        <f>G91*①基本設定!$G$5+H91*①基本設定!$G$6+I91*①基本設定!$G$7</f>
        <v>23734.993130065573</v>
      </c>
    </row>
    <row r="92" spans="1:10" x14ac:dyDescent="0.25">
      <c r="A92" s="3" t="s">
        <v>131</v>
      </c>
      <c r="B92" s="25">
        <f>LN(②原始價格與FX!B80/②原始價格與FX!B79)</f>
        <v>-1.2598142060332709E-2</v>
      </c>
      <c r="C92" s="25">
        <f>LN(②原始價格與FX!C80/②原始價格與FX!C79)</f>
        <v>2.0474043498068584E-2</v>
      </c>
      <c r="D92" s="25">
        <f>LN(②原始價格與FX!D80/②原始價格與FX!D79)</f>
        <v>1.2812043089007718E-2</v>
      </c>
      <c r="E92" s="25">
        <f>LN(②原始價格與FX!G80/②原始價格與FX!G79)</f>
        <v>3.8429796868949717E-3</v>
      </c>
      <c r="F92" s="25">
        <f>LN(②原始價格與FX!H80/②原始價格與FX!H79)</f>
        <v>-1.2414137156655197E-3</v>
      </c>
      <c r="G92" s="25">
        <f t="shared" si="3"/>
        <v>-1.2598142060332709E-2</v>
      </c>
      <c r="H92" s="26">
        <f t="shared" si="4"/>
        <v>2.4317023184963555E-2</v>
      </c>
      <c r="I92" s="26">
        <f t="shared" si="5"/>
        <v>1.1570629373342198E-2</v>
      </c>
      <c r="J92" s="27">
        <f>G92*①基本設定!$G$5+H92*①基本設定!$G$6+I92*①基本設定!$G$7</f>
        <v>14618.265947619397</v>
      </c>
    </row>
    <row r="93" spans="1:10" x14ac:dyDescent="0.25">
      <c r="A93" s="3" t="s">
        <v>132</v>
      </c>
      <c r="B93" s="25">
        <f>LN(②原始價格與FX!B81/②原始價格與FX!B80)</f>
        <v>3.7293257132471887E-3</v>
      </c>
      <c r="C93" s="25">
        <f>LN(②原始價格與FX!C81/②原始價格與FX!C80)</f>
        <v>2.089476766056459E-3</v>
      </c>
      <c r="D93" s="25">
        <f>LN(②原始價格與FX!D81/②原始價格與FX!D80)</f>
        <v>1.6046679299778006E-2</v>
      </c>
      <c r="E93" s="25">
        <f>LN(②原始價格與FX!G81/②原始價格與FX!G80)</f>
        <v>-2.5382101469552825E-3</v>
      </c>
      <c r="F93" s="25">
        <f>LN(②原始價格與FX!H81/②原始價格與FX!H80)</f>
        <v>-8.1904625834793993E-3</v>
      </c>
      <c r="G93" s="25">
        <f t="shared" si="3"/>
        <v>3.7293257132471887E-3</v>
      </c>
      <c r="H93" s="26">
        <f t="shared" si="4"/>
        <v>-4.4873338089882354E-4</v>
      </c>
      <c r="I93" s="26">
        <f t="shared" si="5"/>
        <v>7.8562167162986064E-3</v>
      </c>
      <c r="J93" s="27">
        <f>G93*①基本設定!$G$5+H93*①基本設定!$G$6+I93*①基本設定!$G$7</f>
        <v>2820.6377210588348</v>
      </c>
    </row>
    <row r="94" spans="1:10" x14ac:dyDescent="0.25">
      <c r="A94" s="3" t="s">
        <v>133</v>
      </c>
      <c r="B94" s="25">
        <f>LN(②原始價格與FX!B82/②原始價格與FX!B81)</f>
        <v>2.1263500124234534E-2</v>
      </c>
      <c r="C94" s="25">
        <f>LN(②原始價格與FX!C82/②原始價格與FX!C81)</f>
        <v>-1.5660745940431518E-2</v>
      </c>
      <c r="D94" s="25">
        <f>LN(②原始價格與FX!D82/②原始價格與FX!D81)</f>
        <v>-1.8154666474273006E-2</v>
      </c>
      <c r="E94" s="25">
        <f>LN(②原始價格與FX!G82/②原始價格與FX!G81)</f>
        <v>-2.1271653582090599E-3</v>
      </c>
      <c r="F94" s="25">
        <f>LN(②原始價格與FX!H82/②原始價格與FX!H81)</f>
        <v>-2.5051146220936879E-4</v>
      </c>
      <c r="G94" s="25">
        <f t="shared" si="3"/>
        <v>2.1263500124234534E-2</v>
      </c>
      <c r="H94" s="26">
        <f t="shared" si="4"/>
        <v>-1.7787911298640578E-2</v>
      </c>
      <c r="I94" s="26">
        <f t="shared" si="5"/>
        <v>-1.8405177936482376E-2</v>
      </c>
      <c r="J94" s="28">
        <f>G94*①基本設定!$G$5+H94*①基本設定!$G$6+I94*①基本設定!$G$7</f>
        <v>-461.55826332278167</v>
      </c>
    </row>
    <row r="95" spans="1:10" x14ac:dyDescent="0.25">
      <c r="A95" s="3" t="s">
        <v>134</v>
      </c>
      <c r="B95" s="25">
        <f>LN(②原始價格與FX!B83/②原始價格與FX!B82)</f>
        <v>-3.3797379583290731E-2</v>
      </c>
      <c r="C95" s="25">
        <f>LN(②原始價格與FX!C83/②原始價格與FX!C82)</f>
        <v>-1.0842664586116931E-3</v>
      </c>
      <c r="D95" s="25">
        <f>LN(②原始價格與FX!D83/②原始價格與FX!D82)</f>
        <v>2.7458948589926938E-3</v>
      </c>
      <c r="E95" s="25">
        <f>LN(②原始價格與FX!G83/②原始價格與FX!G82)</f>
        <v>-3.1764999775496739E-4</v>
      </c>
      <c r="F95" s="25">
        <f>LN(②原始價格與FX!H83/②原始價格與FX!H82)</f>
        <v>-4.1758012324715822E-5</v>
      </c>
      <c r="G95" s="25">
        <f t="shared" si="3"/>
        <v>-3.3797379583290731E-2</v>
      </c>
      <c r="H95" s="26">
        <f t="shared" si="4"/>
        <v>-1.4019164563666604E-3</v>
      </c>
      <c r="I95" s="26">
        <f t="shared" si="5"/>
        <v>2.7041368466679781E-3</v>
      </c>
      <c r="J95" s="28">
        <f>G95*①基本設定!$G$5+H95*①基本設定!$G$6+I95*①基本設定!$G$7</f>
        <v>-30438.681474323865</v>
      </c>
    </row>
    <row r="96" spans="1:10" x14ac:dyDescent="0.25">
      <c r="A96" s="3" t="s">
        <v>135</v>
      </c>
      <c r="B96" s="25">
        <f>LN(②原始價格與FX!B84/②原始價格與FX!B83)</f>
        <v>-6.2371944247735381E-3</v>
      </c>
      <c r="C96" s="25">
        <f>LN(②原始價格與FX!C84/②原始價格與FX!C83)</f>
        <v>-2.0057364705745491E-2</v>
      </c>
      <c r="D96" s="25">
        <f>LN(②原始價格與FX!D84/②原始價格與FX!D83)</f>
        <v>2.2760135782465975E-2</v>
      </c>
      <c r="E96" s="25">
        <f>LN(②原始價格與FX!G84/②原始價格與FX!G83)</f>
        <v>1.3485607822616287E-3</v>
      </c>
      <c r="F96" s="25">
        <f>LN(②原始價格與FX!H84/②原始價格與FX!H83)</f>
        <v>4.1671935955527083E-3</v>
      </c>
      <c r="G96" s="25">
        <f t="shared" si="3"/>
        <v>-6.2371944247735381E-3</v>
      </c>
      <c r="H96" s="26">
        <f t="shared" si="4"/>
        <v>-1.8708803923483862E-2</v>
      </c>
      <c r="I96" s="26">
        <f t="shared" si="5"/>
        <v>2.6927329378018682E-2</v>
      </c>
      <c r="J96" s="28">
        <f>G96*①基本設定!$G$5+H96*①基本設定!$G$6+I96*①基本設定!$G$7</f>
        <v>-24525.310801446492</v>
      </c>
    </row>
    <row r="97" spans="1:10" x14ac:dyDescent="0.25">
      <c r="A97" s="3" t="s">
        <v>136</v>
      </c>
      <c r="B97" s="25">
        <f>LN(②原始價格與FX!B85/②原始價格與FX!B84)</f>
        <v>3.2766816190805084E-2</v>
      </c>
      <c r="C97" s="25">
        <f>LN(②原始價格與FX!C85/②原始價格與FX!C84)</f>
        <v>3.6384830878675486E-2</v>
      </c>
      <c r="D97" s="25">
        <f>LN(②原始價格與FX!D85/②原始價格與FX!D84)</f>
        <v>1.4496482831173642E-2</v>
      </c>
      <c r="E97" s="25">
        <f>LN(②原始價格與FX!G85/②原始價格與FX!G84)</f>
        <v>-4.4972342899372497E-3</v>
      </c>
      <c r="F97" s="25">
        <f>LN(②原始價格與FX!H85/②原始價格與FX!H84)</f>
        <v>-3.8331783112481037E-3</v>
      </c>
      <c r="G97" s="25">
        <f t="shared" si="3"/>
        <v>3.2766816190805084E-2</v>
      </c>
      <c r="H97" s="26">
        <f t="shared" si="4"/>
        <v>3.1887596588738236E-2</v>
      </c>
      <c r="I97" s="26">
        <f t="shared" si="5"/>
        <v>1.0663304519925539E-2</v>
      </c>
      <c r="J97" s="27">
        <f>G97*①基本設定!$G$5+H97*①基本設定!$G$6+I97*①基本設定!$G$7</f>
        <v>61424.7584210606</v>
      </c>
    </row>
    <row r="98" spans="1:10" x14ac:dyDescent="0.25">
      <c r="A98" s="3" t="s">
        <v>137</v>
      </c>
      <c r="B98" s="25">
        <f>LN(②原始價格與FX!B86/②原始價格與FX!B85)</f>
        <v>3.6014068738901887E-3</v>
      </c>
      <c r="C98" s="25">
        <f>LN(②原始價格與FX!C86/②原始價格與FX!C85)</f>
        <v>3.7978833107968121E-3</v>
      </c>
      <c r="D98" s="25">
        <f>LN(②原始價格與FX!D86/②原始價格與FX!D85)</f>
        <v>-1.1680089850651667E-3</v>
      </c>
      <c r="E98" s="25">
        <f>LN(②原始價格與FX!G86/②原始價格與FX!G85)</f>
        <v>-2.8633108714125445E-3</v>
      </c>
      <c r="F98" s="25">
        <f>LN(②原始價格與FX!H86/②原始價格與FX!H85)</f>
        <v>2.8346344379726056E-3</v>
      </c>
      <c r="G98" s="25">
        <f t="shared" si="3"/>
        <v>3.6014068738901887E-3</v>
      </c>
      <c r="H98" s="26">
        <f t="shared" si="4"/>
        <v>9.3457243938426752E-4</v>
      </c>
      <c r="I98" s="26">
        <f t="shared" si="5"/>
        <v>1.6666254529074389E-3</v>
      </c>
      <c r="J98" s="27">
        <f>G98*①基本設定!$G$5+H98*①基本設定!$G$6+I98*①基本設定!$G$7</f>
        <v>4082.1096012258681</v>
      </c>
    </row>
    <row r="99" spans="1:10" x14ac:dyDescent="0.25">
      <c r="A99" s="3" t="s">
        <v>138</v>
      </c>
      <c r="B99" s="25">
        <f>LN(②原始價格與FX!B87/②原始價格與FX!B86)</f>
        <v>-2.377242151940915E-2</v>
      </c>
      <c r="C99" s="25">
        <f>LN(②原始價格與FX!C87/②原始價格與FX!C86)</f>
        <v>-1.6312054841013831E-2</v>
      </c>
      <c r="D99" s="25">
        <f>LN(②原始價格與FX!D87/②原始價格與FX!D86)</f>
        <v>1.0265444193822991E-2</v>
      </c>
      <c r="E99" s="25">
        <f>LN(②原始價格與FX!G87/②原始價格與FX!G86)</f>
        <v>5.5519693599598028E-3</v>
      </c>
      <c r="F99" s="25">
        <f>LN(②原始價格與FX!H87/②原始價格與FX!H86)</f>
        <v>9.9854387327562234E-4</v>
      </c>
      <c r="G99" s="25">
        <f t="shared" si="3"/>
        <v>-2.377242151940915E-2</v>
      </c>
      <c r="H99" s="26">
        <f t="shared" si="4"/>
        <v>-1.0760085481054029E-2</v>
      </c>
      <c r="I99" s="26">
        <f t="shared" si="5"/>
        <v>1.1263988067098614E-2</v>
      </c>
      <c r="J99" s="28">
        <f>G99*①基本設定!$G$5+H99*①基本設定!$G$6+I99*①基本設定!$G$7</f>
        <v>-31477.6478579457</v>
      </c>
    </row>
    <row r="100" spans="1:10" x14ac:dyDescent="0.25">
      <c r="A100" s="3" t="s">
        <v>139</v>
      </c>
      <c r="B100" s="25">
        <f>LN(②原始價格與FX!B88/②原始價格與FX!B87)</f>
        <v>7.3601180941415773E-4</v>
      </c>
      <c r="C100" s="25">
        <f>LN(②原始價格與FX!C88/②原始價格與FX!C87)</f>
        <v>-7.4991508144339946E-3</v>
      </c>
      <c r="D100" s="25">
        <f>LN(②原始價格與FX!D88/②原始價格與FX!D87)</f>
        <v>-6.5203514078827898E-3</v>
      </c>
      <c r="E100" s="25">
        <f>LN(②原始價格與FX!G88/②原始價格與FX!G87)</f>
        <v>1.4459131280969856E-3</v>
      </c>
      <c r="F100" s="25">
        <f>LN(②原始價格與FX!H88/②原始價格與FX!H87)</f>
        <v>-1.8730884370840011E-3</v>
      </c>
      <c r="G100" s="25">
        <f t="shared" si="3"/>
        <v>7.3601180941415773E-4</v>
      </c>
      <c r="H100" s="26">
        <f t="shared" si="4"/>
        <v>-6.0532376863370093E-3</v>
      </c>
      <c r="I100" s="26">
        <f t="shared" si="5"/>
        <v>-8.39343984496679E-3</v>
      </c>
      <c r="J100" s="28">
        <f>G100*①基本設定!$G$5+H100*①基本設定!$G$6+I100*①基本設定!$G$7</f>
        <v>-5759.7236268839015</v>
      </c>
    </row>
    <row r="101" spans="1:10" x14ac:dyDescent="0.25">
      <c r="A101" s="3" t="s">
        <v>140</v>
      </c>
      <c r="B101" s="25">
        <f>LN(②原始價格與FX!B89/②原始價格與FX!B88)</f>
        <v>3.5787108553338984E-2</v>
      </c>
      <c r="C101" s="25">
        <f>LN(②原始價格與FX!C89/②原始價格與FX!C88)</f>
        <v>3.5667417329665718E-2</v>
      </c>
      <c r="D101" s="25">
        <f>LN(②原始價格與FX!D89/②原始價格與FX!D88)</f>
        <v>3.7186383669597416E-2</v>
      </c>
      <c r="E101" s="25">
        <f>LN(②原始價格與FX!G89/②原始價格與FX!G88)</f>
        <v>-2.8060103923502203E-3</v>
      </c>
      <c r="F101" s="25">
        <f>LN(②原始價格與FX!H89/②原始價格與FX!H88)</f>
        <v>-2.5446898574076316E-3</v>
      </c>
      <c r="G101" s="25">
        <f t="shared" si="3"/>
        <v>3.5787108553338984E-2</v>
      </c>
      <c r="H101" s="26">
        <f t="shared" si="4"/>
        <v>3.2861406937315499E-2</v>
      </c>
      <c r="I101" s="26">
        <f t="shared" si="5"/>
        <v>3.4641693812189782E-2</v>
      </c>
      <c r="J101" s="27">
        <f>G101*①基本設定!$G$5+H101*①基本設定!$G$6+I101*①基本設定!$G$7</f>
        <v>65294.736135659266</v>
      </c>
    </row>
    <row r="102" spans="1:10" x14ac:dyDescent="0.25">
      <c r="A102" s="3" t="s">
        <v>141</v>
      </c>
      <c r="B102" s="25">
        <f>LN(②原始價格與FX!B90/②原始價格與FX!B89)</f>
        <v>4.3270445783060415E-3</v>
      </c>
      <c r="C102" s="25">
        <f>LN(②原始價格與FX!C90/②原始價格與FX!C89)</f>
        <v>-1.9140443664452552E-2</v>
      </c>
      <c r="D102" s="25">
        <f>LN(②原始價格與FX!D90/②原始價格與FX!D89)</f>
        <v>1.0327226434944554E-3</v>
      </c>
      <c r="E102" s="25">
        <f>LN(②原始價格與FX!G90/②原始價格與FX!G89)</f>
        <v>4.9015926227043826E-3</v>
      </c>
      <c r="F102" s="25">
        <f>LN(②原始價格與FX!H90/②原始價格與FX!H89)</f>
        <v>0</v>
      </c>
      <c r="G102" s="25">
        <f t="shared" si="3"/>
        <v>4.3270445783060415E-3</v>
      </c>
      <c r="H102" s="26">
        <f t="shared" si="4"/>
        <v>-1.4238851041748169E-2</v>
      </c>
      <c r="I102" s="26">
        <f t="shared" si="5"/>
        <v>1.0327226434944554E-3</v>
      </c>
      <c r="J102" s="28">
        <f>G102*①基本設定!$G$5+H102*①基本設定!$G$6+I102*①基本設定!$G$7</f>
        <v>-11091.480173762871</v>
      </c>
    </row>
    <row r="103" spans="1:10" x14ac:dyDescent="0.25">
      <c r="A103" s="3" t="s">
        <v>142</v>
      </c>
      <c r="B103" s="25">
        <f>LN(②原始價格與FX!B91/②原始價格與FX!B90)</f>
        <v>-5.6396340421335581E-3</v>
      </c>
      <c r="C103" s="25">
        <f>LN(②原始價格與FX!C91/②原始價格與FX!C90)</f>
        <v>9.5929553687809452E-3</v>
      </c>
      <c r="D103" s="25">
        <f>LN(②原始價格與FX!D91/②原始價格與FX!D90)</f>
        <v>2.3203641121671389E-2</v>
      </c>
      <c r="E103" s="25">
        <f>LN(②原始價格與FX!G91/②原始價格與FX!G90)</f>
        <v>-5.0990314453850153E-4</v>
      </c>
      <c r="F103" s="25">
        <f>LN(②原始價格與FX!H91/②原始價格與FX!H90)</f>
        <v>2.6696716310617339E-3</v>
      </c>
      <c r="G103" s="25">
        <f t="shared" si="3"/>
        <v>-5.6396340421335581E-3</v>
      </c>
      <c r="H103" s="26">
        <f t="shared" si="4"/>
        <v>9.0830522242424435E-3</v>
      </c>
      <c r="I103" s="26">
        <f t="shared" si="5"/>
        <v>2.5873312752733121E-2</v>
      </c>
      <c r="J103" s="27">
        <f>G103*①基本設定!$G$5+H103*①基本設定!$G$6+I103*①基本設定!$G$7</f>
        <v>4896.1637376791577</v>
      </c>
    </row>
    <row r="104" spans="1:10" x14ac:dyDescent="0.25">
      <c r="A104" s="3" t="s">
        <v>143</v>
      </c>
      <c r="B104" s="25">
        <f>LN(②原始價格與FX!B92/②原始價格與FX!B91)</f>
        <v>-1.2861463573535965E-2</v>
      </c>
      <c r="C104" s="25">
        <f>LN(②原始價格與FX!C92/②原始價格與FX!C91)</f>
        <v>1.9638024346159355E-2</v>
      </c>
      <c r="D104" s="25">
        <f>LN(②原始價格與FX!D92/②原始價格與FX!D91)</f>
        <v>3.6814974637911493E-3</v>
      </c>
      <c r="E104" s="25">
        <f>LN(②原始價格與FX!G92/②原始價格與FX!G91)</f>
        <v>4.0733997005799118E-4</v>
      </c>
      <c r="F104" s="25">
        <f>LN(②原始價格與FX!H92/②原始價格與FX!H91)</f>
        <v>4.4889721666644877E-3</v>
      </c>
      <c r="G104" s="25">
        <f t="shared" si="3"/>
        <v>-1.2861463573535965E-2</v>
      </c>
      <c r="H104" s="26">
        <f t="shared" si="4"/>
        <v>2.0045364316217347E-2</v>
      </c>
      <c r="I104" s="26">
        <f t="shared" si="5"/>
        <v>8.170469630455637E-3</v>
      </c>
      <c r="J104" s="27">
        <f>G104*①基本設定!$G$5+H104*①基本設定!$G$6+I104*①基本設定!$G$7</f>
        <v>9909.6996527709543</v>
      </c>
    </row>
    <row r="105" spans="1:10" x14ac:dyDescent="0.25">
      <c r="A105" s="3" t="s">
        <v>144</v>
      </c>
      <c r="B105" s="25">
        <f>LN(②原始價格與FX!B93/②原始價格與FX!B92)</f>
        <v>2.6105389875315378E-3</v>
      </c>
      <c r="C105" s="25">
        <f>LN(②原始價格與FX!C93/②原始價格與FX!C92)</f>
        <v>-8.4016934188949812E-3</v>
      </c>
      <c r="D105" s="25">
        <f>LN(②原始價格與FX!D93/②原始價格與FX!D92)</f>
        <v>-5.0078532080257048E-3</v>
      </c>
      <c r="E105" s="25">
        <f>LN(②原始價格與FX!G93/②原始價格與FX!G92)</f>
        <v>1.2669415745725647E-4</v>
      </c>
      <c r="F105" s="25">
        <f>LN(②原始價格與FX!H93/②原始價格與FX!H92)</f>
        <v>1.3262051759371824E-3</v>
      </c>
      <c r="G105" s="25">
        <f t="shared" si="3"/>
        <v>2.6105389875315378E-3</v>
      </c>
      <c r="H105" s="26">
        <f t="shared" si="4"/>
        <v>-8.2749992614377255E-3</v>
      </c>
      <c r="I105" s="26">
        <f t="shared" si="5"/>
        <v>-3.6816480320885224E-3</v>
      </c>
      <c r="J105" s="28">
        <f>G105*①基本設定!$G$5+H105*①基本設定!$G$6+I105*①基本設定!$G$7</f>
        <v>-6410.7903199125658</v>
      </c>
    </row>
    <row r="106" spans="1:10" x14ac:dyDescent="0.25">
      <c r="A106" s="3" t="s">
        <v>145</v>
      </c>
      <c r="B106" s="25">
        <f>LN(②原始價格與FX!B94/②原始價格與FX!B93)</f>
        <v>2.6660238271369258E-3</v>
      </c>
      <c r="C106" s="25">
        <f>LN(②原始價格與FX!C94/②原始價格與FX!C93)</f>
        <v>-2.1914814961587915E-3</v>
      </c>
      <c r="D106" s="25">
        <f>LN(②原始價格與FX!D94/②原始價格與FX!D93)</f>
        <v>-6.4549967959853741E-3</v>
      </c>
      <c r="E106" s="25">
        <f>LN(②原始價格與FX!G94/②原始價格與FX!G93)</f>
        <v>1.6666444487820162E-3</v>
      </c>
      <c r="F106" s="25">
        <f>LN(②原始價格與FX!H94/②原始價格與FX!H93)</f>
        <v>-2.197484144030622E-3</v>
      </c>
      <c r="G106" s="25">
        <f t="shared" si="3"/>
        <v>2.6660238271369258E-3</v>
      </c>
      <c r="H106" s="26">
        <f t="shared" si="4"/>
        <v>-5.2483704737677525E-4</v>
      </c>
      <c r="I106" s="26">
        <f t="shared" si="5"/>
        <v>-8.6524809400159962E-3</v>
      </c>
      <c r="J106" s="27">
        <f>G106*①基本設定!$G$5+H106*①基本設定!$G$6+I106*①基本設定!$G$7</f>
        <v>1646.8769501243876</v>
      </c>
    </row>
    <row r="107" spans="1:10" x14ac:dyDescent="0.25">
      <c r="A107" s="3" t="s">
        <v>146</v>
      </c>
      <c r="B107" s="25">
        <f>LN(②原始價格與FX!B95/②原始價格與FX!B94)</f>
        <v>-7.093890590414962E-3</v>
      </c>
      <c r="C107" s="25">
        <f>LN(②原始價格與FX!C95/②原始價格與FX!C94)</f>
        <v>3.3528216915784247E-2</v>
      </c>
      <c r="D107" s="25">
        <f>LN(②原始價格與FX!D95/②原始價格與FX!D94)</f>
        <v>2.0162320709664859E-3</v>
      </c>
      <c r="E107" s="25">
        <f>LN(②原始價格與FX!G95/②原始價格與FX!G94)</f>
        <v>-1.0726026403221017E-3</v>
      </c>
      <c r="F107" s="25">
        <f>LN(②原始價格與FX!H95/②原始價格與FX!H94)</f>
        <v>2.6943579897050663E-3</v>
      </c>
      <c r="G107" s="25">
        <f t="shared" si="3"/>
        <v>-7.093890590414962E-3</v>
      </c>
      <c r="H107" s="26">
        <f t="shared" si="4"/>
        <v>3.2455614275462147E-2</v>
      </c>
      <c r="I107" s="26">
        <f t="shared" si="5"/>
        <v>4.7105900606715517E-3</v>
      </c>
      <c r="J107" s="27">
        <f>G107*①基本設定!$G$5+H107*①基本設定!$G$6+I107*①基本設定!$G$7</f>
        <v>27736.210991343338</v>
      </c>
    </row>
    <row r="108" spans="1:10" x14ac:dyDescent="0.25">
      <c r="A108" s="3" t="s">
        <v>147</v>
      </c>
      <c r="B108" s="25">
        <f>LN(②原始價格與FX!B96/②原始價格與FX!B95)</f>
        <v>1.5929650512772606E-2</v>
      </c>
      <c r="C108" s="25">
        <f>LN(②原始價格與FX!C96/②原始價格與FX!C95)</f>
        <v>6.1248511548876641E-3</v>
      </c>
      <c r="D108" s="25">
        <f>LN(②原始價格與FX!D96/②原始價格與FX!D95)</f>
        <v>-5.7820088412300491E-2</v>
      </c>
      <c r="E108" s="25">
        <f>LN(②原始價格與FX!G96/②原始價格與FX!G95)</f>
        <v>5.2439334318034195E-4</v>
      </c>
      <c r="F108" s="25">
        <f>LN(②原始價格與FX!H96/②原始價格與FX!H95)</f>
        <v>-2.0719384173381655E-3</v>
      </c>
      <c r="G108" s="25">
        <f t="shared" si="3"/>
        <v>1.5929650512772606E-2</v>
      </c>
      <c r="H108" s="26">
        <f t="shared" si="4"/>
        <v>6.6492444980680056E-3</v>
      </c>
      <c r="I108" s="26">
        <f t="shared" si="5"/>
        <v>-5.9892026829638657E-2</v>
      </c>
      <c r="J108" s="27">
        <f>G108*①基本設定!$G$5+H108*①基本設定!$G$6+I108*①基本設定!$G$7</f>
        <v>19932.363044969348</v>
      </c>
    </row>
    <row r="109" spans="1:10" x14ac:dyDescent="0.25">
      <c r="A109" s="3" t="s">
        <v>148</v>
      </c>
      <c r="B109" s="25">
        <f>LN(②原始價格與FX!B97/②原始價格與FX!B96)</f>
        <v>6.3224884758326577E-2</v>
      </c>
      <c r="C109" s="25">
        <f>LN(②原始價格與FX!C97/②原始價格與FX!C96)</f>
        <v>1.759167546242844E-2</v>
      </c>
      <c r="D109" s="25">
        <f>LN(②原始價格與FX!D97/②原始價格與FX!D96)</f>
        <v>2.621956928844895E-3</v>
      </c>
      <c r="E109" s="25">
        <f>LN(②原始價格與FX!G97/②原始價格與FX!G96)</f>
        <v>1.0544820770409154E-4</v>
      </c>
      <c r="F109" s="25">
        <f>LN(②原始價格與FX!H97/②原始價格與FX!H96)</f>
        <v>1.0275970992486116E-2</v>
      </c>
      <c r="G109" s="25">
        <f t="shared" si="3"/>
        <v>6.3224884758326577E-2</v>
      </c>
      <c r="H109" s="26">
        <f t="shared" si="4"/>
        <v>1.7697123670132531E-2</v>
      </c>
      <c r="I109" s="26">
        <f t="shared" si="5"/>
        <v>1.2897927921331011E-2</v>
      </c>
      <c r="J109" s="27">
        <f>G109*①基本設定!$G$5+H109*①基本設定!$G$6+I109*①基本設定!$G$7</f>
        <v>72826.166147315496</v>
      </c>
    </row>
    <row r="110" spans="1:10" x14ac:dyDescent="0.25">
      <c r="A110" s="3" t="s">
        <v>149</v>
      </c>
      <c r="B110" s="25">
        <f>LN(②原始價格與FX!B98/②原始價格與FX!B97)</f>
        <v>2.7097823685190522E-2</v>
      </c>
      <c r="C110" s="25">
        <f>LN(②原始價格與FX!C98/②原始價格與FX!C97)</f>
        <v>3.3279811473966747E-2</v>
      </c>
      <c r="D110" s="25">
        <f>LN(②原始價格與FX!D98/②原始價格與FX!D97)</f>
        <v>-2.450379821131647E-4</v>
      </c>
      <c r="E110" s="25">
        <f>LN(②原始價格與FX!G98/②原始價格與FX!G97)</f>
        <v>-3.9774850766037973E-4</v>
      </c>
      <c r="F110" s="25">
        <f>LN(②原始價格與FX!H98/②原始價格與FX!H97)</f>
        <v>-2.9605284781400185E-3</v>
      </c>
      <c r="G110" s="25">
        <f t="shared" si="3"/>
        <v>2.7097823685190522E-2</v>
      </c>
      <c r="H110" s="26">
        <f t="shared" si="4"/>
        <v>3.2882062966306365E-2</v>
      </c>
      <c r="I110" s="26">
        <f t="shared" si="5"/>
        <v>-3.2055664602531832E-3</v>
      </c>
      <c r="J110" s="27">
        <f>G110*①基本設定!$G$5+H110*①基本設定!$G$6+I110*①基本設定!$G$7</f>
        <v>57440.868891362799</v>
      </c>
    </row>
    <row r="111" spans="1:10" x14ac:dyDescent="0.25">
      <c r="A111" s="3" t="s">
        <v>150</v>
      </c>
      <c r="B111" s="25">
        <f>LN(②原始價格與FX!B99/②原始價格與FX!B98)</f>
        <v>-1.5832290228488626E-2</v>
      </c>
      <c r="C111" s="25">
        <f>LN(②原始價格與FX!C99/②原始價格與FX!C98)</f>
        <v>-1.9008854241031308E-2</v>
      </c>
      <c r="D111" s="25">
        <f>LN(②原始價格與FX!D99/②原始價格與FX!D98)</f>
        <v>1.1021983848055967E-3</v>
      </c>
      <c r="E111" s="25">
        <f>LN(②原始價格與FX!G99/②原始價格與FX!G98)</f>
        <v>1.3733700920806032E-3</v>
      </c>
      <c r="F111" s="25">
        <f>LN(②原始價格與FX!H99/②原始價格與FX!H98)</f>
        <v>6.8125186526933838E-3</v>
      </c>
      <c r="G111" s="25">
        <f t="shared" si="3"/>
        <v>-1.5832290228488626E-2</v>
      </c>
      <c r="H111" s="26">
        <f t="shared" si="4"/>
        <v>-1.7635484148950706E-2</v>
      </c>
      <c r="I111" s="26">
        <f t="shared" si="5"/>
        <v>7.9147170374989813E-3</v>
      </c>
      <c r="J111" s="28">
        <f>G111*①基本設定!$G$5+H111*①基本設定!$G$6+I111*①基本設定!$G$7</f>
        <v>-31853.750812315717</v>
      </c>
    </row>
    <row r="112" spans="1:10" x14ac:dyDescent="0.25">
      <c r="A112" s="3" t="s">
        <v>151</v>
      </c>
      <c r="B112" s="25">
        <f>LN(②原始價格與FX!B100/②原始價格與FX!B99)</f>
        <v>4.0601065080590956E-3</v>
      </c>
      <c r="C112" s="25">
        <f>LN(②原始價格與FX!C100/②原始價格與FX!C99)</f>
        <v>1.5034701883320062E-2</v>
      </c>
      <c r="D112" s="25">
        <f>LN(②原始價格與FX!D100/②原始價格與FX!D99)</f>
        <v>1.7884853854356669E-3</v>
      </c>
      <c r="E112" s="25">
        <f>LN(②原始價格與FX!G100/②原始價格與FX!G99)</f>
        <v>-4.3951413323989579E-4</v>
      </c>
      <c r="F112" s="25">
        <f>LN(②原始價格與FX!H100/②原始價格與FX!H99)</f>
        <v>-7.7739821022004092E-4</v>
      </c>
      <c r="G112" s="25">
        <f t="shared" si="3"/>
        <v>4.0601065080590956E-3</v>
      </c>
      <c r="H112" s="26">
        <f t="shared" si="4"/>
        <v>1.4595187750080167E-2</v>
      </c>
      <c r="I112" s="26">
        <f t="shared" si="5"/>
        <v>1.011087175215626E-3</v>
      </c>
      <c r="J112" s="27">
        <f>G112*①基本設定!$G$5+H112*①基本設定!$G$6+I112*①基本設定!$G$7</f>
        <v>18683.829756169642</v>
      </c>
    </row>
    <row r="113" spans="1:10" x14ac:dyDescent="0.25">
      <c r="A113" s="3" t="s">
        <v>152</v>
      </c>
      <c r="B113" s="25">
        <f>LN(②原始價格與FX!B101/②原始價格與FX!B100)</f>
        <v>-9.446541439035297E-3</v>
      </c>
      <c r="C113" s="25">
        <f>LN(②原始價格與FX!C101/②原始價格與FX!C100)</f>
        <v>0</v>
      </c>
      <c r="D113" s="25">
        <f>LN(②原始價格與FX!D101/②原始價格與FX!D100)</f>
        <v>-1.3345215967152756E-2</v>
      </c>
      <c r="E113" s="25">
        <f>LN(②原始價格與FX!G101/②原始價格與FX!G100)</f>
        <v>-1.171978110600729E-3</v>
      </c>
      <c r="F113" s="25">
        <f>LN(②原始價格與FX!H101/②原始價格與FX!H100)</f>
        <v>-5.0473034375522292E-3</v>
      </c>
      <c r="G113" s="25">
        <f t="shared" si="3"/>
        <v>-9.446541439035297E-3</v>
      </c>
      <c r="H113" s="26">
        <f t="shared" si="4"/>
        <v>-1.171978110600729E-3</v>
      </c>
      <c r="I113" s="26">
        <f t="shared" si="5"/>
        <v>-1.8392519404704984E-2</v>
      </c>
      <c r="J113" s="28">
        <f>G113*①基本設定!$G$5+H113*①基本設定!$G$6+I113*①基本設定!$G$7</f>
        <v>-9530.5524074956047</v>
      </c>
    </row>
    <row r="114" spans="1:10" x14ac:dyDescent="0.25">
      <c r="A114" s="3" t="s">
        <v>153</v>
      </c>
      <c r="B114" s="25">
        <f>LN(②原始價格與FX!B102/②原始價格與FX!B101)</f>
        <v>1.4001644616293253E-2</v>
      </c>
      <c r="C114" s="25">
        <f>LN(②原始價格與FX!C102/②原始價格與FX!C101)</f>
        <v>1.1419645646822831E-2</v>
      </c>
      <c r="D114" s="25">
        <f>LN(②原始價格與FX!D102/②原始價格與FX!D101)</f>
        <v>1.6851744746094931E-2</v>
      </c>
      <c r="E114" s="25">
        <f>LN(②原始價格與FX!G102/②原始價格與FX!G101)</f>
        <v>-1.9898097686925841E-4</v>
      </c>
      <c r="F114" s="25">
        <f>LN(②原始價格與FX!H102/②原始價格與FX!H101)</f>
        <v>4.4740967399052789E-3</v>
      </c>
      <c r="G114" s="25">
        <f t="shared" si="3"/>
        <v>1.4001644616293253E-2</v>
      </c>
      <c r="H114" s="26">
        <f t="shared" si="4"/>
        <v>1.1220664669953572E-2</v>
      </c>
      <c r="I114" s="26">
        <f t="shared" si="5"/>
        <v>2.132584148600021E-2</v>
      </c>
      <c r="J114" s="27">
        <f>G114*①基本設定!$G$5+H114*①基本設定!$G$6+I114*①基本設定!$G$7</f>
        <v>23929.352196330921</v>
      </c>
    </row>
    <row r="115" spans="1:10" x14ac:dyDescent="0.25">
      <c r="A115" s="3" t="s">
        <v>154</v>
      </c>
      <c r="B115" s="25">
        <f>LN(②原始價格與FX!B103/②原始價格與FX!B102)</f>
        <v>9.8503471022022265E-3</v>
      </c>
      <c r="C115" s="25">
        <f>LN(②原始價格與FX!C103/②原始價格與FX!C102)</f>
        <v>-4.0694350652947129E-3</v>
      </c>
      <c r="D115" s="25">
        <f>LN(②原始價格與FX!D103/②原始價格與FX!D102)</f>
        <v>-3.5552346735144014E-2</v>
      </c>
      <c r="E115" s="25">
        <f>LN(②原始價格與FX!G103/②原始價格與FX!G102)</f>
        <v>1.3528927297375565E-3</v>
      </c>
      <c r="F115" s="25">
        <f>LN(②原始價格與FX!H103/②原始價格與FX!H102)</f>
        <v>5.3227425663509534E-4</v>
      </c>
      <c r="G115" s="25">
        <f t="shared" si="3"/>
        <v>9.8503471022022265E-3</v>
      </c>
      <c r="H115" s="26">
        <f t="shared" si="4"/>
        <v>-2.7165423355571565E-3</v>
      </c>
      <c r="I115" s="26">
        <f t="shared" si="5"/>
        <v>-3.5020072478508919E-2</v>
      </c>
      <c r="J115" s="27">
        <f>G115*①基本設定!$G$5+H115*①基本設定!$G$6+I115*①基本設定!$G$7</f>
        <v>5242.264535297606</v>
      </c>
    </row>
    <row r="116" spans="1:10" x14ac:dyDescent="0.25">
      <c r="A116" s="3" t="s">
        <v>155</v>
      </c>
      <c r="B116" s="25">
        <f>LN(②原始價格與FX!B104/②原始價格與FX!B103)</f>
        <v>2.6136297816169555E-2</v>
      </c>
      <c r="C116" s="25">
        <f>LN(②原始價格與FX!C104/②原始價格與FX!C103)</f>
        <v>2.6160044640175805E-2</v>
      </c>
      <c r="D116" s="25">
        <f>LN(②原始價格與FX!D104/②原始價格與FX!D103)</f>
        <v>-5.6140387350287618E-3</v>
      </c>
      <c r="E116" s="25">
        <f>LN(②原始價格與FX!G104/②原始價格與FX!G103)</f>
        <v>-4.9927808158338645E-3</v>
      </c>
      <c r="F116" s="25">
        <f>LN(②原始價格與FX!H104/②原始價格與FX!H103)</f>
        <v>-1.2697374169012635E-3</v>
      </c>
      <c r="G116" s="25">
        <f t="shared" si="3"/>
        <v>2.6136297816169555E-2</v>
      </c>
      <c r="H116" s="26">
        <f t="shared" si="4"/>
        <v>2.1167263824341941E-2</v>
      </c>
      <c r="I116" s="26">
        <f t="shared" si="5"/>
        <v>-6.8837761519300253E-3</v>
      </c>
      <c r="J116" s="27">
        <f>G116*①基本設定!$G$5+H116*①基本設定!$G$6+I116*①基本設定!$G$7</f>
        <v>44384.617990235412</v>
      </c>
    </row>
    <row r="117" spans="1:10" x14ac:dyDescent="0.25">
      <c r="A117" s="3" t="s">
        <v>156</v>
      </c>
      <c r="B117" s="25">
        <f>LN(②原始價格與FX!B105/②原始價格與FX!B104)</f>
        <v>1.8783717989185173E-2</v>
      </c>
      <c r="C117" s="25">
        <f>LN(②原始價格與FX!C105/②原始價格與FX!C104)</f>
        <v>8.2351506902840696E-3</v>
      </c>
      <c r="D117" s="25">
        <f>LN(②原始價格與FX!D105/②原始價格與FX!D104)</f>
        <v>3.5776514335742475E-3</v>
      </c>
      <c r="E117" s="25">
        <f>LN(②原始價格與FX!G105/②原始價格與FX!G104)</f>
        <v>-3.2736031562442735E-3</v>
      </c>
      <c r="F117" s="25">
        <f>LN(②原始價格與FX!H105/②原始價格與FX!H104)</f>
        <v>-1.0630508020642391E-2</v>
      </c>
      <c r="G117" s="25">
        <f t="shared" si="3"/>
        <v>1.8783717989185173E-2</v>
      </c>
      <c r="H117" s="26">
        <f t="shared" si="4"/>
        <v>4.9615475340397961E-3</v>
      </c>
      <c r="I117" s="26">
        <f t="shared" si="5"/>
        <v>-7.0528565870681438E-3</v>
      </c>
      <c r="J117" s="27">
        <f>G117*①基本設定!$G$5+H117*①基本設定!$G$6+I117*①基本設定!$G$7</f>
        <v>21208.08952733516</v>
      </c>
    </row>
    <row r="118" spans="1:10" x14ac:dyDescent="0.25">
      <c r="A118" s="3" t="s">
        <v>157</v>
      </c>
      <c r="B118" s="25">
        <f>LN(②原始價格與FX!B106/②原始價格與FX!B105)</f>
        <v>6.7204303604633626E-4</v>
      </c>
      <c r="C118" s="25">
        <f>LN(②原始價格與FX!C106/②原始價格與FX!C105)</f>
        <v>-1.3600144862558287E-2</v>
      </c>
      <c r="D118" s="25">
        <f>LN(②原始價格與FX!D106/②原始價格與FX!D105)</f>
        <v>-5.2759701891707499E-3</v>
      </c>
      <c r="E118" s="25">
        <f>LN(②原始價格與FX!G106/②原始價格與FX!G105)</f>
        <v>-1.7259825366062627E-3</v>
      </c>
      <c r="F118" s="25">
        <f>LN(②原始價格與FX!H106/②原始價格與FX!H105)</f>
        <v>2.4823147908415522E-3</v>
      </c>
      <c r="G118" s="25">
        <f t="shared" si="3"/>
        <v>6.7204303604633626E-4</v>
      </c>
      <c r="H118" s="26">
        <f t="shared" si="4"/>
        <v>-1.5326127399164549E-2</v>
      </c>
      <c r="I118" s="26">
        <f t="shared" si="5"/>
        <v>-2.7936553983291977E-3</v>
      </c>
      <c r="J118" s="28">
        <f>G118*①基本設定!$G$5+H118*①基本設定!$G$6+I118*①基本設定!$G$7</f>
        <v>-15402.291921062009</v>
      </c>
    </row>
    <row r="119" spans="1:10" x14ac:dyDescent="0.25">
      <c r="A119" s="3" t="s">
        <v>158</v>
      </c>
      <c r="B119" s="25">
        <f>LN(②原始價格與FX!B107/②原始價格與FX!B106)</f>
        <v>1.8390871500724079E-3</v>
      </c>
      <c r="C119" s="25">
        <f>LN(②原始價格與FX!C107/②原始價格與FX!C106)</f>
        <v>4.4728249253757832E-3</v>
      </c>
      <c r="D119" s="25">
        <f>LN(②原始價格與FX!D107/②原始價格與FX!D106)</f>
        <v>-1.1728559097714029E-2</v>
      </c>
      <c r="E119" s="25">
        <f>LN(②原始價格與FX!G107/②原始價格與FX!G106)</f>
        <v>-2.8141407733182555E-3</v>
      </c>
      <c r="F119" s="25">
        <f>LN(②原始價格與FX!H107/②原始價格與FX!H106)</f>
        <v>-3.3525827639623879E-3</v>
      </c>
      <c r="G119" s="25">
        <f t="shared" si="3"/>
        <v>1.8390871500724079E-3</v>
      </c>
      <c r="H119" s="26">
        <f t="shared" si="4"/>
        <v>1.6586841520575277E-3</v>
      </c>
      <c r="I119" s="26">
        <f t="shared" si="5"/>
        <v>-1.5081141861676417E-2</v>
      </c>
      <c r="J119" s="27">
        <f>G119*①基本設定!$G$5+H119*①基本設定!$G$6+I119*①基本設定!$G$7</f>
        <v>3138.4231133081116</v>
      </c>
    </row>
    <row r="120" spans="1:10" x14ac:dyDescent="0.25">
      <c r="A120" s="3" t="s">
        <v>159</v>
      </c>
      <c r="B120" s="25">
        <f>LN(②原始價格與FX!B108/②原始價格與FX!B107)</f>
        <v>8.4537453316638894E-3</v>
      </c>
      <c r="C120" s="25">
        <f>LN(②原始價格與FX!C108/②原始價格與FX!C107)</f>
        <v>-7.2478838397864705E-3</v>
      </c>
      <c r="D120" s="25">
        <f>LN(②原始價格與FX!D108/②原始價格與FX!D107)</f>
        <v>-1.0583648239411237E-2</v>
      </c>
      <c r="E120" s="25">
        <f>LN(②原始價格與FX!G108/②原始價格與FX!G107)</f>
        <v>5.3231255259467113E-3</v>
      </c>
      <c r="F120" s="25">
        <f>LN(②原始價格與FX!H108/②原始價格與FX!H107)</f>
        <v>2.8152705519818785E-3</v>
      </c>
      <c r="G120" s="25">
        <f t="shared" si="3"/>
        <v>8.4537453316638894E-3</v>
      </c>
      <c r="H120" s="26">
        <f t="shared" si="4"/>
        <v>-1.9247583138397592E-3</v>
      </c>
      <c r="I120" s="26">
        <f t="shared" si="5"/>
        <v>-7.7683776874293581E-3</v>
      </c>
      <c r="J120" s="27">
        <f>G120*①基本設定!$G$5+H120*①基本設定!$G$6+I120*①基本設定!$G$7</f>
        <v>5167.6942059969469</v>
      </c>
    </row>
    <row r="121" spans="1:10" x14ac:dyDescent="0.25">
      <c r="A121" s="3" t="s">
        <v>160</v>
      </c>
      <c r="B121" s="25">
        <f>LN(②原始價格與FX!B109/②原始價格與FX!B108)</f>
        <v>2.3909156637729272E-3</v>
      </c>
      <c r="C121" s="25">
        <f>LN(②原始價格與FX!C109/②原始價格與FX!C108)</f>
        <v>-6.8069316011632342E-3</v>
      </c>
      <c r="D121" s="25">
        <f>LN(②原始價格與FX!D109/②原始價格與FX!D108)</f>
        <v>-2.2721716136017232E-2</v>
      </c>
      <c r="E121" s="25">
        <f>LN(②原始價格與FX!G109/②原始價格與FX!G108)</f>
        <v>3.8695778129084683E-3</v>
      </c>
      <c r="F121" s="25">
        <f>LN(②原始價格與FX!H109/②原始價格與FX!H108)</f>
        <v>5.3601744632600246E-3</v>
      </c>
      <c r="G121" s="25">
        <f t="shared" si="3"/>
        <v>2.3909156637729272E-3</v>
      </c>
      <c r="H121" s="26">
        <f t="shared" si="4"/>
        <v>-2.9373537882547659E-3</v>
      </c>
      <c r="I121" s="26">
        <f t="shared" si="5"/>
        <v>-1.7361541672757205E-2</v>
      </c>
      <c r="J121" s="28">
        <f>G121*①基本設定!$G$5+H121*①基本設定!$G$6+I121*①基本設定!$G$7</f>
        <v>-1195.6783300117058</v>
      </c>
    </row>
    <row r="122" spans="1:10" x14ac:dyDescent="0.25">
      <c r="A122" s="3" t="s">
        <v>161</v>
      </c>
      <c r="B122" s="25">
        <f>LN(②原始價格與FX!B110/②原始價格與FX!B109)</f>
        <v>-9.7990985082611996E-3</v>
      </c>
      <c r="C122" s="25">
        <f>LN(②原始價格與FX!C110/②原始價格與FX!C109)</f>
        <v>-1.4255172606168437E-2</v>
      </c>
      <c r="D122" s="25">
        <f>LN(②原始價格與FX!D110/②原始價格與FX!D109)</f>
        <v>-1.6464741738898801E-3</v>
      </c>
      <c r="E122" s="25">
        <f>LN(②原始價格與FX!G110/②原始價格與FX!G109)</f>
        <v>2.0377642370300749E-3</v>
      </c>
      <c r="F122" s="25">
        <f>LN(②原始價格與FX!H110/②原始價格與FX!H109)</f>
        <v>-1.645007406243423E-4</v>
      </c>
      <c r="G122" s="25">
        <f t="shared" si="3"/>
        <v>-9.7990985082611996E-3</v>
      </c>
      <c r="H122" s="26">
        <f t="shared" si="4"/>
        <v>-1.2217408369138361E-2</v>
      </c>
      <c r="I122" s="26">
        <f t="shared" si="5"/>
        <v>-1.8109749145142225E-3</v>
      </c>
      <c r="J122" s="28">
        <f>G122*①基本設定!$G$5+H122*①基本設定!$G$6+I122*①基本設定!$G$7</f>
        <v>-21144.334466706045</v>
      </c>
    </row>
    <row r="123" spans="1:10" x14ac:dyDescent="0.25">
      <c r="A123" s="3" t="s">
        <v>162</v>
      </c>
      <c r="B123" s="25">
        <f>LN(②原始價格與FX!B111/②原始價格與FX!B110)</f>
        <v>1.4233695576126889E-2</v>
      </c>
      <c r="C123" s="25">
        <f>LN(②原始價格與FX!C111/②原始價格與FX!C110)</f>
        <v>1.4296317250170321E-2</v>
      </c>
      <c r="D123" s="25">
        <f>LN(②原始價格與FX!D111/②原始價格與FX!D110)</f>
        <v>-8.6593653766560506E-3</v>
      </c>
      <c r="E123" s="25">
        <f>LN(②原始價格與FX!G111/②原始價格與FX!G110)</f>
        <v>1.4495660621530546E-3</v>
      </c>
      <c r="F123" s="25">
        <f>LN(②原始價格與FX!H111/②原始價格與FX!H110)</f>
        <v>5.9050446335759624E-3</v>
      </c>
      <c r="G123" s="25">
        <f t="shared" si="3"/>
        <v>1.4233695576126889E-2</v>
      </c>
      <c r="H123" s="26">
        <f t="shared" si="4"/>
        <v>1.5745883312323378E-2</v>
      </c>
      <c r="I123" s="26">
        <f t="shared" si="5"/>
        <v>-2.7543207430800881E-3</v>
      </c>
      <c r="J123" s="27">
        <f>G123*①基本設定!$G$5+H123*①基本設定!$G$6+I123*①基本設定!$G$7</f>
        <v>28572.15358378589</v>
      </c>
    </row>
    <row r="124" spans="1:10" x14ac:dyDescent="0.25">
      <c r="A124" s="3" t="s">
        <v>163</v>
      </c>
      <c r="B124" s="25">
        <f>LN(②原始價格與FX!B112/②原始價格與FX!B111)</f>
        <v>-6.4798048247812299E-3</v>
      </c>
      <c r="C124" s="25">
        <f>LN(②原始價格與FX!C112/②原始價格與FX!C111)</f>
        <v>3.2450890068169542E-3</v>
      </c>
      <c r="D124" s="25">
        <f>LN(②原始價格與FX!D112/②原始價格與FX!D111)</f>
        <v>-3.4590158617512773E-2</v>
      </c>
      <c r="E124" s="25">
        <f>LN(②原始價格與FX!G112/②原始價格與FX!G111)</f>
        <v>8.248018986501054E-4</v>
      </c>
      <c r="F124" s="25">
        <f>LN(②原始價格與FX!H112/②原始價格與FX!H111)</f>
        <v>6.539687962982784E-4</v>
      </c>
      <c r="G124" s="25">
        <f t="shared" si="3"/>
        <v>-6.4798048247812299E-3</v>
      </c>
      <c r="H124" s="26">
        <f t="shared" si="4"/>
        <v>4.0698909054670595E-3</v>
      </c>
      <c r="I124" s="26">
        <f t="shared" si="5"/>
        <v>-3.3936189821214498E-2</v>
      </c>
      <c r="J124" s="28">
        <f>G124*①基本設定!$G$5+H124*①基本設定!$G$6+I124*①基本設定!$G$7</f>
        <v>-1700.6602064147462</v>
      </c>
    </row>
    <row r="125" spans="1:10" x14ac:dyDescent="0.25">
      <c r="A125" s="3" t="s">
        <v>164</v>
      </c>
      <c r="B125" s="25">
        <f>LN(②原始價格與FX!B113/②原始價格與FX!B112)</f>
        <v>1.7774907834598036E-2</v>
      </c>
      <c r="C125" s="25">
        <f>LN(②原始價格與FX!C113/②原始價格與FX!C112)</f>
        <v>2.6068018631881275E-2</v>
      </c>
      <c r="D125" s="25">
        <f>LN(②原始價格與FX!D113/②原始價格與FX!D112)</f>
        <v>2.3294419154006991E-2</v>
      </c>
      <c r="E125" s="25">
        <f>LN(②原始價格與FX!G113/②原始價格與FX!G112)</f>
        <v>6.6476464215800611E-4</v>
      </c>
      <c r="F125" s="25">
        <f>LN(②原始價格與FX!H113/②原始價格與FX!H112)</f>
        <v>3.7520435534263547E-3</v>
      </c>
      <c r="G125" s="25">
        <f t="shared" si="3"/>
        <v>1.7774907834598036E-2</v>
      </c>
      <c r="H125" s="26">
        <f t="shared" si="4"/>
        <v>2.673278327403928E-2</v>
      </c>
      <c r="I125" s="26">
        <f t="shared" si="5"/>
        <v>2.7046462707433345E-2</v>
      </c>
      <c r="J125" s="27">
        <f>G125*①基本設定!$G$5+H125*①基本設定!$G$6+I125*①基本設定!$G$7</f>
        <v>43373.019859041386</v>
      </c>
    </row>
    <row r="126" spans="1:10" x14ac:dyDescent="0.25">
      <c r="A126" s="3" t="s">
        <v>165</v>
      </c>
      <c r="B126" s="25">
        <f>LN(②原始價格與FX!B114/②原始價格與FX!B113)</f>
        <v>-4.3031019185305976E-2</v>
      </c>
      <c r="C126" s="25">
        <f>LN(②原始價格與FX!C114/②原始價格與FX!C113)</f>
        <v>-6.6948876011018611E-3</v>
      </c>
      <c r="D126" s="25">
        <f>LN(②原始價格與FX!D114/②原始價格與FX!D113)</f>
        <v>-4.7660767538293444E-2</v>
      </c>
      <c r="E126" s="25">
        <f>LN(②原始價格與FX!G114/②原始價格與FX!G113)</f>
        <v>-1.4865550776739576E-3</v>
      </c>
      <c r="F126" s="25">
        <f>LN(②原始價格與FX!H114/②原始價格與FX!H113)</f>
        <v>6.7750112085569192E-3</v>
      </c>
      <c r="G126" s="25">
        <f t="shared" si="3"/>
        <v>-4.3031019185305976E-2</v>
      </c>
      <c r="H126" s="26">
        <f t="shared" si="4"/>
        <v>-8.1814426787758191E-3</v>
      </c>
      <c r="I126" s="26">
        <f t="shared" si="5"/>
        <v>-4.0885756329736525E-2</v>
      </c>
      <c r="J126" s="28">
        <f>G126*①基本設定!$G$5+H126*①基本設定!$G$6+I126*①基本設定!$G$7</f>
        <v>-45899.325340848009</v>
      </c>
    </row>
    <row r="127" spans="1:10" x14ac:dyDescent="0.25">
      <c r="A127" s="3" t="s">
        <v>166</v>
      </c>
      <c r="B127" s="25">
        <f>LN(②原始價格與FX!B115/②原始價格與FX!B114)</f>
        <v>1.9095270421203032E-2</v>
      </c>
      <c r="C127" s="25">
        <f>LN(②原始價格與FX!C115/②原始價格與FX!C114)</f>
        <v>-3.1918690094394797E-2</v>
      </c>
      <c r="D127" s="25">
        <f>LN(②原始價格與FX!D115/②原始價格與FX!D114)</f>
        <v>-3.3833388049792197E-2</v>
      </c>
      <c r="E127" s="25">
        <f>LN(②原始價格與FX!G115/②原始價格與FX!G114)</f>
        <v>2.9198593592894631E-3</v>
      </c>
      <c r="F127" s="25">
        <f>LN(②原始價格與FX!H115/②原始價格與FX!H114)</f>
        <v>-2.5504537841942385E-3</v>
      </c>
      <c r="G127" s="25">
        <f t="shared" si="3"/>
        <v>1.9095270421203032E-2</v>
      </c>
      <c r="H127" s="26">
        <f t="shared" si="4"/>
        <v>-2.8998830735105334E-2</v>
      </c>
      <c r="I127" s="26">
        <f t="shared" si="5"/>
        <v>-3.6383841833986436E-2</v>
      </c>
      <c r="J127" s="28">
        <f>G127*①基本設定!$G$5+H127*①基本設定!$G$6+I127*①基本設定!$G$7</f>
        <v>-14186.797020111329</v>
      </c>
    </row>
    <row r="128" spans="1:10" x14ac:dyDescent="0.25">
      <c r="A128" s="3" t="s">
        <v>167</v>
      </c>
      <c r="B128" s="25">
        <f>LN(②原始價格與FX!B116/②原始價格與FX!B115)</f>
        <v>7.7150492272717204E-3</v>
      </c>
      <c r="C128" s="25">
        <f>LN(②原始價格與FX!C116/②原始價格與FX!C115)</f>
        <v>-2.2213338034704093E-2</v>
      </c>
      <c r="D128" s="25">
        <f>LN(②原始價格與FX!D116/②原始價格與FX!D115)</f>
        <v>-6.2130600211951506E-2</v>
      </c>
      <c r="E128" s="25">
        <f>LN(②原始價格與FX!G116/②原始價格與FX!G115)</f>
        <v>5.384294379924299E-3</v>
      </c>
      <c r="F128" s="25">
        <f>LN(②原始價格與FX!H116/②原始價格與FX!H115)</f>
        <v>-6.7515610107911411E-3</v>
      </c>
      <c r="G128" s="25">
        <f t="shared" si="3"/>
        <v>7.7150492272717204E-3</v>
      </c>
      <c r="H128" s="26">
        <f t="shared" si="4"/>
        <v>-1.6829043654779795E-2</v>
      </c>
      <c r="I128" s="26">
        <f t="shared" si="5"/>
        <v>-6.8882161222742641E-2</v>
      </c>
      <c r="J128" s="28">
        <f>G128*①基本設定!$G$5+H128*①基本設定!$G$6+I128*①基本設定!$G$7</f>
        <v>-11649.094296735968</v>
      </c>
    </row>
    <row r="129" spans="1:10" x14ac:dyDescent="0.25">
      <c r="A129" s="3" t="s">
        <v>168</v>
      </c>
      <c r="B129" s="25">
        <f>LN(②原始價格與FX!B117/②原始價格與FX!B116)</f>
        <v>-2.1262983229496102E-2</v>
      </c>
      <c r="C129" s="25">
        <f>LN(②原始價格與FX!C117/②原始價格與FX!C116)</f>
        <v>2.0360558465363078E-3</v>
      </c>
      <c r="D129" s="25">
        <f>LN(②原始價格與FX!D117/②原始價格與FX!D116)</f>
        <v>-2.8190480005167901E-2</v>
      </c>
      <c r="E129" s="25">
        <f>LN(②原始價格與FX!G117/②原始價格與FX!G116)</f>
        <v>-6.9499147649031527E-3</v>
      </c>
      <c r="F129" s="25">
        <f>LN(②原始價格與FX!H117/②原始價格與FX!H116)</f>
        <v>2.4455869366785798E-3</v>
      </c>
      <c r="G129" s="25">
        <f t="shared" si="3"/>
        <v>-2.1262983229496102E-2</v>
      </c>
      <c r="H129" s="26">
        <f t="shared" si="4"/>
        <v>-4.9138589183668445E-3</v>
      </c>
      <c r="I129" s="26">
        <f t="shared" si="5"/>
        <v>-2.5744893068489323E-2</v>
      </c>
      <c r="J129" s="28">
        <f>G129*①基本設定!$G$5+H129*①基本設定!$G$6+I129*①基本設定!$G$7</f>
        <v>-23647.88293362792</v>
      </c>
    </row>
    <row r="130" spans="1:10" x14ac:dyDescent="0.25">
      <c r="A130" s="3" t="s">
        <v>169</v>
      </c>
      <c r="B130" s="25">
        <f>LN(②原始價格與FX!B118/②原始價格與FX!B117)</f>
        <v>-2.1517111248002579E-2</v>
      </c>
      <c r="C130" s="25">
        <f>LN(②原始價格與FX!C118/②原始價格與FX!C117)</f>
        <v>-2.6306871926337068E-3</v>
      </c>
      <c r="D130" s="25">
        <f>LN(②原始價格與FX!D118/②原始價格與FX!D117)</f>
        <v>-4.162294863962592E-3</v>
      </c>
      <c r="E130" s="25">
        <f>LN(②原始價格與FX!G118/②原始價格與FX!G117)</f>
        <v>-2.2852129034805681E-3</v>
      </c>
      <c r="F130" s="25">
        <f>LN(②原始價格與FX!H118/②原始價格與FX!H117)</f>
        <v>-2.4863974331439873E-3</v>
      </c>
      <c r="G130" s="25">
        <f t="shared" si="3"/>
        <v>-2.1517111248002579E-2</v>
      </c>
      <c r="H130" s="26">
        <f t="shared" si="4"/>
        <v>-4.9159000961142753E-3</v>
      </c>
      <c r="I130" s="26">
        <f t="shared" si="5"/>
        <v>-6.6486922971065792E-3</v>
      </c>
      <c r="J130" s="28">
        <f>G130*①基本設定!$G$5+H130*①基本設定!$G$6+I130*①基本設定!$G$7</f>
        <v>-23657.733284456473</v>
      </c>
    </row>
    <row r="131" spans="1:10" x14ac:dyDescent="0.25">
      <c r="A131" s="3" t="s">
        <v>170</v>
      </c>
      <c r="B131" s="25">
        <f>LN(②原始價格與FX!B119/②原始價格與FX!B118)</f>
        <v>2.5333393249979963E-2</v>
      </c>
      <c r="C131" s="25">
        <f>LN(②原始價格與FX!C119/②原始價格與FX!C118)</f>
        <v>2.1727651828605973E-2</v>
      </c>
      <c r="D131" s="25">
        <f>LN(②原始價格與FX!D119/②原始價格與FX!D118)</f>
        <v>1.5376214411914077E-3</v>
      </c>
      <c r="E131" s="25">
        <f>LN(②原始價格與FX!G119/②原始價格與FX!G118)</f>
        <v>1.5992943625039089E-3</v>
      </c>
      <c r="F131" s="25">
        <f>LN(②原始價格與FX!H119/②原始價格與FX!H118)</f>
        <v>4.3979384320848632E-3</v>
      </c>
      <c r="G131" s="25">
        <f t="shared" si="3"/>
        <v>2.5333393249979963E-2</v>
      </c>
      <c r="H131" s="26">
        <f t="shared" si="4"/>
        <v>2.3326946191109883E-2</v>
      </c>
      <c r="I131" s="26">
        <f t="shared" si="5"/>
        <v>5.9355598732762707E-3</v>
      </c>
      <c r="J131" s="27">
        <f>G131*①基本設定!$G$5+H131*①基本設定!$G$6+I131*①基本設定!$G$7</f>
        <v>46084.059640394313</v>
      </c>
    </row>
    <row r="132" spans="1:10" x14ac:dyDescent="0.25">
      <c r="A132" s="3" t="s">
        <v>171</v>
      </c>
      <c r="B132" s="25">
        <f>LN(②原始價格與FX!B120/②原始價格與FX!B119)</f>
        <v>-1.3804578133191308E-2</v>
      </c>
      <c r="C132" s="25">
        <f>LN(②原始價格與FX!C120/②原始價格與FX!C119)</f>
        <v>1.4978308124589189E-2</v>
      </c>
      <c r="D132" s="25">
        <f>LN(②原始價格與FX!D120/②原始價格與FX!D119)</f>
        <v>-1.3555527929322979E-2</v>
      </c>
      <c r="E132" s="25">
        <f>LN(②原始價格與FX!G120/②原始價格與FX!G119)</f>
        <v>6.7693572097311215E-3</v>
      </c>
      <c r="F132" s="25">
        <f>LN(②原始價格與FX!H120/②原始價格與FX!H119)</f>
        <v>1.9890002701046382E-3</v>
      </c>
      <c r="G132" s="25">
        <f t="shared" si="3"/>
        <v>-1.3804578133191308E-2</v>
      </c>
      <c r="H132" s="26">
        <f t="shared" si="4"/>
        <v>2.174766533432031E-2</v>
      </c>
      <c r="I132" s="26">
        <f t="shared" si="5"/>
        <v>-1.1566527659218341E-2</v>
      </c>
      <c r="J132" s="27">
        <f>G132*①基本設定!$G$5+H132*①基本設定!$G$6+I132*①基本設定!$G$7</f>
        <v>10654.137202635686</v>
      </c>
    </row>
    <row r="133" spans="1:10" x14ac:dyDescent="0.25">
      <c r="A133" s="3" t="s">
        <v>172</v>
      </c>
      <c r="B133" s="25">
        <f>LN(②原始價格與FX!B121/②原始價格與FX!B120)</f>
        <v>-2.1539549827952986E-2</v>
      </c>
      <c r="C133" s="25">
        <f>LN(②原始價格與FX!C121/②原始價格與FX!C120)</f>
        <v>2.3725774035600776E-3</v>
      </c>
      <c r="D133" s="25">
        <f>LN(②原始價格與FX!D121/②原始價格與FX!D120)</f>
        <v>-1.5925646677391367E-2</v>
      </c>
      <c r="E133" s="25">
        <f>LN(②原始價格與FX!G121/②原始價格與FX!G120)</f>
        <v>-2.1335336314571986E-3</v>
      </c>
      <c r="F133" s="25">
        <f>LN(②原始價格與FX!H121/②原始價格與FX!H120)</f>
        <v>2.3492254313453912E-3</v>
      </c>
      <c r="G133" s="25">
        <f t="shared" si="3"/>
        <v>-2.1539549827952986E-2</v>
      </c>
      <c r="H133" s="26">
        <f t="shared" si="4"/>
        <v>2.3904377210287901E-4</v>
      </c>
      <c r="I133" s="26">
        <f t="shared" si="5"/>
        <v>-1.3576421246045975E-2</v>
      </c>
      <c r="J133" s="28">
        <f>G133*①基本設定!$G$5+H133*①基本設定!$G$6+I133*①基本設定!$G$7</f>
        <v>-18389.093498407616</v>
      </c>
    </row>
    <row r="134" spans="1:10" x14ac:dyDescent="0.25">
      <c r="A134" s="3" t="s">
        <v>173</v>
      </c>
      <c r="B134" s="25">
        <f>LN(②原始價格與FX!B122/②原始價格與FX!B121)</f>
        <v>-3.0662343864939712E-2</v>
      </c>
      <c r="C134" s="25">
        <f>LN(②原始價格與FX!C122/②原始價格與FX!C121)</f>
        <v>2.489238395376282E-3</v>
      </c>
      <c r="D134" s="25">
        <f>LN(②原始價格與FX!D122/②原始價格與FX!D121)</f>
        <v>1.4756907244983127E-2</v>
      </c>
      <c r="E134" s="25">
        <f>LN(②原始價格與FX!G122/②原始價格與FX!G121)</f>
        <v>-9.650253993140754E-4</v>
      </c>
      <c r="F134" s="25">
        <f>LN(②原始價格與FX!H122/②原始價格與FX!H121)</f>
        <v>-2.1870325836945031E-3</v>
      </c>
      <c r="G134" s="25">
        <f t="shared" si="3"/>
        <v>-3.0662343864939712E-2</v>
      </c>
      <c r="H134" s="26">
        <f t="shared" si="4"/>
        <v>1.5242129960622067E-3</v>
      </c>
      <c r="I134" s="26">
        <f t="shared" si="5"/>
        <v>1.2569874661288625E-2</v>
      </c>
      <c r="J134" s="28">
        <f>G134*①基本設定!$G$5+H134*①基本設定!$G$6+I134*①基本設定!$G$7</f>
        <v>-24594.126834524937</v>
      </c>
    </row>
    <row r="135" spans="1:10" x14ac:dyDescent="0.25">
      <c r="A135" s="3" t="s">
        <v>174</v>
      </c>
      <c r="B135" s="25">
        <f>LN(②原始價格與FX!B123/②原始價格與FX!B122)</f>
        <v>-2.3607797354112784E-2</v>
      </c>
      <c r="C135" s="25">
        <f>LN(②原始價格與FX!C123/②原始價格與FX!C122)</f>
        <v>-1.2467353087014302E-2</v>
      </c>
      <c r="D135" s="25">
        <f>LN(②原始價格與FX!D123/②原始價格與FX!D122)</f>
        <v>-1.6632572092655888E-2</v>
      </c>
      <c r="E135" s="25">
        <f>LN(②原始價格與FX!G123/②原始價格與FX!G122)</f>
        <v>3.2838687525897623E-3</v>
      </c>
      <c r="F135" s="25">
        <f>LN(②原始價格與FX!H123/②原始價格與FX!H122)</f>
        <v>5.1763299015979564E-3</v>
      </c>
      <c r="G135" s="25">
        <f t="shared" si="3"/>
        <v>-2.3607797354112784E-2</v>
      </c>
      <c r="H135" s="26">
        <f t="shared" si="4"/>
        <v>-9.1834843344245406E-3</v>
      </c>
      <c r="I135" s="26">
        <f t="shared" si="5"/>
        <v>-1.1456242191057932E-2</v>
      </c>
      <c r="J135" s="28">
        <f>G135*①基本設定!$G$5+H135*①基本設定!$G$6+I135*①基本設定!$G$7</f>
        <v>-29946.06627230809</v>
      </c>
    </row>
    <row r="136" spans="1:10" x14ac:dyDescent="0.25">
      <c r="A136" s="3" t="s">
        <v>175</v>
      </c>
      <c r="B136" s="25">
        <f>LN(②原始價格與FX!B124/②原始價格與FX!B123)</f>
        <v>-2.751643845181864E-3</v>
      </c>
      <c r="C136" s="25">
        <f>LN(②原始價格與FX!C124/②原始價格與FX!C123)</f>
        <v>-8.1629723790121993E-3</v>
      </c>
      <c r="D136" s="25">
        <f>LN(②原始價格與FX!D124/②原始價格與FX!D123)</f>
        <v>-3.4205150766064986E-2</v>
      </c>
      <c r="E136" s="25">
        <f>LN(②原始價格與FX!G124/②原始價格與FX!G123)</f>
        <v>-5.6434082663521104E-3</v>
      </c>
      <c r="F136" s="25">
        <f>LN(②原始價格與FX!H124/②原始價格與FX!H123)</f>
        <v>4.1459596086989622E-3</v>
      </c>
      <c r="G136" s="25">
        <f t="shared" si="3"/>
        <v>-2.751643845181864E-3</v>
      </c>
      <c r="H136" s="26">
        <f t="shared" si="4"/>
        <v>-1.3806380645364311E-2</v>
      </c>
      <c r="I136" s="26">
        <f t="shared" si="5"/>
        <v>-3.0059191157366022E-2</v>
      </c>
      <c r="J136" s="28">
        <f>G136*①基本設定!$G$5+H136*①基本設定!$G$6+I136*①基本設定!$G$7</f>
        <v>-17059.944039430717</v>
      </c>
    </row>
    <row r="137" spans="1:10" x14ac:dyDescent="0.25">
      <c r="A137" s="3" t="s">
        <v>176</v>
      </c>
      <c r="B137" s="25">
        <f>LN(②原始價格與FX!B125/②原始價格與FX!B124)</f>
        <v>1.2880017769592857E-3</v>
      </c>
      <c r="C137" s="25">
        <f>LN(②原始價格與FX!C125/②原始價格與FX!C124)</f>
        <v>-5.0470398485357787E-3</v>
      </c>
      <c r="D137" s="25">
        <f>LN(②原始價格與FX!D125/②原始價格與FX!D124)</f>
        <v>2.113208333573442E-3</v>
      </c>
      <c r="E137" s="25">
        <f>LN(②原始價格與FX!G125/②原始價格與FX!G124)</f>
        <v>4.5072387015375308E-4</v>
      </c>
      <c r="F137" s="25">
        <f>LN(②原始價格與FX!H125/②原始價格與FX!H124)</f>
        <v>2.0465086093711827E-3</v>
      </c>
      <c r="G137" s="25">
        <f t="shared" si="3"/>
        <v>1.2880017769592857E-3</v>
      </c>
      <c r="H137" s="26">
        <f t="shared" si="4"/>
        <v>-4.5963159783820257E-3</v>
      </c>
      <c r="I137" s="26">
        <f t="shared" si="5"/>
        <v>4.1597169429446242E-3</v>
      </c>
      <c r="J137" s="28">
        <f>G137*①基本設定!$G$5+H137*①基本設定!$G$6+I137*①基本設定!$G$7</f>
        <v>-3631.5466042757598</v>
      </c>
    </row>
    <row r="138" spans="1:10" x14ac:dyDescent="0.25">
      <c r="A138" s="3" t="s">
        <v>177</v>
      </c>
      <c r="B138" s="25">
        <f>LN(②原始價格與FX!B126/②原始價格與FX!B125)</f>
        <v>1.3942883207338632E-2</v>
      </c>
      <c r="C138" s="25">
        <f>LN(②原始價格與FX!C126/②原始價格與FX!C125)</f>
        <v>1.8149920181887106E-2</v>
      </c>
      <c r="D138" s="25">
        <f>LN(②原始價格與FX!D126/②原始價格與FX!D125)</f>
        <v>1.543260296144864E-2</v>
      </c>
      <c r="E138" s="25">
        <f>LN(②原始價格與FX!G126/②原始價格與FX!G125)</f>
        <v>-3.0207231179580525E-3</v>
      </c>
      <c r="F138" s="25">
        <f>LN(②原始價格與FX!H126/②原始價格與FX!H125)</f>
        <v>-4.3387501776765746E-3</v>
      </c>
      <c r="G138" s="25">
        <f t="shared" si="3"/>
        <v>1.3942883207338632E-2</v>
      </c>
      <c r="H138" s="26">
        <f t="shared" si="4"/>
        <v>1.5129197063929054E-2</v>
      </c>
      <c r="I138" s="26">
        <f t="shared" si="5"/>
        <v>1.1093852783772066E-2</v>
      </c>
      <c r="J138" s="27">
        <f>G138*①基本設定!$G$5+H138*①基本設定!$G$6+I138*①基本設定!$G$7</f>
        <v>27833.393777686149</v>
      </c>
    </row>
    <row r="139" spans="1:10" x14ac:dyDescent="0.25">
      <c r="A139" s="3" t="s">
        <v>178</v>
      </c>
      <c r="B139" s="25">
        <f>LN(②原始價格與FX!B127/②原始價格與FX!B126)</f>
        <v>-5.2046895055594809E-2</v>
      </c>
      <c r="C139" s="25">
        <f>LN(②原始價格與FX!C127/②原始價格與FX!C126)</f>
        <v>-3.1494396372038436E-2</v>
      </c>
      <c r="D139" s="25">
        <f>LN(②原始價格與FX!D127/②原始價格與FX!D126)</f>
        <v>-1.3087431539032338E-2</v>
      </c>
      <c r="E139" s="25">
        <f>LN(②原始價格與FX!G127/②原始價格與FX!G126)</f>
        <v>-1.5228436992534417E-3</v>
      </c>
      <c r="F139" s="25">
        <f>LN(②原始價格與FX!H127/②原始價格與FX!H126)</f>
        <v>2.0512002687290303E-3</v>
      </c>
      <c r="G139" s="25">
        <f t="shared" si="3"/>
        <v>-5.2046895055594809E-2</v>
      </c>
      <c r="H139" s="26">
        <f t="shared" si="4"/>
        <v>-3.3017240071291878E-2</v>
      </c>
      <c r="I139" s="26">
        <f t="shared" si="5"/>
        <v>-1.1036231270303308E-2</v>
      </c>
      <c r="J139" s="28">
        <f>G139*①基本設定!$G$5+H139*①基本設定!$G$6+I139*①基本設定!$G$7</f>
        <v>-79153.236099101705</v>
      </c>
    </row>
    <row r="140" spans="1:10" x14ac:dyDescent="0.25">
      <c r="A140" s="3" t="s">
        <v>179</v>
      </c>
      <c r="B140" s="25">
        <f>LN(②原始價格與FX!B128/②原始價格與FX!B127)</f>
        <v>1.7203578455049131E-2</v>
      </c>
      <c r="C140" s="25">
        <f>LN(②原始價格與FX!C128/②原始價格與FX!C127)</f>
        <v>-1.2666224735582043E-2</v>
      </c>
      <c r="D140" s="25">
        <f>LN(②原始價格與FX!D128/②原始價格與FX!D127)</f>
        <v>-1.6401802002968997E-2</v>
      </c>
      <c r="E140" s="25">
        <f>LN(②原始價格與FX!G128/②原始價格與FX!G127)</f>
        <v>-6.1280708306179262E-4</v>
      </c>
      <c r="F140" s="25">
        <f>LN(②原始價格與FX!H128/②原始價格與FX!H127)</f>
        <v>-1.6084285103332055E-3</v>
      </c>
      <c r="G140" s="25">
        <f t="shared" si="3"/>
        <v>1.7203578455049131E-2</v>
      </c>
      <c r="H140" s="26">
        <f t="shared" si="4"/>
        <v>-1.3279031818643837E-2</v>
      </c>
      <c r="I140" s="26">
        <f t="shared" si="5"/>
        <v>-1.8010230513302201E-2</v>
      </c>
      <c r="J140" s="27">
        <f>G140*①基本設定!$G$5+H140*①基本設定!$G$6+I140*①基本設定!$G$7</f>
        <v>749.93557986234896</v>
      </c>
    </row>
    <row r="141" spans="1:10" x14ac:dyDescent="0.25">
      <c r="A141" s="3" t="s">
        <v>180</v>
      </c>
      <c r="B141" s="25">
        <f>LN(②原始價格與FX!B129/②原始價格與FX!B128)</f>
        <v>3.5383009572110935E-2</v>
      </c>
      <c r="C141" s="25">
        <f>LN(②原始價格與FX!C129/②原始價格與FX!C128)</f>
        <v>-3.4005153312679816E-2</v>
      </c>
      <c r="D141" s="25">
        <f>LN(②原始價格與FX!D129/②原始價格與FX!D128)</f>
        <v>-8.490151366496404E-3</v>
      </c>
      <c r="E141" s="25">
        <f>LN(②原始價格與FX!G129/②原始價格與FX!G128)</f>
        <v>2.6447582436020627E-3</v>
      </c>
      <c r="F141" s="25">
        <f>LN(②原始價格與FX!H129/②原始價格與FX!H128)</f>
        <v>-3.386144244035735E-3</v>
      </c>
      <c r="G141" s="25">
        <f t="shared" si="3"/>
        <v>3.5383009572110935E-2</v>
      </c>
      <c r="H141" s="26">
        <f t="shared" si="4"/>
        <v>-3.1360395069077757E-2</v>
      </c>
      <c r="I141" s="26">
        <f t="shared" si="5"/>
        <v>-1.1876295610532139E-2</v>
      </c>
      <c r="J141" s="28">
        <f>G141*①基本設定!$G$5+H141*①基本設定!$G$6+I141*①基本設定!$G$7</f>
        <v>-2393.7963373983885</v>
      </c>
    </row>
    <row r="142" spans="1:10" x14ac:dyDescent="0.25">
      <c r="A142" s="3" t="s">
        <v>181</v>
      </c>
      <c r="B142" s="25">
        <f>LN(②原始價格與FX!B130/②原始價格與FX!B129)</f>
        <v>-1.2885981906802391E-2</v>
      </c>
      <c r="C142" s="25">
        <f>LN(②原始價格與FX!C130/②原始價格與FX!C129)</f>
        <v>-1.0175479415533175E-2</v>
      </c>
      <c r="D142" s="25">
        <f>LN(②原始價格與FX!D130/②原始價格與FX!D129)</f>
        <v>-1.1745547671441689E-2</v>
      </c>
      <c r="E142" s="25">
        <f>LN(②原始價格與FX!G130/②原始價格與FX!G129)</f>
        <v>-5.9143708750743519E-3</v>
      </c>
      <c r="F142" s="25">
        <f>LN(②原始價格與FX!H130/②原始價格與FX!H129)</f>
        <v>1.6541933529369318E-3</v>
      </c>
      <c r="G142" s="25">
        <f t="shared" si="3"/>
        <v>-1.2885981906802391E-2</v>
      </c>
      <c r="H142" s="26">
        <f t="shared" si="4"/>
        <v>-1.6089850290607527E-2</v>
      </c>
      <c r="I142" s="26">
        <f t="shared" si="5"/>
        <v>-1.0091354318504758E-2</v>
      </c>
      <c r="J142" s="28">
        <f>G142*①基本設定!$G$5+H142*①基本設定!$G$6+I142*①基本設定!$G$7</f>
        <v>-27914.822374321953</v>
      </c>
    </row>
    <row r="143" spans="1:10" x14ac:dyDescent="0.25">
      <c r="A143" s="3" t="s">
        <v>182</v>
      </c>
      <c r="B143" s="25">
        <f>LN(②原始價格與FX!B131/②原始價格與FX!B130)</f>
        <v>1.3600262445330746E-2</v>
      </c>
      <c r="C143" s="25">
        <f>LN(②原始價格與FX!C131/②原始價格與FX!C130)</f>
        <v>2.0556119044959121E-2</v>
      </c>
      <c r="D143" s="25">
        <f>LN(②原始價格與FX!D131/②原始價格與FX!D130)</f>
        <v>7.2539929304062362E-2</v>
      </c>
      <c r="E143" s="25">
        <f>LN(②原始價格與FX!G131/②原始價格與FX!G130)</f>
        <v>-3.7211660491320653E-3</v>
      </c>
      <c r="F143" s="25">
        <f>LN(②原始價格與FX!H131/②原始價格與FX!H130)</f>
        <v>5.2392948301771124E-4</v>
      </c>
      <c r="G143" s="25">
        <f t="shared" si="3"/>
        <v>1.3600262445330746E-2</v>
      </c>
      <c r="H143" s="26">
        <f t="shared" si="4"/>
        <v>1.6834952995827056E-2</v>
      </c>
      <c r="I143" s="26">
        <f t="shared" si="5"/>
        <v>7.3063858787080077E-2</v>
      </c>
      <c r="J143" s="27">
        <f>G143*①基本設定!$G$5+H143*①基本設定!$G$6+I143*①基本設定!$G$7</f>
        <v>29997.10211594588</v>
      </c>
    </row>
    <row r="144" spans="1:10" x14ac:dyDescent="0.25">
      <c r="A144" s="3" t="s">
        <v>183</v>
      </c>
      <c r="B144" s="25">
        <f>LN(②原始價格與FX!B132/②原始價格與FX!B131)</f>
        <v>3.6765691403263315E-2</v>
      </c>
      <c r="C144" s="25">
        <f>LN(②原始價格與FX!C132/②原始價格與FX!C131)</f>
        <v>9.4037039106951107E-3</v>
      </c>
      <c r="D144" s="25">
        <f>LN(②原始價格與FX!D132/②原始價格與FX!D131)</f>
        <v>1.3774577718383528E-2</v>
      </c>
      <c r="E144" s="25">
        <f>LN(②原始價格與FX!G132/②原始價格與FX!G131)</f>
        <v>3.1302256032761369E-3</v>
      </c>
      <c r="F144" s="25">
        <f>LN(②原始價格與FX!H132/②原始價格與FX!H131)</f>
        <v>-3.673284046340361E-3</v>
      </c>
      <c r="G144" s="25">
        <f t="shared" ref="G144:G207" si="6">B144</f>
        <v>3.6765691403263315E-2</v>
      </c>
      <c r="H144" s="26">
        <f t="shared" ref="H144:H207" si="7">C144+E144</f>
        <v>1.2533929513971247E-2</v>
      </c>
      <c r="I144" s="26">
        <f t="shared" ref="I144:I207" si="8">D144+F144</f>
        <v>1.0101293672043167E-2</v>
      </c>
      <c r="J144" s="27">
        <f>G144*①基本設定!$G$5+H144*①基本設定!$G$6+I144*①基本設定!$G$7</f>
        <v>44711.554131064564</v>
      </c>
    </row>
    <row r="145" spans="1:10" x14ac:dyDescent="0.25">
      <c r="A145" s="3" t="s">
        <v>184</v>
      </c>
      <c r="B145" s="25">
        <f>LN(②原始價格與FX!B133/②原始價格與FX!B132)</f>
        <v>2.2032340895134242E-2</v>
      </c>
      <c r="C145" s="25">
        <f>LN(②原始價格與FX!C133/②原始價格與FX!C132)</f>
        <v>5.2574524543599142E-2</v>
      </c>
      <c r="D145" s="25">
        <f>LN(②原始價格與FX!D133/②原始價格與FX!D132)</f>
        <v>1.1426604482923382E-2</v>
      </c>
      <c r="E145" s="25">
        <f>LN(②原始價格與FX!G133/②原始價格與FX!G132)</f>
        <v>-1.9146195044088808E-3</v>
      </c>
      <c r="F145" s="25">
        <f>LN(②原始價格與FX!H133/②原始價格與FX!H132)</f>
        <v>-5.7997039659124817E-3</v>
      </c>
      <c r="G145" s="25">
        <f t="shared" si="6"/>
        <v>2.2032340895134242E-2</v>
      </c>
      <c r="H145" s="26">
        <f t="shared" si="7"/>
        <v>5.065990503919026E-2</v>
      </c>
      <c r="I145" s="26">
        <f t="shared" si="8"/>
        <v>5.6269005170109E-3</v>
      </c>
      <c r="J145" s="27">
        <f>G145*①基本設定!$G$5+H145*①基本設定!$G$6+I145*①基本設定!$G$7</f>
        <v>71689.883197702307</v>
      </c>
    </row>
    <row r="146" spans="1:10" x14ac:dyDescent="0.25">
      <c r="A146" s="3" t="s">
        <v>185</v>
      </c>
      <c r="B146" s="25">
        <f>LN(②原始價格與FX!B134/②原始價格與FX!B133)</f>
        <v>9.0546630230200573E-3</v>
      </c>
      <c r="C146" s="25">
        <f>LN(②原始價格與FX!C134/②原始價格與FX!C133)</f>
        <v>0</v>
      </c>
      <c r="D146" s="25">
        <f>LN(②原始價格與FX!D134/②原始價格與FX!D133)</f>
        <v>2.7398427801085121E-2</v>
      </c>
      <c r="E146" s="25">
        <f>LN(②原始價格與FX!G134/②原始價格與FX!G133)</f>
        <v>-4.3137100701423338E-4</v>
      </c>
      <c r="F146" s="25">
        <f>LN(②原始價格與FX!H134/②原始價格與FX!H133)</f>
        <v>-3.3817539919238537E-3</v>
      </c>
      <c r="G146" s="25">
        <f t="shared" si="6"/>
        <v>9.0546630230200573E-3</v>
      </c>
      <c r="H146" s="26">
        <f t="shared" si="7"/>
        <v>-4.3137100701423338E-4</v>
      </c>
      <c r="I146" s="26">
        <f t="shared" si="8"/>
        <v>2.4016673809161268E-2</v>
      </c>
      <c r="J146" s="27">
        <f>G146*①基本設定!$G$5+H146*①基本設定!$G$6+I146*①基本設定!$G$7</f>
        <v>7587.7109326803711</v>
      </c>
    </row>
    <row r="147" spans="1:10" x14ac:dyDescent="0.25">
      <c r="A147" s="3" t="s">
        <v>186</v>
      </c>
      <c r="B147" s="25">
        <f>LN(②原始價格與FX!B135/②原始價格與FX!B134)</f>
        <v>-2.6308775659487593E-2</v>
      </c>
      <c r="C147" s="25">
        <f>LN(②原始價格與FX!C135/②原始價格與FX!C134)</f>
        <v>-3.93155471553605E-3</v>
      </c>
      <c r="D147" s="25">
        <f>LN(②原始價格與FX!D135/②原始價格與FX!D134)</f>
        <v>-3.2831130546852647E-2</v>
      </c>
      <c r="E147" s="25">
        <f>LN(②原始價格與FX!G135/②原始價格與FX!G134)</f>
        <v>-5.762334767483111E-3</v>
      </c>
      <c r="F147" s="25">
        <f>LN(②原始價格與FX!H135/②原始價格與FX!H134)</f>
        <v>-1.3886054916603062E-3</v>
      </c>
      <c r="G147" s="25">
        <f t="shared" si="6"/>
        <v>-2.6308775659487593E-2</v>
      </c>
      <c r="H147" s="26">
        <f t="shared" si="7"/>
        <v>-9.6938894830191601E-3</v>
      </c>
      <c r="I147" s="26">
        <f t="shared" si="8"/>
        <v>-3.421973603851295E-2</v>
      </c>
      <c r="J147" s="28">
        <f>G147*①基本設定!$G$5+H147*①基本設定!$G$6+I147*①基本設定!$G$7</f>
        <v>-33046.359253377166</v>
      </c>
    </row>
    <row r="148" spans="1:10" x14ac:dyDescent="0.25">
      <c r="A148" s="3" t="s">
        <v>187</v>
      </c>
      <c r="B148" s="25">
        <f>LN(②原始價格與FX!B136/②原始價格與FX!B135)</f>
        <v>6.5486293857343093E-3</v>
      </c>
      <c r="C148" s="25">
        <f>LN(②原始價格與FX!C136/②原始價格與FX!C135)</f>
        <v>1.62872729310218E-2</v>
      </c>
      <c r="D148" s="25">
        <f>LN(②原始價格與FX!D136/②原始價格與FX!D135)</f>
        <v>-3.4002903662763346E-3</v>
      </c>
      <c r="E148" s="25">
        <f>LN(②原始價格與FX!G136/②原始價格與FX!G135)</f>
        <v>2.6917998808688791E-3</v>
      </c>
      <c r="F148" s="25">
        <f>LN(②原始價格與FX!H136/②原始價格與FX!H135)</f>
        <v>-5.4504980949008066E-3</v>
      </c>
      <c r="G148" s="25">
        <f t="shared" si="6"/>
        <v>6.5486293857343093E-3</v>
      </c>
      <c r="H148" s="26">
        <f t="shared" si="7"/>
        <v>1.8979072811890679E-2</v>
      </c>
      <c r="I148" s="26">
        <f t="shared" si="8"/>
        <v>-8.8507884611771417E-3</v>
      </c>
      <c r="J148" s="27">
        <f>G148*①基本設定!$G$5+H148*①基本設定!$G$6+I148*①基本設定!$G$7</f>
        <v>25273.036748666567</v>
      </c>
    </row>
    <row r="149" spans="1:10" x14ac:dyDescent="0.25">
      <c r="A149" s="3" t="s">
        <v>188</v>
      </c>
      <c r="B149" s="25">
        <f>LN(②原始價格與FX!B137/②原始價格與FX!B136)</f>
        <v>-3.6173449205889776E-3</v>
      </c>
      <c r="C149" s="25">
        <f>LN(②原始價格與FX!C137/②原始價格與FX!C136)</f>
        <v>1.9312951288680325E-2</v>
      </c>
      <c r="D149" s="25">
        <f>LN(②原始價格與FX!D137/②原始價格與FX!D136)</f>
        <v>1.8746439592243146E-3</v>
      </c>
      <c r="E149" s="25">
        <f>LN(②原始價格與FX!G137/②原始價格與FX!G136)</f>
        <v>4.0223178234297422E-4</v>
      </c>
      <c r="F149" s="25">
        <f>LN(②原始價格與FX!H137/②原始價格與FX!H136)</f>
        <v>-3.1691833987288853E-3</v>
      </c>
      <c r="G149" s="25">
        <f t="shared" si="6"/>
        <v>-3.6173449205889776E-3</v>
      </c>
      <c r="H149" s="26">
        <f t="shared" si="7"/>
        <v>1.9715183071023299E-2</v>
      </c>
      <c r="I149" s="26">
        <f t="shared" si="8"/>
        <v>-1.2945394395045707E-3</v>
      </c>
      <c r="J149" s="27">
        <f>G149*①基本設定!$G$5+H149*①基本設定!$G$6+I149*①基本設定!$G$7</f>
        <v>17396.42471384097</v>
      </c>
    </row>
    <row r="150" spans="1:10" x14ac:dyDescent="0.25">
      <c r="A150" s="3" t="s">
        <v>189</v>
      </c>
      <c r="B150" s="25">
        <f>LN(②原始價格與FX!B138/②原始價格與FX!B137)</f>
        <v>1.2383630336267628E-2</v>
      </c>
      <c r="C150" s="25">
        <f>LN(②原始價格與FX!C138/②原始價格與FX!C137)</f>
        <v>-8.0035215537572194E-5</v>
      </c>
      <c r="D150" s="25">
        <f>LN(②原始價格與FX!D138/②原始價格與FX!D137)</f>
        <v>-1.7289603393035386E-2</v>
      </c>
      <c r="E150" s="25">
        <f>LN(②原始價格與FX!G138/②原始價格與FX!G137)</f>
        <v>-5.8697072806532949E-3</v>
      </c>
      <c r="F150" s="25">
        <f>LN(②原始價格與FX!H138/②原始價格與FX!H137)</f>
        <v>5.1807196175469323E-3</v>
      </c>
      <c r="G150" s="25">
        <f t="shared" si="6"/>
        <v>1.2383630336267628E-2</v>
      </c>
      <c r="H150" s="26">
        <f t="shared" si="7"/>
        <v>-5.9497424961908671E-3</v>
      </c>
      <c r="I150" s="26">
        <f t="shared" si="8"/>
        <v>-1.2108883775488454E-2</v>
      </c>
      <c r="J150" s="27">
        <f>G150*①基本設定!$G$5+H150*①基本設定!$G$6+I150*①基本設定!$G$7</f>
        <v>4304.6534895999048</v>
      </c>
    </row>
    <row r="151" spans="1:10" x14ac:dyDescent="0.25">
      <c r="A151" s="3" t="s">
        <v>190</v>
      </c>
      <c r="B151" s="25">
        <f>LN(②原始價格與FX!B139/②原始價格與FX!B138)</f>
        <v>-7.3091357584035652E-3</v>
      </c>
      <c r="C151" s="25">
        <f>LN(②原始價格與FX!C139/②原始價格與FX!C138)</f>
        <v>3.4920188550415489E-2</v>
      </c>
      <c r="D151" s="25">
        <f>LN(②原始價格與FX!D139/②原始價格與FX!D138)</f>
        <v>9.1093542798669738E-4</v>
      </c>
      <c r="E151" s="25">
        <f>LN(②原始價格與FX!G139/②原始價格與FX!G138)</f>
        <v>1.07813419736077E-3</v>
      </c>
      <c r="F151" s="25">
        <f>LN(②原始價格與FX!H139/②原始價格與FX!H138)</f>
        <v>1.2302392830916076E-4</v>
      </c>
      <c r="G151" s="25">
        <f t="shared" si="6"/>
        <v>-7.3091357584035652E-3</v>
      </c>
      <c r="H151" s="26">
        <f t="shared" si="7"/>
        <v>3.5998322747776257E-2</v>
      </c>
      <c r="I151" s="26">
        <f t="shared" si="8"/>
        <v>1.0339593562958581E-3</v>
      </c>
      <c r="J151" s="27">
        <f>G151*①基本設定!$G$5+H151*①基本設定!$G$6+I151*①基本設定!$G$7</f>
        <v>31197.487230332776</v>
      </c>
    </row>
    <row r="152" spans="1:10" x14ac:dyDescent="0.25">
      <c r="A152" s="3" t="s">
        <v>191</v>
      </c>
      <c r="B152" s="25">
        <f>LN(②原始價格與FX!B140/②原始價格與FX!B139)</f>
        <v>2.2440168991128451E-3</v>
      </c>
      <c r="C152" s="25">
        <f>LN(②原始價格與FX!C140/②原始價格與FX!C139)</f>
        <v>2.2053675240926107E-2</v>
      </c>
      <c r="D152" s="25">
        <f>LN(②原始價格與FX!D140/②原始價格與FX!D139)</f>
        <v>1.3728687817955894E-2</v>
      </c>
      <c r="E152" s="25">
        <f>LN(②原始價格與FX!G140/②原始價格與FX!G139)</f>
        <v>-2.5992989175183975E-3</v>
      </c>
      <c r="F152" s="25">
        <f>LN(②原始價格與FX!H140/②原始價格與FX!H139)</f>
        <v>-7.8215448965894569E-3</v>
      </c>
      <c r="G152" s="25">
        <f t="shared" si="6"/>
        <v>2.2440168991128451E-3</v>
      </c>
      <c r="H152" s="26">
        <f t="shared" si="7"/>
        <v>1.9454376323407709E-2</v>
      </c>
      <c r="I152" s="26">
        <f t="shared" si="8"/>
        <v>5.9071429213664369E-3</v>
      </c>
      <c r="J152" s="27">
        <f>G152*①基本設定!$G$5+H152*①基本設定!$G$6+I152*①基本設定!$G$7</f>
        <v>22235.418913653873</v>
      </c>
    </row>
    <row r="153" spans="1:10" x14ac:dyDescent="0.25">
      <c r="A153" s="3" t="s">
        <v>192</v>
      </c>
      <c r="B153" s="25">
        <f>LN(②原始價格與FX!B141/②原始價格與FX!B140)</f>
        <v>1.1993156996302323E-2</v>
      </c>
      <c r="C153" s="25">
        <f>LN(②原始價格與FX!C141/②原始價格與FX!C140)</f>
        <v>4.3641137251543047E-2</v>
      </c>
      <c r="D153" s="25">
        <f>LN(②原始價格與FX!D141/②原始價格與FX!D140)</f>
        <v>3.1741043974378033E-2</v>
      </c>
      <c r="E153" s="25">
        <f>LN(②原始價格與FX!G141/②原始價格與FX!G140)</f>
        <v>2.3880516855256722E-3</v>
      </c>
      <c r="F153" s="25">
        <f>LN(②原始價格與FX!H141/②原始價格與FX!H140)</f>
        <v>-3.2702088545546247E-3</v>
      </c>
      <c r="G153" s="25">
        <f t="shared" si="6"/>
        <v>1.1993156996302323E-2</v>
      </c>
      <c r="H153" s="26">
        <f t="shared" si="7"/>
        <v>4.602918893706872E-2</v>
      </c>
      <c r="I153" s="26">
        <f t="shared" si="8"/>
        <v>2.8470835119823408E-2</v>
      </c>
      <c r="J153" s="27">
        <f>G153*①基本設定!$G$5+H153*①基本設定!$G$6+I153*①基本設定!$G$7</f>
        <v>58505.82601628112</v>
      </c>
    </row>
    <row r="154" spans="1:10" x14ac:dyDescent="0.25">
      <c r="A154" s="3" t="s">
        <v>193</v>
      </c>
      <c r="B154" s="25">
        <f>LN(②原始價格與FX!B142/②原始價格與FX!B141)</f>
        <v>-1.4972422144173287E-2</v>
      </c>
      <c r="C154" s="25">
        <f>LN(②原始價格與FX!C142/②原始價格與FX!C141)</f>
        <v>8.576011051438728E-3</v>
      </c>
      <c r="D154" s="25">
        <f>LN(②原始價格與FX!D142/②原始價格與FX!D141)</f>
        <v>-1.247566346553817E-2</v>
      </c>
      <c r="E154" s="25">
        <f>LN(②原始價格與FX!G142/②原始價格與FX!G141)</f>
        <v>5.1764613083996004E-3</v>
      </c>
      <c r="F154" s="25">
        <f>LN(②原始價格與FX!H142/②原始價格與FX!H141)</f>
        <v>-3.3225381508037604E-3</v>
      </c>
      <c r="G154" s="25">
        <f t="shared" si="6"/>
        <v>-1.4972422144173287E-2</v>
      </c>
      <c r="H154" s="26">
        <f t="shared" si="7"/>
        <v>1.3752472359838327E-2</v>
      </c>
      <c r="I154" s="26">
        <f t="shared" si="8"/>
        <v>-1.579820161634193E-2</v>
      </c>
      <c r="J154" s="27">
        <f>G154*①基本設定!$G$5+H154*①基本設定!$G$6+I154*①基本設定!$G$7</f>
        <v>1285.315576536849</v>
      </c>
    </row>
    <row r="155" spans="1:10" x14ac:dyDescent="0.25">
      <c r="A155" s="3" t="s">
        <v>194</v>
      </c>
      <c r="B155" s="25">
        <f>LN(②原始價格與FX!B143/②原始價格與FX!B142)</f>
        <v>-5.7619399228639985E-3</v>
      </c>
      <c r="C155" s="25">
        <f>LN(②原始價格與FX!C143/②原始價格與FX!C142)</f>
        <v>1.7745527095112974E-2</v>
      </c>
      <c r="D155" s="25">
        <f>LN(②原始價格與FX!D143/②原始價格與FX!D142)</f>
        <v>5.0727061964332748E-3</v>
      </c>
      <c r="E155" s="25">
        <f>LN(②原始價格與FX!G143/②原始價格與FX!G142)</f>
        <v>-1.3777717639162758E-3</v>
      </c>
      <c r="F155" s="25">
        <f>LN(②原始價格與FX!H143/②原始價格與FX!H142)</f>
        <v>-9.9891792207082854E-4</v>
      </c>
      <c r="G155" s="25">
        <f t="shared" si="6"/>
        <v>-5.7619399228639985E-3</v>
      </c>
      <c r="H155" s="26">
        <f t="shared" si="7"/>
        <v>1.6367755331196696E-2</v>
      </c>
      <c r="I155" s="26">
        <f t="shared" si="8"/>
        <v>4.073788274362446E-3</v>
      </c>
      <c r="J155" s="27">
        <f>G155*①基本設定!$G$5+H155*①基本設定!$G$6+I155*①基本設定!$G$7</f>
        <v>12131.451315703793</v>
      </c>
    </row>
    <row r="156" spans="1:10" x14ac:dyDescent="0.25">
      <c r="A156" s="3" t="s">
        <v>195</v>
      </c>
      <c r="B156" s="25">
        <f>LN(②原始價格與FX!B144/②原始價格與FX!B143)</f>
        <v>-4.6868636997695464E-3</v>
      </c>
      <c r="C156" s="25">
        <f>LN(②原始價格與FX!C144/②原始價格與FX!C143)</f>
        <v>-1.0203447128309428E-2</v>
      </c>
      <c r="D156" s="25">
        <f>LN(②原始價格與FX!D144/②原始價格與FX!D143)</f>
        <v>8.3632023990464302E-4</v>
      </c>
      <c r="E156" s="25">
        <f>LN(②原始價格與FX!G144/②原始價格與FX!G143)</f>
        <v>-1.0681642326107821E-3</v>
      </c>
      <c r="F156" s="25">
        <f>LN(②原始價格與FX!H144/②原始價格與FX!H143)</f>
        <v>1.2900811210996329E-3</v>
      </c>
      <c r="G156" s="25">
        <f t="shared" si="6"/>
        <v>-4.6868636997695464E-3</v>
      </c>
      <c r="H156" s="26">
        <f t="shared" si="7"/>
        <v>-1.1271611360920211E-2</v>
      </c>
      <c r="I156" s="26">
        <f t="shared" si="8"/>
        <v>2.1264013610042759E-3</v>
      </c>
      <c r="J156" s="28">
        <f>G156*①基本設定!$G$5+H156*①基本設定!$G$6+I156*①基本設定!$G$7</f>
        <v>-15728.721408426856</v>
      </c>
    </row>
    <row r="157" spans="1:10" x14ac:dyDescent="0.25">
      <c r="A157" s="3" t="s">
        <v>196</v>
      </c>
      <c r="B157" s="25">
        <f>LN(②原始價格與FX!B145/②原始價格與FX!B144)</f>
        <v>-4.2863331806853779E-3</v>
      </c>
      <c r="C157" s="25">
        <f>LN(②原始價格與FX!C145/②原始價格與FX!C144)</f>
        <v>1.6352987723771906E-2</v>
      </c>
      <c r="D157" s="25">
        <f>LN(②原始價格與FX!D145/②原始價格與FX!D144)</f>
        <v>7.8313593541310313E-3</v>
      </c>
      <c r="E157" s="25">
        <f>LN(②原始價格與FX!G145/②原始價格與FX!G144)</f>
        <v>-5.2534484598792529E-4</v>
      </c>
      <c r="F157" s="25">
        <f>LN(②原始價格與FX!H145/②原始價格與FX!H144)</f>
        <v>1.6634091609030933E-4</v>
      </c>
      <c r="G157" s="25">
        <f t="shared" si="6"/>
        <v>-4.2863331806853779E-3</v>
      </c>
      <c r="H157" s="26">
        <f t="shared" si="7"/>
        <v>1.582764287778398E-2</v>
      </c>
      <c r="I157" s="26">
        <f t="shared" si="8"/>
        <v>7.99770027022134E-3</v>
      </c>
      <c r="J157" s="27">
        <f>G157*①基本設定!$G$5+H157*①基本設定!$G$6+I157*①基本設定!$G$7</f>
        <v>12879.216790246943</v>
      </c>
    </row>
    <row r="158" spans="1:10" x14ac:dyDescent="0.25">
      <c r="A158" s="3" t="s">
        <v>197</v>
      </c>
      <c r="B158" s="25">
        <f>LN(②原始價格與FX!B146/②原始價格與FX!B145)</f>
        <v>-1.9736663017148621E-3</v>
      </c>
      <c r="C158" s="25">
        <f>LN(②原始價格與FX!C146/②原始價格與FX!C145)</f>
        <v>5.3309127756062946E-2</v>
      </c>
      <c r="D158" s="25">
        <f>LN(②原始價格與FX!D146/②原始價格與FX!D145)</f>
        <v>1.8626301527562977E-2</v>
      </c>
      <c r="E158" s="25">
        <f>LN(②原始價格與FX!G146/②原始價格與FX!G145)</f>
        <v>-2.0490369053410675E-3</v>
      </c>
      <c r="F158" s="25">
        <f>LN(②原始價格與FX!H146/②原始價格與FX!H145)</f>
        <v>5.6805377173674166E-3</v>
      </c>
      <c r="G158" s="25">
        <f t="shared" si="6"/>
        <v>-1.9736663017148621E-3</v>
      </c>
      <c r="H158" s="26">
        <f t="shared" si="7"/>
        <v>5.1260090850721876E-2</v>
      </c>
      <c r="I158" s="26">
        <f t="shared" si="8"/>
        <v>2.4306839244930392E-2</v>
      </c>
      <c r="J158" s="27">
        <f>G158*①基本設定!$G$5+H158*①基本設定!$G$6+I158*①基本設定!$G$7</f>
        <v>51914.935300557037</v>
      </c>
    </row>
    <row r="159" spans="1:10" x14ac:dyDescent="0.25">
      <c r="A159" s="3" t="s">
        <v>198</v>
      </c>
      <c r="B159" s="25">
        <f>LN(②原始價格與FX!B147/②原始價格與FX!B146)</f>
        <v>-1.3367910575516312E-2</v>
      </c>
      <c r="C159" s="25">
        <f>LN(②原始價格與FX!C147/②原始價格與FX!C146)</f>
        <v>-2.4204489414254488E-2</v>
      </c>
      <c r="D159" s="25">
        <f>LN(②原始價格與FX!D147/②原始價格與FX!D146)</f>
        <v>-3.080618764156454E-2</v>
      </c>
      <c r="E159" s="25">
        <f>LN(②原始價格與FX!G147/②原始價格與FX!G146)</f>
        <v>-2.7552974421930839E-5</v>
      </c>
      <c r="F159" s="25">
        <f>LN(②原始價格與FX!H147/②原始價格與FX!H146)</f>
        <v>-1.6966340375784484E-3</v>
      </c>
      <c r="G159" s="25">
        <f t="shared" si="6"/>
        <v>-1.3367910575516312E-2</v>
      </c>
      <c r="H159" s="26">
        <f t="shared" si="7"/>
        <v>-2.423204238867642E-2</v>
      </c>
      <c r="I159" s="26">
        <f t="shared" si="8"/>
        <v>-3.2502821679142986E-2</v>
      </c>
      <c r="J159" s="28">
        <f>G159*①基本設定!$G$5+H159*①基本設定!$G$6+I159*①基本設定!$G$7</f>
        <v>-37048.16753026376</v>
      </c>
    </row>
    <row r="160" spans="1:10" x14ac:dyDescent="0.25">
      <c r="A160" s="3" t="s">
        <v>199</v>
      </c>
      <c r="B160" s="25">
        <f>LN(②原始價格與FX!B148/②原始價格與FX!B147)</f>
        <v>-2.6402739269860396E-2</v>
      </c>
      <c r="C160" s="25">
        <f>LN(②原始價格與FX!C148/②原始價格與FX!C147)</f>
        <v>-8.0286043050404217E-3</v>
      </c>
      <c r="D160" s="25">
        <f>LN(②原始價格與FX!D148/②原始價格與FX!D147)</f>
        <v>-6.0756330180698429E-3</v>
      </c>
      <c r="E160" s="25">
        <f>LN(②原始價格與FX!G148/②原始價格與FX!G147)</f>
        <v>1.8368733966034371E-5</v>
      </c>
      <c r="F160" s="25">
        <f>LN(②原始價格與FX!H148/②原始價格與FX!H147)</f>
        <v>-4.1918341485895965E-3</v>
      </c>
      <c r="G160" s="25">
        <f t="shared" si="6"/>
        <v>-2.6402739269860396E-2</v>
      </c>
      <c r="H160" s="26">
        <f t="shared" si="7"/>
        <v>-8.0102355710743867E-3</v>
      </c>
      <c r="I160" s="26">
        <f t="shared" si="8"/>
        <v>-1.0267467166659439E-2</v>
      </c>
      <c r="J160" s="28">
        <f>G160*①基本設定!$G$5+H160*①基本設定!$G$6+I160*①基本設定!$G$7</f>
        <v>-31111.097303158662</v>
      </c>
    </row>
    <row r="161" spans="1:10" x14ac:dyDescent="0.25">
      <c r="A161" s="3" t="s">
        <v>200</v>
      </c>
      <c r="B161" s="25">
        <f>LN(②原始價格與FX!B149/②原始價格與FX!B148)</f>
        <v>1.2926183714090647E-2</v>
      </c>
      <c r="C161" s="25">
        <f>LN(②原始價格與FX!C149/②原始價格與FX!C148)</f>
        <v>-1.3294165163780828E-2</v>
      </c>
      <c r="D161" s="25">
        <f>LN(②原始價格與FX!D149/②原始價格與FX!D148)</f>
        <v>-1.0330733044051929E-2</v>
      </c>
      <c r="E161" s="25">
        <f>LN(②原始價格與FX!G149/②原始價格與FX!G148)</f>
        <v>-1.5165560240888933E-3</v>
      </c>
      <c r="F161" s="25">
        <f>LN(②原始價格與FX!H149/②原始價格與FX!H148)</f>
        <v>6.2366174609465878E-4</v>
      </c>
      <c r="G161" s="25">
        <f t="shared" si="6"/>
        <v>1.2926183714090647E-2</v>
      </c>
      <c r="H161" s="26">
        <f t="shared" si="7"/>
        <v>-1.481072118786972E-2</v>
      </c>
      <c r="I161" s="26">
        <f t="shared" si="8"/>
        <v>-9.7070712979572694E-3</v>
      </c>
      <c r="J161" s="28">
        <f>G161*①基本設定!$G$5+H161*①基本設定!$G$6+I161*①基本設定!$G$7</f>
        <v>-4423.9136397843695</v>
      </c>
    </row>
    <row r="162" spans="1:10" x14ac:dyDescent="0.25">
      <c r="A162" s="3" t="s">
        <v>201</v>
      </c>
      <c r="B162" s="25">
        <f>LN(②原始價格與FX!B150/②原始價格與FX!B149)</f>
        <v>-1.0696691906569597E-2</v>
      </c>
      <c r="C162" s="25">
        <f>LN(②原始價格與FX!C150/②原始價格與FX!C149)</f>
        <v>2.6007572822686415E-2</v>
      </c>
      <c r="D162" s="25">
        <f>LN(②原始價格與FX!D150/②原始價格與FX!D149)</f>
        <v>7.2689306359996304E-3</v>
      </c>
      <c r="E162" s="25">
        <f>LN(②原始價格與FX!G150/②原始價格與FX!G149)</f>
        <v>5.5480544151560588E-4</v>
      </c>
      <c r="F162" s="25">
        <f>LN(②原始價格與FX!H150/②原始價格與FX!H149)</f>
        <v>6.7934481060846303E-3</v>
      </c>
      <c r="G162" s="25">
        <f t="shared" si="6"/>
        <v>-1.0696691906569597E-2</v>
      </c>
      <c r="H162" s="26">
        <f t="shared" si="7"/>
        <v>2.6562378264202022E-2</v>
      </c>
      <c r="I162" s="26">
        <f t="shared" si="8"/>
        <v>1.4062378742084261E-2</v>
      </c>
      <c r="J162" s="27">
        <f>G162*①基本設定!$G$5+H162*①基本設定!$G$6+I162*①基本設定!$G$7</f>
        <v>18614.325017245697</v>
      </c>
    </row>
    <row r="163" spans="1:10" x14ac:dyDescent="0.25">
      <c r="A163" s="3" t="s">
        <v>202</v>
      </c>
      <c r="B163" s="25">
        <f>LN(②原始價格與FX!B151/②原始價格與FX!B150)</f>
        <v>9.6960029430377005E-3</v>
      </c>
      <c r="C163" s="25">
        <f>LN(②原始價格與FX!C151/②原始價格與FX!C150)</f>
        <v>2.2338878322449105E-2</v>
      </c>
      <c r="D163" s="25">
        <f>LN(②原始價格與FX!D151/②原始價格與FX!D150)</f>
        <v>1.1653109795216733E-2</v>
      </c>
      <c r="E163" s="25">
        <f>LN(②原始價格與FX!G151/②原始價格與FX!G150)</f>
        <v>-3.7698896604401478E-4</v>
      </c>
      <c r="F163" s="25">
        <f>LN(②原始價格與FX!H151/②原始價格與FX!H150)</f>
        <v>1.1140223543974924E-3</v>
      </c>
      <c r="G163" s="25">
        <f t="shared" si="6"/>
        <v>9.6960029430377005E-3</v>
      </c>
      <c r="H163" s="26">
        <f t="shared" si="7"/>
        <v>2.1961889356405091E-2</v>
      </c>
      <c r="I163" s="26">
        <f t="shared" si="8"/>
        <v>1.2767132149614224E-2</v>
      </c>
      <c r="J163" s="27">
        <f>G163*①基本設定!$G$5+H163*①基本設定!$G$6+I163*①基本設定!$G$7</f>
        <v>31316.655530537213</v>
      </c>
    </row>
    <row r="164" spans="1:10" x14ac:dyDescent="0.25">
      <c r="A164" s="3" t="s">
        <v>203</v>
      </c>
      <c r="B164" s="25">
        <f>LN(②原始價格與FX!B152/②原始價格與FX!B151)</f>
        <v>-3.0475637866015981E-4</v>
      </c>
      <c r="C164" s="25">
        <f>LN(②原始價格與FX!C152/②原始價格與FX!C151)</f>
        <v>-6.946203378333602E-3</v>
      </c>
      <c r="D164" s="25">
        <f>LN(②原始價格與FX!D152/②原始價格與FX!D151)</f>
        <v>-7.3651889030867676E-3</v>
      </c>
      <c r="E164" s="25">
        <f>LN(②原始價格與FX!G152/②原始價格與FX!G151)</f>
        <v>-3.1225127036412742E-3</v>
      </c>
      <c r="F164" s="25">
        <f>LN(②原始價格與FX!H152/②原始價格與FX!H151)</f>
        <v>4.6900155907459605E-3</v>
      </c>
      <c r="G164" s="25">
        <f t="shared" si="6"/>
        <v>-3.0475637866015981E-4</v>
      </c>
      <c r="H164" s="26">
        <f t="shared" si="7"/>
        <v>-1.0068716081974877E-2</v>
      </c>
      <c r="I164" s="26">
        <f t="shared" si="8"/>
        <v>-2.6751733123408072E-3</v>
      </c>
      <c r="J164" s="28">
        <f>G164*①基本設定!$G$5+H164*①基本設定!$G$6+I164*①基本設定!$G$7</f>
        <v>-10768.555535801506</v>
      </c>
    </row>
    <row r="165" spans="1:10" x14ac:dyDescent="0.25">
      <c r="A165" s="3" t="s">
        <v>204</v>
      </c>
      <c r="B165" s="25">
        <f>LN(②原始價格與FX!B153/②原始價格與FX!B152)</f>
        <v>1.1610861974394686E-4</v>
      </c>
      <c r="C165" s="25">
        <f>LN(②原始價格與FX!C153/②原始價格與FX!C152)</f>
        <v>-3.508013553576151E-3</v>
      </c>
      <c r="D165" s="25">
        <f>LN(②原始價格與FX!D153/②原始價格與FX!D152)</f>
        <v>-5.2567567502475251E-3</v>
      </c>
      <c r="E165" s="25">
        <f>LN(②原始價格與FX!G153/②原始價格與FX!G152)</f>
        <v>-9.7220905228101169E-4</v>
      </c>
      <c r="F165" s="25">
        <f>LN(②原始價格與FX!H153/②原始價格與FX!H152)</f>
        <v>7.6866843431969058E-3</v>
      </c>
      <c r="G165" s="25">
        <f t="shared" si="6"/>
        <v>1.1610861974394686E-4</v>
      </c>
      <c r="H165" s="26">
        <f t="shared" si="7"/>
        <v>-4.4802226058571629E-3</v>
      </c>
      <c r="I165" s="26">
        <f t="shared" si="8"/>
        <v>2.4299275929493807E-3</v>
      </c>
      <c r="J165" s="28">
        <f>G165*①基本設定!$G$5+H165*①基本設定!$G$6+I165*①基本設定!$G$7</f>
        <v>-4535.6815485422221</v>
      </c>
    </row>
    <row r="166" spans="1:10" x14ac:dyDescent="0.25">
      <c r="A166" s="3" t="s">
        <v>205</v>
      </c>
      <c r="B166" s="25">
        <f>LN(②原始價格與FX!B154/②原始價格與FX!B153)</f>
        <v>3.9036496089236303E-2</v>
      </c>
      <c r="C166" s="25">
        <f>LN(②原始價格與FX!C154/②原始價格與FX!C153)</f>
        <v>-1.1783061187251332E-2</v>
      </c>
      <c r="D166" s="25">
        <f>LN(②原始價格與FX!D154/②原始價格與FX!D153)</f>
        <v>-3.9585884828419723E-2</v>
      </c>
      <c r="E166" s="25">
        <f>LN(②原始價格與FX!G154/②原始價格與FX!G153)</f>
        <v>-5.4631451658266848E-3</v>
      </c>
      <c r="F166" s="25">
        <f>LN(②原始價格與FX!H154/②原始價格與FX!H153)</f>
        <v>5.4024543933909727E-3</v>
      </c>
      <c r="G166" s="25">
        <f t="shared" si="6"/>
        <v>3.9036496089236303E-2</v>
      </c>
      <c r="H166" s="26">
        <f t="shared" si="7"/>
        <v>-1.7246206353078018E-2</v>
      </c>
      <c r="I166" s="26">
        <f t="shared" si="8"/>
        <v>-3.418343043502875E-2</v>
      </c>
      <c r="J166" s="27">
        <f>G166*①基本設定!$G$5+H166*①基本設定!$G$6+I166*①基本設定!$G$7</f>
        <v>15183.567931895306</v>
      </c>
    </row>
    <row r="167" spans="1:10" x14ac:dyDescent="0.25">
      <c r="A167" s="3" t="s">
        <v>206</v>
      </c>
      <c r="B167" s="25">
        <f>LN(②原始價格與FX!B155/②原始價格與FX!B154)</f>
        <v>8.4639676962187677E-3</v>
      </c>
      <c r="C167" s="25">
        <f>LN(②原始價格與FX!C155/②原始價格與FX!C154)</f>
        <v>2.6500690344205959E-2</v>
      </c>
      <c r="D167" s="25">
        <f>LN(②原始價格與FX!D155/②原始價格與FX!D154)</f>
        <v>1.7841966929142011E-3</v>
      </c>
      <c r="E167" s="25">
        <f>LN(②原始價格與FX!G155/②原始價格與FX!G154)</f>
        <v>-8.2360085405551843E-4</v>
      </c>
      <c r="F167" s="25">
        <f>LN(②原始價格與FX!H155/②原始價格與FX!H154)</f>
        <v>-1.1349358763535567E-3</v>
      </c>
      <c r="G167" s="25">
        <f t="shared" si="6"/>
        <v>8.4639676962187677E-3</v>
      </c>
      <c r="H167" s="26">
        <f t="shared" si="7"/>
        <v>2.5677089490150441E-2</v>
      </c>
      <c r="I167" s="26">
        <f t="shared" si="8"/>
        <v>6.4926081656064443E-4</v>
      </c>
      <c r="J167" s="27">
        <f>G167*①基本設定!$G$5+H167*①基本設定!$G$6+I167*①基本設定!$G$7</f>
        <v>33991.669234410343</v>
      </c>
    </row>
    <row r="168" spans="1:10" x14ac:dyDescent="0.25">
      <c r="A168" s="3" t="s">
        <v>207</v>
      </c>
      <c r="B168" s="25">
        <f>LN(②原始價格與FX!B156/②原始價格與FX!B155)</f>
        <v>1.7627463474519958E-2</v>
      </c>
      <c r="C168" s="25">
        <f>LN(②原始價格與FX!C156/②原始價格與FX!C155)</f>
        <v>3.3787216709285542E-2</v>
      </c>
      <c r="D168" s="25">
        <f>LN(②原始價格與FX!D156/②原始價格與FX!D155)</f>
        <v>5.6881309390792853E-3</v>
      </c>
      <c r="E168" s="25">
        <f>LN(②原始價格與FX!G156/②原始價格與FX!G155)</f>
        <v>-3.5871583579416859E-3</v>
      </c>
      <c r="F168" s="25">
        <f>LN(②原始價格與FX!H156/②原始價格與FX!H155)</f>
        <v>2.2281197818081297E-3</v>
      </c>
      <c r="G168" s="25">
        <f t="shared" si="6"/>
        <v>1.7627463474519958E-2</v>
      </c>
      <c r="H168" s="26">
        <f t="shared" si="7"/>
        <v>3.0200058351343855E-2</v>
      </c>
      <c r="I168" s="26">
        <f t="shared" si="8"/>
        <v>7.9162507208874154E-3</v>
      </c>
      <c r="J168" s="27">
        <f>G168*①基本設定!$G$5+H168*①基本設定!$G$6+I168*①基本設定!$G$7</f>
        <v>46643.728769512258</v>
      </c>
    </row>
    <row r="169" spans="1:10" x14ac:dyDescent="0.25">
      <c r="A169" s="3" t="s">
        <v>208</v>
      </c>
      <c r="B169" s="25">
        <f>LN(②原始價格與FX!B157/②原始價格與FX!B156)</f>
        <v>5.2079212835032173E-3</v>
      </c>
      <c r="C169" s="25">
        <f>LN(②原始價格與FX!C157/②原始價格與FX!C156)</f>
        <v>-1.2060705599019393E-2</v>
      </c>
      <c r="D169" s="25">
        <f>LN(②原始價格與FX!D157/②原始價格與FX!D156)</f>
        <v>-1.4789253442953424E-2</v>
      </c>
      <c r="E169" s="25">
        <f>LN(②原始價格與FX!G157/②原始價格與FX!G156)</f>
        <v>3.4291723997766023E-3</v>
      </c>
      <c r="F169" s="25">
        <f>LN(②原始價格與FX!H157/②原始價格與FX!H156)</f>
        <v>-5.4779093746721019E-3</v>
      </c>
      <c r="G169" s="25">
        <f t="shared" si="6"/>
        <v>5.2079212835032173E-3</v>
      </c>
      <c r="H169" s="26">
        <f t="shared" si="7"/>
        <v>-8.6315331992427909E-3</v>
      </c>
      <c r="I169" s="26">
        <f t="shared" si="8"/>
        <v>-2.0267162817625528E-2</v>
      </c>
      <c r="J169" s="28">
        <f>G169*①基本設定!$G$5+H169*①基本設定!$G$6+I169*①基本設定!$G$7</f>
        <v>-4735.1012610412945</v>
      </c>
    </row>
    <row r="170" spans="1:10" x14ac:dyDescent="0.25">
      <c r="A170" s="3" t="s">
        <v>209</v>
      </c>
      <c r="B170" s="25">
        <f>LN(②原始價格與FX!B158/②原始價格與FX!B157)</f>
        <v>-7.07253967916259E-3</v>
      </c>
      <c r="C170" s="25">
        <f>LN(②原始價格與FX!C158/②原始價格與FX!C157)</f>
        <v>1.132711175382457E-2</v>
      </c>
      <c r="D170" s="25">
        <f>LN(②原始價格與FX!D158/②原始價格與FX!D157)</f>
        <v>3.3444313976088255E-2</v>
      </c>
      <c r="E170" s="25">
        <f>LN(②原始價格與FX!G158/②原始價格與FX!G157)</f>
        <v>5.2652282453905712E-4</v>
      </c>
      <c r="F170" s="25">
        <f>LN(②原始價格與FX!H158/②原始價格與FX!H157)</f>
        <v>-3.0971131973603037E-3</v>
      </c>
      <c r="G170" s="25">
        <f t="shared" si="6"/>
        <v>-7.07253967916259E-3</v>
      </c>
      <c r="H170" s="26">
        <f t="shared" si="7"/>
        <v>1.1853634578363626E-2</v>
      </c>
      <c r="I170" s="26">
        <f t="shared" si="8"/>
        <v>3.0347200778727951E-2</v>
      </c>
      <c r="J170" s="27">
        <f>G170*①基本設定!$G$5+H170*①基本設定!$G$6+I170*①基本設定!$G$7</f>
        <v>6598.6020385782185</v>
      </c>
    </row>
    <row r="171" spans="1:10" x14ac:dyDescent="0.25">
      <c r="A171" s="3" t="s">
        <v>210</v>
      </c>
      <c r="B171" s="25">
        <f>LN(②原始價格與FX!B159/②原始價格與FX!B158)</f>
        <v>1.4793649285211484E-2</v>
      </c>
      <c r="C171" s="25">
        <f>LN(②原始價格與FX!C159/②原始價格與FX!C158)</f>
        <v>-1.016604602318472E-2</v>
      </c>
      <c r="D171" s="25">
        <f>LN(②原始價格與FX!D159/②原始價格與FX!D158)</f>
        <v>-1.5802288600386582E-2</v>
      </c>
      <c r="E171" s="25">
        <f>LN(②原始價格與FX!G159/②原始價格與FX!G158)</f>
        <v>6.933482185706454E-4</v>
      </c>
      <c r="F171" s="25">
        <f>LN(②原始價格與FX!H159/②原始價格與FX!H158)</f>
        <v>8.9751964249459176E-4</v>
      </c>
      <c r="G171" s="25">
        <f t="shared" si="6"/>
        <v>1.4793649285211484E-2</v>
      </c>
      <c r="H171" s="26">
        <f t="shared" si="7"/>
        <v>-9.4726978046140737E-3</v>
      </c>
      <c r="I171" s="26">
        <f t="shared" si="8"/>
        <v>-1.490476895789199E-2</v>
      </c>
      <c r="J171" s="27">
        <f>G171*①基本設定!$G$5+H171*①基本設定!$G$6+I171*①基本設定!$G$7</f>
        <v>2676.4803203067709</v>
      </c>
    </row>
    <row r="172" spans="1:10" x14ac:dyDescent="0.25">
      <c r="A172" s="3" t="s">
        <v>211</v>
      </c>
      <c r="B172" s="25">
        <f>LN(②原始價格與FX!B160/②原始價格與FX!B159)</f>
        <v>-6.2747627308611508E-3</v>
      </c>
      <c r="C172" s="25">
        <f>LN(②原始價格與FX!C160/②原始價格與FX!C159)</f>
        <v>-7.738940151498033E-4</v>
      </c>
      <c r="D172" s="25">
        <f>LN(②原始價格與FX!D160/②原始價格與FX!D159)</f>
        <v>1.1946980732700282E-2</v>
      </c>
      <c r="E172" s="25">
        <f>LN(②原始價格與FX!G160/②原始價格與FX!G159)</f>
        <v>-3.9032455133322509E-3</v>
      </c>
      <c r="F172" s="25">
        <f>LN(②原始價格與FX!H160/②原始價格與FX!H159)</f>
        <v>-7.6547171698057616E-3</v>
      </c>
      <c r="G172" s="25">
        <f t="shared" si="6"/>
        <v>-6.2747627308611508E-3</v>
      </c>
      <c r="H172" s="26">
        <f t="shared" si="7"/>
        <v>-4.6771395284820544E-3</v>
      </c>
      <c r="I172" s="26">
        <f t="shared" si="8"/>
        <v>4.2922635628945202E-3</v>
      </c>
      <c r="J172" s="28">
        <f>G172*①基本設定!$G$5+H172*①基本設定!$G$6+I172*①基本設定!$G$7</f>
        <v>-10205.614398670285</v>
      </c>
    </row>
    <row r="173" spans="1:10" x14ac:dyDescent="0.25">
      <c r="A173" s="3" t="s">
        <v>212</v>
      </c>
      <c r="B173" s="25">
        <f>LN(②原始價格與FX!B161/②原始價格與FX!B160)</f>
        <v>-2.8761907792202304E-2</v>
      </c>
      <c r="C173" s="25">
        <f>LN(②原始價格與FX!C161/②原始價格與FX!C160)</f>
        <v>-2.4987010759969897E-2</v>
      </c>
      <c r="D173" s="25">
        <f>LN(②原始價格與FX!D161/②原始價格與FX!D160)</f>
        <v>2.8718634597646338E-2</v>
      </c>
      <c r="E173" s="25">
        <f>LN(②原始價格與FX!G161/②原始價格與FX!G160)</f>
        <v>-7.4268928394447236E-4</v>
      </c>
      <c r="F173" s="25">
        <f>LN(②原始價格與FX!H161/②原始價格與FX!H160)</f>
        <v>2.8722681927107613E-3</v>
      </c>
      <c r="G173" s="25">
        <f t="shared" si="6"/>
        <v>-2.8761907792202304E-2</v>
      </c>
      <c r="H173" s="26">
        <f t="shared" si="7"/>
        <v>-2.572970004391437E-2</v>
      </c>
      <c r="I173" s="26">
        <f t="shared" si="8"/>
        <v>3.1590902790357103E-2</v>
      </c>
      <c r="J173" s="28">
        <f>G173*①基本設定!$G$5+H173*①基本設定!$G$6+I173*①基本設定!$G$7</f>
        <v>-51113.727503412018</v>
      </c>
    </row>
    <row r="174" spans="1:10" x14ac:dyDescent="0.25">
      <c r="A174" s="3" t="s">
        <v>213</v>
      </c>
      <c r="B174" s="25">
        <f>LN(②原始價格與FX!B162/②原始價格與FX!B161)</f>
        <v>1.066112601187732E-2</v>
      </c>
      <c r="C174" s="25">
        <f>LN(②原始價格與FX!C162/②原始價格與FX!C161)</f>
        <v>1.1018942177566878E-2</v>
      </c>
      <c r="D174" s="25">
        <f>LN(②原始價格與FX!D162/②原始價格與FX!D161)</f>
        <v>-2.4658672901195899E-2</v>
      </c>
      <c r="E174" s="25">
        <f>LN(②原始價格與FX!G162/②原始價格與FX!G161)</f>
        <v>-3.7935107394163588E-3</v>
      </c>
      <c r="F174" s="25">
        <f>LN(②原始價格與FX!H162/②原始價格與FX!H161)</f>
        <v>-4.5081044184734279E-4</v>
      </c>
      <c r="G174" s="25">
        <f t="shared" si="6"/>
        <v>1.066112601187732E-2</v>
      </c>
      <c r="H174" s="26">
        <f t="shared" si="7"/>
        <v>7.2254314381505194E-3</v>
      </c>
      <c r="I174" s="26">
        <f t="shared" si="8"/>
        <v>-2.5109483343043242E-2</v>
      </c>
      <c r="J174" s="27">
        <f>G174*①基本設定!$G$5+H174*①基本設定!$G$6+I174*①基本設定!$G$7</f>
        <v>16392.99134266912</v>
      </c>
    </row>
    <row r="175" spans="1:10" x14ac:dyDescent="0.25">
      <c r="A175" s="3" t="s">
        <v>214</v>
      </c>
      <c r="B175" s="25">
        <f>LN(②原始價格與FX!B163/②原始價格與FX!B162)</f>
        <v>2.1969936540134218E-2</v>
      </c>
      <c r="C175" s="25">
        <f>LN(②原始價格與FX!C163/②原始價格與FX!C162)</f>
        <v>1.6320139004468416E-2</v>
      </c>
      <c r="D175" s="25">
        <f>LN(②原始價格與FX!D163/②原始價格與FX!D162)</f>
        <v>-2.2934316457466734E-2</v>
      </c>
      <c r="E175" s="25">
        <f>LN(②原始價格與FX!G163/②原始價格與FX!G162)</f>
        <v>1.6524755031627537E-3</v>
      </c>
      <c r="F175" s="25">
        <f>LN(②原始價格與FX!H163/②原始價格與FX!H162)</f>
        <v>-2.8735651957318073E-3</v>
      </c>
      <c r="G175" s="25">
        <f t="shared" si="6"/>
        <v>2.1969936540134218E-2</v>
      </c>
      <c r="H175" s="26">
        <f t="shared" si="7"/>
        <v>1.7972614507631171E-2</v>
      </c>
      <c r="I175" s="26">
        <f t="shared" si="8"/>
        <v>-2.5807881653198542E-2</v>
      </c>
      <c r="J175" s="27">
        <f>G175*①基本設定!$G$5+H175*①基本設定!$G$6+I175*①基本設定!$G$7</f>
        <v>37275.608773830354</v>
      </c>
    </row>
    <row r="176" spans="1:10" x14ac:dyDescent="0.25">
      <c r="A176" s="3" t="s">
        <v>215</v>
      </c>
      <c r="B176" s="25">
        <f>LN(②原始價格與FX!B164/②原始價格與FX!B163)</f>
        <v>-2.3153498925413924E-2</v>
      </c>
      <c r="C176" s="25">
        <f>LN(②原始價格與FX!C164/②原始價格與FX!C163)</f>
        <v>5.7440992272862288E-3</v>
      </c>
      <c r="D176" s="25">
        <f>LN(②原始價格與FX!D164/②原始價格與FX!D163)</f>
        <v>-2.9341698507083114E-2</v>
      </c>
      <c r="E176" s="25">
        <f>LN(②原始價格與FX!G164/②原始價格與FX!G163)</f>
        <v>-3.7985297907169786E-3</v>
      </c>
      <c r="F176" s="25">
        <f>LN(②原始價格與FX!H164/②原始價格與FX!H163)</f>
        <v>-1.8104765674481387E-3</v>
      </c>
      <c r="G176" s="25">
        <f t="shared" si="6"/>
        <v>-2.3153498925413924E-2</v>
      </c>
      <c r="H176" s="26">
        <f t="shared" si="7"/>
        <v>1.9455694365692502E-3</v>
      </c>
      <c r="I176" s="26">
        <f t="shared" si="8"/>
        <v>-3.1152175074531253E-2</v>
      </c>
      <c r="J176" s="28">
        <f>G176*①基本設定!$G$5+H176*①基本設定!$G$6+I176*①基本設定!$G$7</f>
        <v>-18192.251322486445</v>
      </c>
    </row>
    <row r="177" spans="1:10" x14ac:dyDescent="0.25">
      <c r="A177" s="3" t="s">
        <v>216</v>
      </c>
      <c r="B177" s="25">
        <f>LN(②原始價格與FX!B165/②原始價格與FX!B164)</f>
        <v>1.3608629456931578E-2</v>
      </c>
      <c r="C177" s="25">
        <f>LN(②原始價格與FX!C165/②原始價格與FX!C164)</f>
        <v>-4.3933561133166635E-3</v>
      </c>
      <c r="D177" s="25">
        <f>LN(②原始價格與FX!D165/②原始價格與FX!D164)</f>
        <v>1.6572070534829324E-2</v>
      </c>
      <c r="E177" s="25">
        <f>LN(②原始價格與FX!G165/②原始價格與FX!G164)</f>
        <v>2.1304518866567027E-3</v>
      </c>
      <c r="F177" s="25">
        <f>LN(②原始價格與FX!H165/②原始價格與FX!H164)</f>
        <v>-3.7072889844421141E-4</v>
      </c>
      <c r="G177" s="25">
        <f t="shared" si="6"/>
        <v>1.3608629456931578E-2</v>
      </c>
      <c r="H177" s="26">
        <f t="shared" si="7"/>
        <v>-2.2629042266599608E-3</v>
      </c>
      <c r="I177" s="26">
        <f t="shared" si="8"/>
        <v>1.6201341636385112E-2</v>
      </c>
      <c r="J177" s="27">
        <f>G177*①基本設定!$G$5+H177*①基本設定!$G$6+I177*①基本設定!$G$7</f>
        <v>9504.5615148542129</v>
      </c>
    </row>
    <row r="178" spans="1:10" x14ac:dyDescent="0.25">
      <c r="A178" s="3" t="s">
        <v>217</v>
      </c>
      <c r="B178" s="25">
        <f>LN(②原始價格與FX!B166/②原始價格與FX!B165)</f>
        <v>1.9905437065968475E-2</v>
      </c>
      <c r="C178" s="25">
        <f>LN(②原始價格與FX!C166/②原始價格與FX!C165)</f>
        <v>3.8460216877375081E-2</v>
      </c>
      <c r="D178" s="25">
        <f>LN(②原始價格與FX!D166/②原始價格與FX!D165)</f>
        <v>-2.4842664141048729E-2</v>
      </c>
      <c r="E178" s="25">
        <f>LN(②原始價格與FX!G166/②原始價格與FX!G165)</f>
        <v>3.6412324471319394E-3</v>
      </c>
      <c r="F178" s="25">
        <f>LN(②原始價格與FX!H166/②原始價格與FX!H165)</f>
        <v>-5.28752058068331E-3</v>
      </c>
      <c r="G178" s="25">
        <f t="shared" si="6"/>
        <v>1.9905437065968475E-2</v>
      </c>
      <c r="H178" s="26">
        <f t="shared" si="7"/>
        <v>4.2101449324507018E-2</v>
      </c>
      <c r="I178" s="26">
        <f t="shared" si="8"/>
        <v>-3.013018472173204E-2</v>
      </c>
      <c r="J178" s="27">
        <f>G178*①基本設定!$G$5+H178*①基本設定!$G$6+I178*①基本設定!$G$7</f>
        <v>60564.384541572013</v>
      </c>
    </row>
    <row r="179" spans="1:10" x14ac:dyDescent="0.25">
      <c r="A179" s="3" t="s">
        <v>218</v>
      </c>
      <c r="B179" s="25">
        <f>LN(②原始價格與FX!B167/②原始價格與FX!B166)</f>
        <v>-2.7774500044337635E-2</v>
      </c>
      <c r="C179" s="25">
        <f>LN(②原始價格與FX!C167/②原始價格與FX!C166)</f>
        <v>-8.1668595583502587E-3</v>
      </c>
      <c r="D179" s="25">
        <f>LN(②原始價格與FX!D167/②原始價格與FX!D166)</f>
        <v>3.0826337944803203E-2</v>
      </c>
      <c r="E179" s="25">
        <f>LN(②原始價格與FX!G167/②原始價格與FX!G166)</f>
        <v>6.9249457597289456E-3</v>
      </c>
      <c r="F179" s="25">
        <f>LN(②原始價格與FX!H167/②原始價格與FX!H166)</f>
        <v>9.9354205887773562E-4</v>
      </c>
      <c r="G179" s="25">
        <f t="shared" si="6"/>
        <v>-2.7774500044337635E-2</v>
      </c>
      <c r="H179" s="26">
        <f t="shared" si="7"/>
        <v>-1.241913798621313E-3</v>
      </c>
      <c r="I179" s="26">
        <f t="shared" si="8"/>
        <v>3.1819880003680939E-2</v>
      </c>
      <c r="J179" s="28">
        <f>G179*①基本設定!$G$5+H179*①基本設定!$G$6+I179*①基本設定!$G$7</f>
        <v>-24781.707187107746</v>
      </c>
    </row>
    <row r="180" spans="1:10" x14ac:dyDescent="0.25">
      <c r="A180" s="3" t="s">
        <v>219</v>
      </c>
      <c r="B180" s="25">
        <f>LN(②原始價格與FX!B168/②原始價格與FX!B167)</f>
        <v>1.1800791629517939E-2</v>
      </c>
      <c r="C180" s="25">
        <f>LN(②原始價格與FX!C168/②原始價格與FX!C167)</f>
        <v>-1.9043997692629322E-2</v>
      </c>
      <c r="D180" s="25">
        <f>LN(②原始價格與FX!D168/②原始價格與FX!D167)</f>
        <v>1.8256763084339302E-2</v>
      </c>
      <c r="E180" s="25">
        <f>LN(②原始價格與FX!G168/②原始價格與FX!G167)</f>
        <v>-2.3494145001593499E-3</v>
      </c>
      <c r="F180" s="25">
        <f>LN(②原始價格與FX!H168/②原始價格與FX!H167)</f>
        <v>5.2822836590769896E-3</v>
      </c>
      <c r="G180" s="25">
        <f t="shared" si="6"/>
        <v>1.1800791629517939E-2</v>
      </c>
      <c r="H180" s="26">
        <f t="shared" si="7"/>
        <v>-2.1393412192788671E-2</v>
      </c>
      <c r="I180" s="26">
        <f t="shared" si="8"/>
        <v>2.3539046743416291E-2</v>
      </c>
      <c r="J180" s="28">
        <f>G180*①基本設定!$G$5+H180*①基本設定!$G$6+I180*①基本設定!$G$7</f>
        <v>-11873.51863010431</v>
      </c>
    </row>
    <row r="181" spans="1:10" x14ac:dyDescent="0.25">
      <c r="A181" s="3" t="s">
        <v>220</v>
      </c>
      <c r="B181" s="25">
        <f>LN(②原始價格與FX!B169/②原始價格與FX!B168)</f>
        <v>-4.0594025918111093E-5</v>
      </c>
      <c r="C181" s="25">
        <f>LN(②原始價格與FX!C169/②原始價格與FX!C168)</f>
        <v>2.3213392948227649E-2</v>
      </c>
      <c r="D181" s="25">
        <f>LN(②原始價格與FX!D169/②原始價格與FX!D168)</f>
        <v>-1.8657374549293258E-2</v>
      </c>
      <c r="E181" s="25">
        <f>LN(②原始價格與FX!G169/②原始價格與FX!G168)</f>
        <v>-1.5827811617474409E-3</v>
      </c>
      <c r="F181" s="25">
        <f>LN(②原始價格與FX!H169/②原始價格與FX!H168)</f>
        <v>-3.0504166445889714E-3</v>
      </c>
      <c r="G181" s="25">
        <f t="shared" si="6"/>
        <v>-4.0594025918111093E-5</v>
      </c>
      <c r="H181" s="26">
        <f t="shared" si="7"/>
        <v>2.1630611786480208E-2</v>
      </c>
      <c r="I181" s="26">
        <f t="shared" si="8"/>
        <v>-2.170779119388223E-2</v>
      </c>
      <c r="J181" s="27">
        <f>G181*①基本設定!$G$5+H181*①基本設定!$G$6+I181*①基本設定!$G$7</f>
        <v>22234.773074818771</v>
      </c>
    </row>
    <row r="182" spans="1:10" x14ac:dyDescent="0.25">
      <c r="A182" s="3" t="s">
        <v>221</v>
      </c>
      <c r="B182" s="25">
        <f>LN(②原始價格與FX!B170/②原始價格與FX!B169)</f>
        <v>2.005438980084075E-2</v>
      </c>
      <c r="C182" s="25">
        <f>LN(②原始價格與FX!C170/②原始價格與FX!C169)</f>
        <v>3.0336862548223441E-2</v>
      </c>
      <c r="D182" s="25">
        <f>LN(②原始價格與FX!D170/②原始價格與FX!D169)</f>
        <v>-1.0259543950490018E-2</v>
      </c>
      <c r="E182" s="25">
        <f>LN(②原始價格與FX!G170/②原始價格與FX!G169)</f>
        <v>-1.6598080605392668E-3</v>
      </c>
      <c r="F182" s="25">
        <f>LN(②原始價格與FX!H170/②原始價格與FX!H169)</f>
        <v>-1.0541703764049845E-2</v>
      </c>
      <c r="G182" s="25">
        <f t="shared" si="6"/>
        <v>2.005438980084075E-2</v>
      </c>
      <c r="H182" s="26">
        <f t="shared" si="7"/>
        <v>2.8677054487684175E-2</v>
      </c>
      <c r="I182" s="26">
        <f t="shared" si="8"/>
        <v>-2.0801247714539863E-2</v>
      </c>
      <c r="J182" s="27">
        <f>G182*①基本設定!$G$5+H182*①基本設定!$G$6+I182*①基本設定!$G$7</f>
        <v>46825.611017164512</v>
      </c>
    </row>
    <row r="183" spans="1:10" x14ac:dyDescent="0.25">
      <c r="A183" s="3" t="s">
        <v>222</v>
      </c>
      <c r="B183" s="25">
        <f>LN(②原始價格與FX!B171/②原始價格與FX!B170)</f>
        <v>4.3804287688252452E-3</v>
      </c>
      <c r="C183" s="25">
        <f>LN(②原始價格與FX!C171/②原始價格與FX!C170)</f>
        <v>9.9807509275563495E-3</v>
      </c>
      <c r="D183" s="25">
        <f>LN(②原始價格與FX!D171/②原始價格與FX!D170)</f>
        <v>8.3174678524562742E-3</v>
      </c>
      <c r="E183" s="25">
        <f>LN(②原始價格與FX!G171/②原始價格與FX!G170)</f>
        <v>1.9449555953252801E-3</v>
      </c>
      <c r="F183" s="25">
        <f>LN(②原始價格與FX!H171/②原始價格與FX!H170)</f>
        <v>-1.0436017728274773E-3</v>
      </c>
      <c r="G183" s="25">
        <f t="shared" si="6"/>
        <v>4.3804287688252452E-3</v>
      </c>
      <c r="H183" s="26">
        <f t="shared" si="7"/>
        <v>1.192570652288163E-2</v>
      </c>
      <c r="I183" s="26">
        <f t="shared" si="8"/>
        <v>7.273866079628797E-3</v>
      </c>
      <c r="J183" s="27">
        <f>G183*①基本設定!$G$5+H183*①基本設定!$G$6+I183*①基本設定!$G$7</f>
        <v>16249.918967902911</v>
      </c>
    </row>
    <row r="184" spans="1:10" x14ac:dyDescent="0.25">
      <c r="A184" s="3" t="s">
        <v>223</v>
      </c>
      <c r="B184" s="25">
        <f>LN(②原始價格與FX!B172/②原始價格與FX!B171)</f>
        <v>-1.5798453309282687E-2</v>
      </c>
      <c r="C184" s="25">
        <f>LN(②原始價格與FX!C172/②原始價格與FX!C171)</f>
        <v>1.433121972543995E-2</v>
      </c>
      <c r="D184" s="25">
        <f>LN(②原始價格與FX!D172/②原始價格與FX!D171)</f>
        <v>-1.7758063725884499E-2</v>
      </c>
      <c r="E184" s="25">
        <f>LN(②原始價格與FX!G172/②原始價格與FX!G171)</f>
        <v>-1.6003576306313563E-3</v>
      </c>
      <c r="F184" s="25">
        <f>LN(②原始價格與FX!H172/②原始價格與FX!H171)</f>
        <v>-4.6048306419204255E-3</v>
      </c>
      <c r="G184" s="25">
        <f t="shared" si="6"/>
        <v>-1.5798453309282687E-2</v>
      </c>
      <c r="H184" s="26">
        <f t="shared" si="7"/>
        <v>1.2730862094808594E-2</v>
      </c>
      <c r="I184" s="26">
        <f t="shared" si="8"/>
        <v>-2.2362894367804927E-2</v>
      </c>
      <c r="J184" s="28">
        <f>G184*①基本設定!$G$5+H184*①基本設定!$G$6+I184*①基本設定!$G$7</f>
        <v>-559.11641863844818</v>
      </c>
    </row>
    <row r="185" spans="1:10" x14ac:dyDescent="0.25">
      <c r="A185" s="3" t="s">
        <v>224</v>
      </c>
      <c r="B185" s="25">
        <f>LN(②原始價格與FX!B173/②原始價格與FX!B172)</f>
        <v>3.3883129037095353E-3</v>
      </c>
      <c r="C185" s="25">
        <f>LN(②原始價格與FX!C173/②原始價格與FX!C172)</f>
        <v>1.0615221108941119E-2</v>
      </c>
      <c r="D185" s="25">
        <f>LN(②原始價格與FX!D173/②原始價格與FX!D172)</f>
        <v>1.1760313440029167E-2</v>
      </c>
      <c r="E185" s="25">
        <f>LN(②原始價格與FX!G173/②原始價格與FX!G172)</f>
        <v>4.2217614736984885E-3</v>
      </c>
      <c r="F185" s="25">
        <f>LN(②原始價格與FX!H173/②原始價格與FX!H172)</f>
        <v>-5.8759340228365558E-4</v>
      </c>
      <c r="G185" s="25">
        <f t="shared" si="6"/>
        <v>3.3883129037095353E-3</v>
      </c>
      <c r="H185" s="26">
        <f t="shared" si="7"/>
        <v>1.4836982582639609E-2</v>
      </c>
      <c r="I185" s="26">
        <f t="shared" si="8"/>
        <v>1.1172720037745512E-2</v>
      </c>
      <c r="J185" s="27">
        <f>G185*①基本設定!$G$5+H185*①基本設定!$G$6+I185*①基本設定!$G$7</f>
        <v>18470.774765658116</v>
      </c>
    </row>
    <row r="186" spans="1:10" x14ac:dyDescent="0.25">
      <c r="A186" s="3" t="s">
        <v>225</v>
      </c>
      <c r="B186" s="25">
        <f>LN(②原始價格與FX!B174/②原始價格與FX!B173)</f>
        <v>1.3624261306943766E-2</v>
      </c>
      <c r="C186" s="25">
        <f>LN(②原始價格與FX!C174/②原始價格與FX!C173)</f>
        <v>-2.6438711152491925E-2</v>
      </c>
      <c r="D186" s="25">
        <f>LN(②原始價格與FX!D174/②原始價格與FX!D173)</f>
        <v>-5.0775425378936839E-2</v>
      </c>
      <c r="E186" s="25">
        <f>LN(②原始價格與FX!G174/②原始價格與FX!G173)</f>
        <v>-1.4816261002021404E-3</v>
      </c>
      <c r="F186" s="25">
        <f>LN(②原始價格與FX!H174/②原始價格與FX!H173)</f>
        <v>2.8507963800452935E-3</v>
      </c>
      <c r="G186" s="25">
        <f t="shared" si="6"/>
        <v>1.3624261306943766E-2</v>
      </c>
      <c r="H186" s="26">
        <f t="shared" si="7"/>
        <v>-2.7920337252694067E-2</v>
      </c>
      <c r="I186" s="26">
        <f t="shared" si="8"/>
        <v>-4.7924628998891543E-2</v>
      </c>
      <c r="J186" s="28">
        <f>G186*①基本設定!$G$5+H186*①基本設定!$G$6+I186*①基本設定!$G$7</f>
        <v>-17887.660136923863</v>
      </c>
    </row>
    <row r="187" spans="1:10" x14ac:dyDescent="0.25">
      <c r="A187" s="3" t="s">
        <v>226</v>
      </c>
      <c r="B187" s="25">
        <f>LN(②原始價格與FX!B175/②原始價格與FX!B174)</f>
        <v>6.022371916694292E-3</v>
      </c>
      <c r="C187" s="25">
        <f>LN(②原始價格與FX!C175/②原始價格與FX!C174)</f>
        <v>8.5354947267245063E-3</v>
      </c>
      <c r="D187" s="25">
        <f>LN(②原始價格與FX!D175/②原始價格與FX!D174)</f>
        <v>3.3601824335843945E-2</v>
      </c>
      <c r="E187" s="25">
        <f>LN(②原始價格與FX!G175/②原始價格與FX!G174)</f>
        <v>-1.9272306216408703E-3</v>
      </c>
      <c r="F187" s="25">
        <f>LN(②原始價格與FX!H175/②原始價格與FX!H174)</f>
        <v>-2.5149864453107417E-3</v>
      </c>
      <c r="G187" s="25">
        <f t="shared" si="6"/>
        <v>6.022371916694292E-3</v>
      </c>
      <c r="H187" s="26">
        <f t="shared" si="7"/>
        <v>6.6082641050836362E-3</v>
      </c>
      <c r="I187" s="26">
        <f t="shared" si="8"/>
        <v>3.1086837890533202E-2</v>
      </c>
      <c r="J187" s="27">
        <f>G187*①基本設定!$G$5+H187*①基本設定!$G$6+I187*①基本設定!$G$7</f>
        <v>12388.310510339199</v>
      </c>
    </row>
    <row r="188" spans="1:10" x14ac:dyDescent="0.25">
      <c r="A188" s="3" t="s">
        <v>227</v>
      </c>
      <c r="B188" s="25">
        <f>LN(②原始價格與FX!B176/②原始價格與FX!B175)</f>
        <v>-3.1644557220802151E-3</v>
      </c>
      <c r="C188" s="25">
        <f>LN(②原始價格與FX!C176/②原始價格與FX!C175)</f>
        <v>-2.6984967075677508E-3</v>
      </c>
      <c r="D188" s="25">
        <f>LN(②原始價格與FX!D176/②原始價格與FX!D175)</f>
        <v>-3.1992885441271594E-2</v>
      </c>
      <c r="E188" s="25">
        <f>LN(②原始價格與FX!G176/②原始價格與FX!G175)</f>
        <v>2.3945355342159212E-3</v>
      </c>
      <c r="F188" s="25">
        <f>LN(②原始價格與FX!H176/②原始價格與FX!H175)</f>
        <v>2.5149864453107625E-3</v>
      </c>
      <c r="G188" s="25">
        <f t="shared" si="6"/>
        <v>-3.1644557220802151E-3</v>
      </c>
      <c r="H188" s="26">
        <f t="shared" si="7"/>
        <v>-3.0396117335182958E-4</v>
      </c>
      <c r="I188" s="26">
        <f t="shared" si="8"/>
        <v>-2.947789899596083E-2</v>
      </c>
      <c r="J188" s="28">
        <f>G188*①基本設定!$G$5+H188*①基本設定!$G$6+I188*①基本設定!$G$7</f>
        <v>-3357.268108656569</v>
      </c>
    </row>
    <row r="189" spans="1:10" x14ac:dyDescent="0.25">
      <c r="A189" s="3" t="s">
        <v>228</v>
      </c>
      <c r="B189" s="25">
        <f>LN(②原始價格與FX!B177/②原始價格與FX!B176)</f>
        <v>9.2680525173290135E-3</v>
      </c>
      <c r="C189" s="25">
        <f>LN(②原始價格與FX!C177/②原始價格與FX!C176)</f>
        <v>2.8078491812924895E-2</v>
      </c>
      <c r="D189" s="25">
        <f>LN(②原始價格與FX!D177/②原始價格與FX!D176)</f>
        <v>-8.9317613492759929E-5</v>
      </c>
      <c r="E189" s="25">
        <f>LN(②原始價格與FX!G177/②原始價格與FX!G176)</f>
        <v>1.5643456126892812E-3</v>
      </c>
      <c r="F189" s="25">
        <f>LN(②原始價格與FX!H177/②原始價格與FX!H176)</f>
        <v>2.1327765533560553E-3</v>
      </c>
      <c r="G189" s="25">
        <f t="shared" si="6"/>
        <v>9.2680525173290135E-3</v>
      </c>
      <c r="H189" s="26">
        <f t="shared" si="7"/>
        <v>2.9642837425614174E-2</v>
      </c>
      <c r="I189" s="26">
        <f t="shared" si="8"/>
        <v>2.0434589398632954E-3</v>
      </c>
      <c r="J189" s="27">
        <f>G189*①基本設定!$G$5+H189*①基本設定!$G$6+I189*①基本設定!$G$7</f>
        <v>38823.962010580282</v>
      </c>
    </row>
    <row r="190" spans="1:10" x14ac:dyDescent="0.25">
      <c r="A190" s="3" t="s">
        <v>229</v>
      </c>
      <c r="B190" s="25">
        <f>LN(②原始價格與FX!B178/②原始價格與FX!B177)</f>
        <v>1.0627919000691847E-2</v>
      </c>
      <c r="C190" s="25">
        <f>LN(②原始價格與FX!C178/②原始價格與FX!C177)</f>
        <v>2.4272828646154682E-2</v>
      </c>
      <c r="D190" s="25">
        <f>LN(②原始價格與FX!D178/②原始價格與FX!D177)</f>
        <v>3.301166155002784E-2</v>
      </c>
      <c r="E190" s="25">
        <f>LN(②原始價格與FX!G178/②原始價格與FX!G177)</f>
        <v>-2.2862509908824441E-4</v>
      </c>
      <c r="F190" s="25">
        <f>LN(②原始價格與FX!H178/②原始價格與FX!H177)</f>
        <v>-4.0603668250266296E-3</v>
      </c>
      <c r="G190" s="25">
        <f t="shared" si="6"/>
        <v>1.0627919000691847E-2</v>
      </c>
      <c r="H190" s="26">
        <f t="shared" si="7"/>
        <v>2.4044203547066437E-2</v>
      </c>
      <c r="I190" s="26">
        <f t="shared" si="8"/>
        <v>2.8951294725001211E-2</v>
      </c>
      <c r="J190" s="27">
        <f>G190*①基本設定!$G$5+H190*①基本設定!$G$6+I190*①基本設定!$G$7</f>
        <v>34461.727527207695</v>
      </c>
    </row>
    <row r="191" spans="1:10" x14ac:dyDescent="0.25">
      <c r="A191" s="3" t="s">
        <v>230</v>
      </c>
      <c r="B191" s="25">
        <f>LN(②原始價格與FX!B179/②原始價格與FX!B178)</f>
        <v>2.0101884866672307E-2</v>
      </c>
      <c r="C191" s="25">
        <f>LN(②原始價格與FX!C179/②原始價格與FX!C178)</f>
        <v>2.40277717478189E-2</v>
      </c>
      <c r="D191" s="25">
        <f>LN(②原始價格與FX!D179/②原始價格與FX!D178)</f>
        <v>-6.2401883477446088E-2</v>
      </c>
      <c r="E191" s="25">
        <f>LN(②原始價格與FX!G179/②原始價格與FX!G178)</f>
        <v>-4.5431577581670938E-4</v>
      </c>
      <c r="F191" s="25">
        <f>LN(②原始價格與FX!H179/②原始價格與FX!H178)</f>
        <v>6.772034909944465E-3</v>
      </c>
      <c r="G191" s="25">
        <f t="shared" si="6"/>
        <v>2.0101884866672307E-2</v>
      </c>
      <c r="H191" s="26">
        <f t="shared" si="7"/>
        <v>2.3573455972002191E-2</v>
      </c>
      <c r="I191" s="26">
        <f t="shared" si="8"/>
        <v>-5.5629848567501625E-2</v>
      </c>
      <c r="J191" s="27">
        <f>G191*①基本設定!$G$5+H191*①基本設定!$G$6+I191*①基本設定!$G$7</f>
        <v>41171.836895952278</v>
      </c>
    </row>
    <row r="192" spans="1:10" x14ac:dyDescent="0.25">
      <c r="A192" s="3" t="s">
        <v>231</v>
      </c>
      <c r="B192" s="25">
        <f>LN(②原始價格與FX!B180/②原始價格與FX!B179)</f>
        <v>-3.6047123774026461E-2</v>
      </c>
      <c r="C192" s="25">
        <f>LN(②原始價格與FX!C180/②原始價格與FX!C179)</f>
        <v>-2.396266278219151E-3</v>
      </c>
      <c r="D192" s="25">
        <f>LN(②原始價格與FX!D180/②原始價格與FX!D179)</f>
        <v>-4.1243684737540739E-2</v>
      </c>
      <c r="E192" s="25">
        <f>LN(②原始價格與FX!G180/②原始價格與FX!G179)</f>
        <v>-1.0763464647499164E-3</v>
      </c>
      <c r="F192" s="25">
        <f>LN(②原始價格與FX!H180/②原始價格與FX!H179)</f>
        <v>3.8255275561993344E-3</v>
      </c>
      <c r="G192" s="25">
        <f t="shared" si="6"/>
        <v>-3.6047123774026461E-2</v>
      </c>
      <c r="H192" s="26">
        <f t="shared" si="7"/>
        <v>-3.4726127429690673E-3</v>
      </c>
      <c r="I192" s="26">
        <f t="shared" si="8"/>
        <v>-3.7418157181341408E-2</v>
      </c>
      <c r="J192" s="28">
        <f>G192*①基本設定!$G$5+H192*①基本設定!$G$6+I192*①基本設定!$G$7</f>
        <v>-34966.558823742758</v>
      </c>
    </row>
    <row r="193" spans="1:10" x14ac:dyDescent="0.25">
      <c r="A193" s="3" t="s">
        <v>232</v>
      </c>
      <c r="B193" s="25">
        <f>LN(②原始價格與FX!B181/②原始價格與FX!B180)</f>
        <v>2.0870818746478163E-2</v>
      </c>
      <c r="C193" s="25">
        <f>LN(②原始價格與FX!C181/②原始價格與FX!C180)</f>
        <v>-3.2869779756617757E-3</v>
      </c>
      <c r="D193" s="25">
        <f>LN(②原始價格與FX!D181/②原始價格與FX!D180)</f>
        <v>-2.9771631636579751E-2</v>
      </c>
      <c r="E193" s="25">
        <f>LN(②原始價格與FX!G181/②原始價格與FX!G180)</f>
        <v>-2.2430147578658662E-3</v>
      </c>
      <c r="F193" s="25">
        <f>LN(②原始價格與FX!H181/②原始價格與FX!H180)</f>
        <v>9.9556153740784441E-4</v>
      </c>
      <c r="G193" s="25">
        <f t="shared" si="6"/>
        <v>2.0870818746478163E-2</v>
      </c>
      <c r="H193" s="26">
        <f t="shared" si="7"/>
        <v>-5.5299927335276423E-3</v>
      </c>
      <c r="I193" s="26">
        <f t="shared" si="8"/>
        <v>-2.8776070099171908E-2</v>
      </c>
      <c r="J193" s="27">
        <f>G193*①基本設定!$G$5+H193*①基本設定!$G$6+I193*①基本設定!$G$7</f>
        <v>11842.698913983262</v>
      </c>
    </row>
    <row r="194" spans="1:10" x14ac:dyDescent="0.25">
      <c r="A194" s="3" t="s">
        <v>233</v>
      </c>
      <c r="B194" s="25">
        <f>LN(②原始價格與FX!B182/②原始價格與FX!B181)</f>
        <v>1.8896899316791008E-2</v>
      </c>
      <c r="C194" s="25">
        <f>LN(②原始價格與FX!C182/②原始價格與FX!C181)</f>
        <v>-5.048134316201559E-3</v>
      </c>
      <c r="D194" s="25">
        <f>LN(②原始價格與FX!D182/②原始價格與FX!D181)</f>
        <v>-1.8011323297310335E-2</v>
      </c>
      <c r="E194" s="25">
        <f>LN(②原始價格與FX!G182/②原始價格與FX!G181)</f>
        <v>-2.2853604109179539E-3</v>
      </c>
      <c r="F194" s="25">
        <f>LN(②原始價格與FX!H182/②原始價格與FX!H181)</f>
        <v>6.6315748275258025E-4</v>
      </c>
      <c r="G194" s="25">
        <f t="shared" si="6"/>
        <v>1.8896899316791008E-2</v>
      </c>
      <c r="H194" s="26">
        <f t="shared" si="7"/>
        <v>-7.3334947271195133E-3</v>
      </c>
      <c r="I194" s="26">
        <f t="shared" si="8"/>
        <v>-1.7348165814557753E-2</v>
      </c>
      <c r="J194" s="27">
        <f>G194*①基本設定!$G$5+H194*①基本設定!$G$6+I194*①基本設定!$G$7</f>
        <v>8397.5951890837587</v>
      </c>
    </row>
    <row r="195" spans="1:10" x14ac:dyDescent="0.25">
      <c r="A195" s="3" t="s">
        <v>234</v>
      </c>
      <c r="B195" s="25">
        <f>LN(②原始價格與FX!B183/②原始價格與FX!B182)</f>
        <v>1.6270063911447696E-2</v>
      </c>
      <c r="C195" s="25">
        <f>LN(②原始價格與FX!C183/②原始價格與FX!C182)</f>
        <v>1.5004587549306047E-3</v>
      </c>
      <c r="D195" s="25">
        <f>LN(②原始價格與FX!D183/②原始價格與FX!D182)</f>
        <v>-2.1804075830906801E-2</v>
      </c>
      <c r="E195" s="25">
        <f>LN(②原始價格與FX!G183/②原始價格與FX!G182)</f>
        <v>-1.6987705114195808E-3</v>
      </c>
      <c r="F195" s="25">
        <f>LN(②原始價格與FX!H183/②原始價格與FX!H182)</f>
        <v>-7.1103648907777442E-3</v>
      </c>
      <c r="G195" s="25">
        <f t="shared" si="6"/>
        <v>1.6270063911447696E-2</v>
      </c>
      <c r="H195" s="26">
        <f t="shared" si="7"/>
        <v>-1.9831175648897612E-4</v>
      </c>
      <c r="I195" s="26">
        <f t="shared" si="8"/>
        <v>-2.8914440721684545E-2</v>
      </c>
      <c r="J195" s="27">
        <f>G195*①基本設定!$G$5+H195*①基本設定!$G$6+I195*①基本設定!$G$7</f>
        <v>13440.304334389824</v>
      </c>
    </row>
    <row r="196" spans="1:10" x14ac:dyDescent="0.25">
      <c r="A196" s="3" t="s">
        <v>235</v>
      </c>
      <c r="B196" s="25">
        <f>LN(②原始價格與FX!B184/②原始價格與FX!B183)</f>
        <v>-2.0534139909477906E-2</v>
      </c>
      <c r="C196" s="25">
        <f>LN(②原始價格與FX!C184/②原始價格與FX!C183)</f>
        <v>-3.2910146957843549E-2</v>
      </c>
      <c r="D196" s="25">
        <f>LN(②原始價格與FX!D184/②原始價格與FX!D183)</f>
        <v>2.4891233958234945E-2</v>
      </c>
      <c r="E196" s="25">
        <f>LN(②原始價格與FX!G184/②原始價格與FX!G183)</f>
        <v>-1.1247666360551462E-3</v>
      </c>
      <c r="F196" s="25">
        <f>LN(②原始價格與FX!H184/②原始價格與FX!H183)</f>
        <v>3.5407114240379118E-3</v>
      </c>
      <c r="G196" s="25">
        <f t="shared" si="6"/>
        <v>-2.0534139909477906E-2</v>
      </c>
      <c r="H196" s="26">
        <f t="shared" si="7"/>
        <v>-3.4034913593898694E-2</v>
      </c>
      <c r="I196" s="26">
        <f t="shared" si="8"/>
        <v>2.8431945382272856E-2</v>
      </c>
      <c r="J196" s="28">
        <f>G196*①基本設定!$G$5+H196*①基本設定!$G$6+I196*①基本設定!$G$7</f>
        <v>-52728.707526576778</v>
      </c>
    </row>
    <row r="197" spans="1:10" x14ac:dyDescent="0.25">
      <c r="A197" s="3" t="s">
        <v>236</v>
      </c>
      <c r="B197" s="25">
        <f>LN(②原始價格與FX!B185/②原始價格與FX!B184)</f>
        <v>2.7495326238078693E-2</v>
      </c>
      <c r="C197" s="25">
        <f>LN(②原始價格與FX!C185/②原始價格與FX!C184)</f>
        <v>8.8843766166881739E-3</v>
      </c>
      <c r="D197" s="25">
        <f>LN(②原始價格與FX!D185/②原始價格與FX!D184)</f>
        <v>-7.6474512371910632E-3</v>
      </c>
      <c r="E197" s="25">
        <f>LN(②原始價格與FX!G185/②原始價格與FX!G184)</f>
        <v>-2.1002477772985237E-3</v>
      </c>
      <c r="F197" s="25">
        <f>LN(②原始價格與FX!H185/②原始價格與FX!H184)</f>
        <v>-2.3312945074319613E-3</v>
      </c>
      <c r="G197" s="25">
        <f t="shared" si="6"/>
        <v>2.7495326238078693E-2</v>
      </c>
      <c r="H197" s="26">
        <f t="shared" si="7"/>
        <v>6.7841288393896502E-3</v>
      </c>
      <c r="I197" s="26">
        <f t="shared" si="8"/>
        <v>-9.9787457446230236E-3</v>
      </c>
      <c r="J197" s="27">
        <f>G197*①基本設定!$G$5+H197*①基本設定!$G$6+I197*①基本設定!$G$7</f>
        <v>30549.950188718238</v>
      </c>
    </row>
    <row r="198" spans="1:10" x14ac:dyDescent="0.25">
      <c r="A198" s="3" t="s">
        <v>237</v>
      </c>
      <c r="B198" s="25">
        <f>LN(②原始價格與FX!B186/②原始價格與FX!B185)</f>
        <v>1.0680372385474491E-2</v>
      </c>
      <c r="C198" s="25">
        <f>LN(②原始價格與FX!C186/②原始價格與FX!C185)</f>
        <v>1.137559367605806E-4</v>
      </c>
      <c r="D198" s="25">
        <f>LN(②原始價格與FX!D186/②原始價格與FX!D185)</f>
        <v>1.901007722497336E-2</v>
      </c>
      <c r="E198" s="25">
        <f>LN(②原始價格與FX!G186/②原始價格與FX!G185)</f>
        <v>-1.4724895701888818E-3</v>
      </c>
      <c r="F198" s="25">
        <f>LN(②原始價格與FX!H186/②原始價格與FX!H185)</f>
        <v>-2.0025873437115693E-3</v>
      </c>
      <c r="G198" s="25">
        <f t="shared" si="6"/>
        <v>1.0680372385474491E-2</v>
      </c>
      <c r="H198" s="26">
        <f t="shared" si="7"/>
        <v>-1.3587336334283011E-3</v>
      </c>
      <c r="I198" s="26">
        <f t="shared" si="8"/>
        <v>1.700748988126179E-2</v>
      </c>
      <c r="J198" s="27">
        <f>G198*①基本設定!$G$5+H198*①基本設定!$G$6+I198*①基本設定!$G$7</f>
        <v>7940.8824966480597</v>
      </c>
    </row>
    <row r="199" spans="1:10" x14ac:dyDescent="0.25">
      <c r="A199" s="3" t="s">
        <v>238</v>
      </c>
      <c r="B199" s="25">
        <f>LN(②原始價格與FX!B187/②原始價格與FX!B186)</f>
        <v>1.3597265275219414E-2</v>
      </c>
      <c r="C199" s="25">
        <f>LN(②原始價格與FX!C187/②原始價格與FX!C186)</f>
        <v>5.303698068457219E-3</v>
      </c>
      <c r="D199" s="25">
        <f>LN(②原始價格與FX!D187/②原始價格與FX!D186)</f>
        <v>-2.0089541597068448E-3</v>
      </c>
      <c r="E199" s="25">
        <f>LN(②原始價格與FX!G187/②原始價格與FX!G186)</f>
        <v>2.3000082014494223E-3</v>
      </c>
      <c r="F199" s="25">
        <f>LN(②原始價格與FX!H187/②原始價格與FX!H186)</f>
        <v>4.1753654051278956E-4</v>
      </c>
      <c r="G199" s="25">
        <f t="shared" si="6"/>
        <v>1.3597265275219414E-2</v>
      </c>
      <c r="H199" s="26">
        <f t="shared" si="7"/>
        <v>7.6037062699066413E-3</v>
      </c>
      <c r="I199" s="26">
        <f t="shared" si="8"/>
        <v>-1.5914176191940553E-3</v>
      </c>
      <c r="J199" s="27">
        <f>G199*①基本設定!$G$5+H199*①基本設定!$G$6+I199*①基本設定!$G$7</f>
        <v>19565.951577762131</v>
      </c>
    </row>
    <row r="200" spans="1:10" x14ac:dyDescent="0.25">
      <c r="A200" s="3" t="s">
        <v>239</v>
      </c>
      <c r="B200" s="25">
        <f>LN(②原始價格與FX!B188/②原始價格與FX!B187)</f>
        <v>1.3083150736015554E-2</v>
      </c>
      <c r="C200" s="25">
        <f>LN(②原始價格與FX!C188/②原始價格與FX!C187)</f>
        <v>4.2340650941732026E-3</v>
      </c>
      <c r="D200" s="25">
        <f>LN(②原始價格與FX!D188/②原始價格與FX!D187)</f>
        <v>-3.1653399852136908E-2</v>
      </c>
      <c r="E200" s="25">
        <f>LN(②原始價格與FX!G188/②原始價格與FX!G187)</f>
        <v>-8.9624908606446025E-4</v>
      </c>
      <c r="F200" s="25">
        <f>LN(②原始價格與FX!H188/②原始價格與FX!H187)</f>
        <v>-4.7283390392756459E-3</v>
      </c>
      <c r="G200" s="25">
        <f t="shared" si="6"/>
        <v>1.3083150736015554E-2</v>
      </c>
      <c r="H200" s="26">
        <f t="shared" si="7"/>
        <v>3.3378160081087424E-3</v>
      </c>
      <c r="I200" s="26">
        <f t="shared" si="8"/>
        <v>-3.6381738891412552E-2</v>
      </c>
      <c r="J200" s="27">
        <f>G200*①基本設定!$G$5+H200*①基本設定!$G$6+I200*①基本設定!$G$7</f>
        <v>14302.265603867956</v>
      </c>
    </row>
    <row r="201" spans="1:10" x14ac:dyDescent="0.25">
      <c r="A201" s="3" t="s">
        <v>240</v>
      </c>
      <c r="B201" s="25">
        <f>LN(②原始價格與FX!B189/②原始價格與FX!B188)</f>
        <v>6.6721629660065809E-3</v>
      </c>
      <c r="C201" s="25">
        <f>LN(②原始價格與FX!C189/②原始價格與FX!C188)</f>
        <v>3.3378439644995567E-2</v>
      </c>
      <c r="D201" s="25">
        <f>LN(②原始價格與FX!D189/②原始價格與FX!D188)</f>
        <v>8.9648200873600344E-4</v>
      </c>
      <c r="E201" s="25">
        <f>LN(②原始價格與FX!G189/②原始價格與FX!G188)</f>
        <v>4.1590472332528371E-3</v>
      </c>
      <c r="F201" s="25">
        <f>LN(②原始價格與FX!H189/②原始價格與FX!H188)</f>
        <v>-7.9723071462620729E-4</v>
      </c>
      <c r="G201" s="25">
        <f t="shared" si="6"/>
        <v>6.6721629660065809E-3</v>
      </c>
      <c r="H201" s="26">
        <f t="shared" si="7"/>
        <v>3.7537486878248406E-2</v>
      </c>
      <c r="I201" s="26">
        <f t="shared" si="8"/>
        <v>9.9251294109796158E-5</v>
      </c>
      <c r="J201" s="27">
        <f>G201*①基本設定!$G$5+H201*①基本設定!$G$6+I201*①基本設定!$G$7</f>
        <v>44789.549219019005</v>
      </c>
    </row>
    <row r="202" spans="1:10" x14ac:dyDescent="0.25">
      <c r="A202" s="3" t="s">
        <v>241</v>
      </c>
      <c r="B202" s="25">
        <f>LN(②原始價格與FX!B190/②原始價格與FX!B189)</f>
        <v>6.3005083380317777E-3</v>
      </c>
      <c r="C202" s="25">
        <f>LN(②原始價格與FX!C190/②原始價格與FX!C189)</f>
        <v>-3.3564862118535127E-3</v>
      </c>
      <c r="D202" s="25">
        <f>LN(②原始價格與FX!D190/②原始價格與FX!D189)</f>
        <v>6.8125542550648175E-3</v>
      </c>
      <c r="E202" s="25">
        <f>LN(②原始價格與FX!G190/②原始價格與FX!G189)</f>
        <v>-1.1175637653003305E-3</v>
      </c>
      <c r="F202" s="25">
        <f>LN(②原始價格與FX!H190/②原始價格與FX!H189)</f>
        <v>-5.1342592374168383E-3</v>
      </c>
      <c r="G202" s="25">
        <f t="shared" si="6"/>
        <v>6.3005083380317777E-3</v>
      </c>
      <c r="H202" s="26">
        <f t="shared" si="7"/>
        <v>-4.474049977153843E-3</v>
      </c>
      <c r="I202" s="26">
        <f t="shared" si="8"/>
        <v>1.6782950176479792E-3</v>
      </c>
      <c r="J202" s="27">
        <f>G202*①基本設定!$G$5+H202*①基本設定!$G$6+I202*①基本設定!$G$7</f>
        <v>770.77784919432963</v>
      </c>
    </row>
    <row r="203" spans="1:10" x14ac:dyDescent="0.25">
      <c r="A203" s="3" t="s">
        <v>242</v>
      </c>
      <c r="B203" s="25">
        <f>LN(②原始價格與FX!B191/②原始價格與FX!B190)</f>
        <v>-4.9714012904159477E-3</v>
      </c>
      <c r="C203" s="25">
        <f>LN(②原始價格與FX!C191/②原始價格與FX!C190)</f>
        <v>4.0025701179730741E-2</v>
      </c>
      <c r="D203" s="25">
        <f>LN(②原始價格與FX!D191/②原始價格與FX!D190)</f>
        <v>1.8317699338702451E-2</v>
      </c>
      <c r="E203" s="25">
        <f>LN(②原始價格與FX!G191/②原始價格與FX!G190)</f>
        <v>1.6214596374845168E-3</v>
      </c>
      <c r="F203" s="25">
        <f>LN(②原始價格與FX!H191/②原始價格與FX!H190)</f>
        <v>7.1701219883668448E-4</v>
      </c>
      <c r="G203" s="25">
        <f t="shared" si="6"/>
        <v>-4.9714012904159477E-3</v>
      </c>
      <c r="H203" s="26">
        <f t="shared" si="7"/>
        <v>4.1647160817215256E-2</v>
      </c>
      <c r="I203" s="26">
        <f t="shared" si="8"/>
        <v>1.9034711537539134E-2</v>
      </c>
      <c r="J203" s="27">
        <f>G203*①基本設定!$G$5+H203*①基本設定!$G$6+I203*①基本設定!$G$7</f>
        <v>39280.565767338361</v>
      </c>
    </row>
    <row r="204" spans="1:10" x14ac:dyDescent="0.25">
      <c r="A204" s="3" t="s">
        <v>243</v>
      </c>
      <c r="B204" s="25">
        <f>LN(②原始價格與FX!B192/②原始價格與FX!B191)</f>
        <v>1.7498433716682071E-3</v>
      </c>
      <c r="C204" s="25">
        <f>LN(②原始價格與FX!C192/②原始價格與FX!C191)</f>
        <v>6.7005433127764937E-3</v>
      </c>
      <c r="D204" s="25">
        <f>LN(②原始價格與FX!D192/②原始價格與FX!D191)</f>
        <v>4.6082456909769384E-3</v>
      </c>
      <c r="E204" s="25">
        <f>LN(②原始價格與FX!G192/②原始價格與FX!G191)</f>
        <v>-1.0573487301446136E-4</v>
      </c>
      <c r="F204" s="25">
        <f>LN(②原始價格與FX!H192/②原始價格與FX!H191)</f>
        <v>-6.5141298831624082E-3</v>
      </c>
      <c r="G204" s="25">
        <f t="shared" si="6"/>
        <v>1.7498433716682071E-3</v>
      </c>
      <c r="H204" s="26">
        <f t="shared" si="7"/>
        <v>6.5948084397620321E-3</v>
      </c>
      <c r="I204" s="26">
        <f t="shared" si="8"/>
        <v>-1.9058841921854698E-3</v>
      </c>
      <c r="J204" s="27">
        <f>G204*①基本設定!$G$5+H204*①基本設定!$G$6+I204*①基本設定!$G$7</f>
        <v>8343.5125952161197</v>
      </c>
    </row>
    <row r="205" spans="1:10" x14ac:dyDescent="0.25">
      <c r="A205" s="3" t="s">
        <v>244</v>
      </c>
      <c r="B205" s="25">
        <f>LN(②原始價格與FX!B193/②原始價格與FX!B192)</f>
        <v>3.0666050274308562E-2</v>
      </c>
      <c r="C205" s="25">
        <f>LN(②原始價格與FX!C193/②原始價格與FX!C192)</f>
        <v>-2.9259647814715334E-3</v>
      </c>
      <c r="D205" s="25">
        <f>LN(②原始價格與FX!D193/②原始價格與FX!D192)</f>
        <v>-1.2151668467025024E-2</v>
      </c>
      <c r="E205" s="25">
        <f>LN(②原始價格與FX!G193/②原始價格與FX!G192)</f>
        <v>-4.8134270071612485E-3</v>
      </c>
      <c r="F205" s="25">
        <f>LN(②原始價格與FX!H193/②原始價格與FX!H192)</f>
        <v>-1.4439209201699119E-3</v>
      </c>
      <c r="G205" s="25">
        <f t="shared" si="6"/>
        <v>3.0666050274308562E-2</v>
      </c>
      <c r="H205" s="26">
        <f t="shared" si="7"/>
        <v>-7.7393917886327823E-3</v>
      </c>
      <c r="I205" s="26">
        <f t="shared" si="8"/>
        <v>-1.3595589387194936E-2</v>
      </c>
      <c r="J205" s="27">
        <f>G205*①基本設定!$G$5+H205*①基本設定!$G$6+I205*①基本設定!$G$7</f>
        <v>18118.498032722411</v>
      </c>
    </row>
    <row r="206" spans="1:10" x14ac:dyDescent="0.25">
      <c r="A206" s="3" t="s">
        <v>245</v>
      </c>
      <c r="B206" s="25">
        <f>LN(②原始價格與FX!B194/②原始價格與FX!B193)</f>
        <v>1.2304646158692891E-2</v>
      </c>
      <c r="C206" s="25">
        <f>LN(②原始價格與FX!C194/②原始價格與FX!C193)</f>
        <v>5.7541915641007345E-4</v>
      </c>
      <c r="D206" s="25">
        <f>LN(②原始價格與FX!D194/②原始價格與FX!D193)</f>
        <v>-1.0596293114645007E-2</v>
      </c>
      <c r="E206" s="25">
        <f>LN(②原始價格與FX!G194/②原始價格與FX!G193)</f>
        <v>6.6311319489013223E-3</v>
      </c>
      <c r="F206" s="25">
        <f>LN(②原始價格與FX!H194/②原始價格與FX!H193)</f>
        <v>-5.5263886457630675E-4</v>
      </c>
      <c r="G206" s="25">
        <f t="shared" si="6"/>
        <v>1.2304646158692891E-2</v>
      </c>
      <c r="H206" s="26">
        <f t="shared" si="7"/>
        <v>7.2065511053113953E-3</v>
      </c>
      <c r="I206" s="26">
        <f t="shared" si="8"/>
        <v>-1.1148931979221314E-2</v>
      </c>
      <c r="J206" s="27">
        <f>G206*①基本設定!$G$5+H206*①基本設定!$G$6+I206*①基本設定!$G$7</f>
        <v>17937.860924941328</v>
      </c>
    </row>
    <row r="207" spans="1:10" x14ac:dyDescent="0.25">
      <c r="A207" s="3" t="s">
        <v>246</v>
      </c>
      <c r="B207" s="25">
        <f>LN(②原始價格與FX!B195/②原始價格與FX!B194)</f>
        <v>-3.6199889003112405E-2</v>
      </c>
      <c r="C207" s="25">
        <f>LN(②原始價格與FX!C195/②原始價格與FX!C194)</f>
        <v>-9.2730683530454893E-3</v>
      </c>
      <c r="D207" s="25">
        <f>LN(②原始價格與FX!D195/②原始價格與FX!D194)</f>
        <v>-1.9563162415152987E-2</v>
      </c>
      <c r="E207" s="25">
        <f>LN(②原始價格與FX!G195/②原始價格與FX!G194)</f>
        <v>2.2481361574652622E-3</v>
      </c>
      <c r="F207" s="25">
        <f>LN(②原始價格與FX!H195/②原始價格與FX!H194)</f>
        <v>7.5404915448568366E-3</v>
      </c>
      <c r="G207" s="25">
        <f t="shared" si="6"/>
        <v>-3.6199889003112405E-2</v>
      </c>
      <c r="H207" s="26">
        <f t="shared" si="7"/>
        <v>-7.0249321955802267E-3</v>
      </c>
      <c r="I207" s="26">
        <f t="shared" si="8"/>
        <v>-1.202267087029615E-2</v>
      </c>
      <c r="J207" s="28">
        <f>G207*①基本設定!$G$5+H207*①基本設定!$G$6+I207*①基本設定!$G$7</f>
        <v>-38514.415932369011</v>
      </c>
    </row>
    <row r="208" spans="1:10" x14ac:dyDescent="0.25">
      <c r="A208" s="3" t="s">
        <v>247</v>
      </c>
      <c r="B208" s="25">
        <f>LN(②原始價格與FX!B196/②原始價格與FX!B195)</f>
        <v>2.2790842779985936E-2</v>
      </c>
      <c r="C208" s="25">
        <f>LN(②原始價格與FX!C196/②原始價格與FX!C195)</f>
        <v>-1.1760312872384731E-2</v>
      </c>
      <c r="D208" s="25">
        <f>LN(②原始價格與FX!D196/②原始價格與FX!D195)</f>
        <v>1.0701908553731867E-2</v>
      </c>
      <c r="E208" s="25">
        <f>LN(②原始價格與FX!G196/②原始價格與FX!G195)</f>
        <v>4.2159464548825196E-3</v>
      </c>
      <c r="F208" s="25">
        <f>LN(②原始價格與FX!H196/②原始價格與FX!H195)</f>
        <v>7.1719369412474203E-4</v>
      </c>
      <c r="G208" s="25">
        <f t="shared" ref="G208:G265" si="9">B208</f>
        <v>2.2790842779985936E-2</v>
      </c>
      <c r="H208" s="26">
        <f t="shared" ref="H208:H265" si="10">C208+E208</f>
        <v>-7.544366417502211E-3</v>
      </c>
      <c r="I208" s="26">
        <f t="shared" ref="I208:I265" si="11">D208+F208</f>
        <v>1.1419102247856609E-2</v>
      </c>
      <c r="J208" s="27">
        <f>G208*①基本設定!$G$5+H208*①基本設定!$G$6+I208*①基本設定!$G$7</f>
        <v>11837.447510653627</v>
      </c>
    </row>
    <row r="209" spans="1:10" x14ac:dyDescent="0.25">
      <c r="A209" s="3" t="s">
        <v>248</v>
      </c>
      <c r="B209" s="25">
        <f>LN(②原始價格與FX!B197/②原始價格與FX!B196)</f>
        <v>2.1642186400909312E-4</v>
      </c>
      <c r="C209" s="25">
        <f>LN(②原始價格與FX!C197/②原始價格與FX!C196)</f>
        <v>-1.0711943173231469E-2</v>
      </c>
      <c r="D209" s="25">
        <f>LN(②原始價格與FX!D197/②原始價格與FX!D196)</f>
        <v>2.5801838978134126E-2</v>
      </c>
      <c r="E209" s="25">
        <f>LN(②原始價格與FX!G197/②原始價格與FX!G196)</f>
        <v>-5.4432675161693415E-3</v>
      </c>
      <c r="F209" s="25">
        <f>LN(②原始價格與FX!H197/②原始價格與FX!H196)</f>
        <v>1.0116338748442258E-3</v>
      </c>
      <c r="G209" s="25">
        <f t="shared" si="9"/>
        <v>2.1642186400909312E-4</v>
      </c>
      <c r="H209" s="26">
        <f t="shared" si="10"/>
        <v>-1.615521068940081E-2</v>
      </c>
      <c r="I209" s="26">
        <f t="shared" si="11"/>
        <v>2.6813472852978353E-2</v>
      </c>
      <c r="J209" s="28">
        <f>G209*①基本設定!$G$5+H209*①基本設定!$G$6+I209*①基本設定!$G$7</f>
        <v>-16329.901701532115</v>
      </c>
    </row>
    <row r="210" spans="1:10" x14ac:dyDescent="0.25">
      <c r="A210" s="3" t="s">
        <v>249</v>
      </c>
      <c r="B210" s="25">
        <f>LN(②原始價格與FX!B198/②原始價格與FX!B197)</f>
        <v>3.0597351266411006E-2</v>
      </c>
      <c r="C210" s="25">
        <f>LN(②原始價格與FX!C198/②原始價格與FX!C197)</f>
        <v>4.0942818136860291E-3</v>
      </c>
      <c r="D210" s="25">
        <f>LN(②原始價格與FX!D198/②原始價格與FX!D197)</f>
        <v>2.4217620784248487E-3</v>
      </c>
      <c r="E210" s="25">
        <f>LN(②原始價格與FX!G198/②原始價格與FX!G197)</f>
        <v>2.0756472161470841E-3</v>
      </c>
      <c r="F210" s="25">
        <f>LN(②原始價格與FX!H198/②原始價格與FX!H197)</f>
        <v>1.7258438817446728E-3</v>
      </c>
      <c r="G210" s="25">
        <f t="shared" si="9"/>
        <v>3.0597351266411006E-2</v>
      </c>
      <c r="H210" s="26">
        <f t="shared" si="10"/>
        <v>6.1699290298331128E-3</v>
      </c>
      <c r="I210" s="26">
        <f t="shared" si="11"/>
        <v>4.1476059601695215E-3</v>
      </c>
      <c r="J210" s="27">
        <f>G210*①基本設定!$G$5+H210*①基本設定!$G$6+I210*①基本設定!$G$7</f>
        <v>32729.050786995678</v>
      </c>
    </row>
    <row r="211" spans="1:10" x14ac:dyDescent="0.25">
      <c r="A211" s="3" t="s">
        <v>250</v>
      </c>
      <c r="B211" s="25">
        <f>LN(②原始價格與FX!B199/②原始價格與FX!B198)</f>
        <v>-4.0452015803615904E-2</v>
      </c>
      <c r="C211" s="25">
        <f>LN(②原始價格與FX!C199/②原始價格與FX!C198)</f>
        <v>6.1368792781135587E-3</v>
      </c>
      <c r="D211" s="25">
        <f>LN(②原始價格與FX!D199/②原始價格與FX!D198)</f>
        <v>-7.1573668242591133E-3</v>
      </c>
      <c r="E211" s="25">
        <f>LN(②原始價格與FX!G199/②原始價格與FX!G198)</f>
        <v>-1.4215083696827876E-3</v>
      </c>
      <c r="F211" s="25">
        <f>LN(②原始價格與FX!H199/②原始價格與FX!H198)</f>
        <v>-5.2710489116819239E-3</v>
      </c>
      <c r="G211" s="25">
        <f t="shared" si="9"/>
        <v>-4.0452015803615904E-2</v>
      </c>
      <c r="H211" s="26">
        <f t="shared" si="10"/>
        <v>4.7153709084307716E-3</v>
      </c>
      <c r="I211" s="26">
        <f t="shared" si="11"/>
        <v>-1.2428415735941037E-2</v>
      </c>
      <c r="J211" s="28">
        <f>G211*①基本設定!$G$5+H211*①基本設定!$G$6+I211*①基本設定!$G$7</f>
        <v>-29951.709277512124</v>
      </c>
    </row>
    <row r="212" spans="1:10" x14ac:dyDescent="0.25">
      <c r="A212" s="3" t="s">
        <v>251</v>
      </c>
      <c r="B212" s="25">
        <f>LN(②原始價格與FX!B200/②原始價格與FX!B199)</f>
        <v>2.5046031926087734E-2</v>
      </c>
      <c r="C212" s="25">
        <f>LN(②原始價格與FX!C200/②原始價格與FX!C199)</f>
        <v>7.7447960179896419E-4</v>
      </c>
      <c r="D212" s="25">
        <f>LN(②原始價格與FX!D200/②原始價格與FX!D199)</f>
        <v>1.750215834891402E-2</v>
      </c>
      <c r="E212" s="25">
        <f>LN(②原始價格與FX!G200/②原始價格與FX!G199)</f>
        <v>1.7742496994619015E-3</v>
      </c>
      <c r="F212" s="25">
        <f>LN(②原始價格與FX!H200/②原始價格與FX!H199)</f>
        <v>4.5558165358606613E-3</v>
      </c>
      <c r="G212" s="25">
        <f t="shared" si="9"/>
        <v>2.5046031926087734E-2</v>
      </c>
      <c r="H212" s="26">
        <f t="shared" si="10"/>
        <v>2.5487293012608657E-3</v>
      </c>
      <c r="I212" s="26">
        <f t="shared" si="11"/>
        <v>2.2057974884774682E-2</v>
      </c>
      <c r="J212" s="27">
        <f>G212*①基本設定!$G$5+H212*①基本設定!$G$6+I212*①基本設定!$G$7</f>
        <v>24393.250972881349</v>
      </c>
    </row>
    <row r="213" spans="1:10" x14ac:dyDescent="0.25">
      <c r="A213" s="3" t="s">
        <v>252</v>
      </c>
      <c r="B213" s="25">
        <f>LN(②原始價格與FX!B201/②原始價格與FX!B200)</f>
        <v>1.1133040783964132E-2</v>
      </c>
      <c r="C213" s="25">
        <f>LN(②原始價格與FX!C201/②原始價格與FX!C200)</f>
        <v>1.3285972223590689E-2</v>
      </c>
      <c r="D213" s="25">
        <f>LN(②原始價格與FX!D201/②原始價格與FX!D200)</f>
        <v>-2.9659677196577018E-3</v>
      </c>
      <c r="E213" s="25">
        <f>LN(②原始價格與FX!G201/②原始價格與FX!G200)</f>
        <v>9.2809865070478252E-6</v>
      </c>
      <c r="F213" s="25">
        <f>LN(②原始價格與FX!H201/②原始價格與FX!H200)</f>
        <v>-7.9998320091316554E-4</v>
      </c>
      <c r="G213" s="25">
        <f t="shared" si="9"/>
        <v>1.1133040783964132E-2</v>
      </c>
      <c r="H213" s="26">
        <f t="shared" si="10"/>
        <v>1.3295253210097738E-2</v>
      </c>
      <c r="I213" s="26">
        <f t="shared" si="11"/>
        <v>-3.7659509205708675E-3</v>
      </c>
      <c r="J213" s="27">
        <f>G213*①基本設定!$G$5+H213*①基本設定!$G$6+I213*①基本設定!$G$7</f>
        <v>23349.468174439418</v>
      </c>
    </row>
    <row r="214" spans="1:10" x14ac:dyDescent="0.25">
      <c r="A214" s="3" t="s">
        <v>253</v>
      </c>
      <c r="B214" s="25">
        <f>LN(②原始價格與FX!B202/②原始價格與FX!B201)</f>
        <v>-1.0987221588291305E-2</v>
      </c>
      <c r="C214" s="25">
        <f>LN(②原始價格與FX!C202/②原始價格與FX!C201)</f>
        <v>-2.0735095629382628E-2</v>
      </c>
      <c r="D214" s="25">
        <f>LN(②原始價格與FX!D202/②原始價格與FX!D201)</f>
        <v>-4.4565487244155051E-4</v>
      </c>
      <c r="E214" s="25">
        <f>LN(②原始價格與FX!G202/②原始價格與FX!G201)</f>
        <v>1.0451066465220222E-3</v>
      </c>
      <c r="F214" s="25">
        <f>LN(②原始價格與FX!H202/②原始價格與FX!H201)</f>
        <v>-5.5331601961095076E-3</v>
      </c>
      <c r="G214" s="25">
        <f t="shared" si="9"/>
        <v>-1.0987221588291305E-2</v>
      </c>
      <c r="H214" s="26">
        <f t="shared" si="10"/>
        <v>-1.9689988982860604E-2</v>
      </c>
      <c r="I214" s="26">
        <f t="shared" si="11"/>
        <v>-5.9788150685510582E-3</v>
      </c>
      <c r="J214" s="28">
        <f>G214*①基本設定!$G$5+H214*①基本設定!$G$6+I214*①基本設定!$G$7</f>
        <v>-29986.029208095013</v>
      </c>
    </row>
    <row r="215" spans="1:10" x14ac:dyDescent="0.25">
      <c r="A215" s="3" t="s">
        <v>254</v>
      </c>
      <c r="B215" s="25">
        <f>LN(②原始價格與FX!B203/②原始價格與FX!B202)</f>
        <v>-1.482479524300641E-2</v>
      </c>
      <c r="C215" s="25">
        <f>LN(②原始價格與FX!C203/②原始價格與FX!C202)</f>
        <v>6.2203594943753202E-3</v>
      </c>
      <c r="D215" s="25">
        <f>LN(②原始價格與FX!D203/②原始價格與FX!D202)</f>
        <v>-4.0119559331243553E-2</v>
      </c>
      <c r="E215" s="25">
        <f>LN(②原始價格與FX!G203/②原始價格與FX!G202)</f>
        <v>-1.9891146648640138E-3</v>
      </c>
      <c r="F215" s="25">
        <f>LN(②原始價格與FX!H203/②原始價格與FX!H202)</f>
        <v>-3.3889689386450687E-4</v>
      </c>
      <c r="G215" s="25">
        <f t="shared" si="9"/>
        <v>-1.482479524300641E-2</v>
      </c>
      <c r="H215" s="26">
        <f t="shared" si="10"/>
        <v>4.2312448295113063E-3</v>
      </c>
      <c r="I215" s="26">
        <f t="shared" si="11"/>
        <v>-4.0458456225108061E-2</v>
      </c>
      <c r="J215" s="28">
        <f>G215*①基本設定!$G$5+H215*①基本設定!$G$6+I215*①基本設定!$G$7</f>
        <v>-8767.4568812257276</v>
      </c>
    </row>
    <row r="216" spans="1:10" x14ac:dyDescent="0.25">
      <c r="A216" s="3" t="s">
        <v>255</v>
      </c>
      <c r="B216" s="25">
        <f>LN(②原始價格與FX!B204/②原始價格與FX!B203)</f>
        <v>2.899078931298852E-2</v>
      </c>
      <c r="C216" s="25">
        <f>LN(②原始價格與FX!C204/②原始價格與FX!C203)</f>
        <v>1.8301025891839632E-2</v>
      </c>
      <c r="D216" s="25">
        <f>LN(②原始價格與FX!D204/②原始價格與FX!D203)</f>
        <v>1.1660669534309255E-2</v>
      </c>
      <c r="E216" s="25">
        <f>LN(②原始價格與FX!G204/②原始價格與FX!G203)</f>
        <v>-4.1984599074076645E-3</v>
      </c>
      <c r="F216" s="25">
        <f>LN(②原始價格與FX!H204/②原始價格與FX!H203)</f>
        <v>2.7924706108906935E-3</v>
      </c>
      <c r="G216" s="25">
        <f t="shared" si="9"/>
        <v>2.899078931298852E-2</v>
      </c>
      <c r="H216" s="26">
        <f t="shared" si="10"/>
        <v>1.4102565984431967E-2</v>
      </c>
      <c r="I216" s="26">
        <f t="shared" si="11"/>
        <v>1.4453140145199949E-2</v>
      </c>
      <c r="J216" s="27">
        <f>G216*①基本設定!$G$5+H216*①基本設定!$G$6+I216*①基本設定!$G$7</f>
        <v>39718.314857864301</v>
      </c>
    </row>
    <row r="217" spans="1:10" x14ac:dyDescent="0.25">
      <c r="A217" s="3" t="s">
        <v>256</v>
      </c>
      <c r="B217" s="25">
        <f>LN(②原始價格與FX!B205/②原始價格與FX!B204)</f>
        <v>-1.3840781697831608E-2</v>
      </c>
      <c r="C217" s="25">
        <f>LN(②原始價格與FX!C205/②原始價格與FX!C204)</f>
        <v>-1.6458445759071499E-2</v>
      </c>
      <c r="D217" s="25">
        <f>LN(②原始價格與FX!D205/②原始價格與FX!D204)</f>
        <v>-1.4267627195832947E-2</v>
      </c>
      <c r="E217" s="25">
        <f>LN(②原始價格與FX!G205/②原始價格與FX!G204)</f>
        <v>1.0572073566614147E-4</v>
      </c>
      <c r="F217" s="25">
        <f>LN(②原始價格與FX!H205/②原始價格與FX!H204)</f>
        <v>2.6582854954332624E-3</v>
      </c>
      <c r="G217" s="25">
        <f t="shared" si="9"/>
        <v>-1.3840781697831608E-2</v>
      </c>
      <c r="H217" s="26">
        <f t="shared" si="10"/>
        <v>-1.6352725023405356E-2</v>
      </c>
      <c r="I217" s="26">
        <f t="shared" si="11"/>
        <v>-1.1609341700399685E-2</v>
      </c>
      <c r="J217" s="28">
        <f>G217*①基本設定!$G$5+H217*①基本設定!$G$6+I217*①基本設定!$G$7</f>
        <v>-29024.63759600238</v>
      </c>
    </row>
    <row r="218" spans="1:10" x14ac:dyDescent="0.25">
      <c r="A218" s="3" t="s">
        <v>257</v>
      </c>
      <c r="B218" s="25">
        <f>LN(②原始價格與FX!B206/②原始價格與FX!B205)</f>
        <v>1.4890766597147703E-2</v>
      </c>
      <c r="C218" s="25">
        <f>LN(②原始價格與FX!C206/②原始價格與FX!C205)</f>
        <v>8.9243620195402391E-3</v>
      </c>
      <c r="D218" s="25">
        <f>LN(②原始價格與FX!D206/②原始價格與FX!D205)</f>
        <v>1.4395014108273742E-2</v>
      </c>
      <c r="E218" s="25">
        <f>LN(②原始價格與FX!G206/②原始價格與FX!G205)</f>
        <v>-4.4780310448798355E-3</v>
      </c>
      <c r="F218" s="25">
        <f>LN(②原始價格與FX!H206/②原始價格與FX!H205)</f>
        <v>1.1371055574669459E-3</v>
      </c>
      <c r="G218" s="25">
        <f t="shared" si="9"/>
        <v>1.4890766597147703E-2</v>
      </c>
      <c r="H218" s="26">
        <f t="shared" si="10"/>
        <v>4.4463309746604037E-3</v>
      </c>
      <c r="I218" s="26">
        <f t="shared" si="11"/>
        <v>1.5532119665740687E-2</v>
      </c>
      <c r="J218" s="27">
        <f>G218*①基本設定!$G$5+H218*①基本設定!$G$6+I218*①基本設定!$G$7</f>
        <v>17579.321061373532</v>
      </c>
    </row>
    <row r="219" spans="1:10" x14ac:dyDescent="0.25">
      <c r="A219" s="3" t="s">
        <v>258</v>
      </c>
      <c r="B219" s="25">
        <f>LN(②原始價格與FX!B207/②原始價格與FX!B206)</f>
        <v>2.0187020919978857E-2</v>
      </c>
      <c r="C219" s="25">
        <f>LN(②原始價格與FX!C207/②原始價格與FX!C206)</f>
        <v>1.7743182970984886E-2</v>
      </c>
      <c r="D219" s="25">
        <f>LN(②原始價格與FX!D207/②原始價格與FX!D206)</f>
        <v>2.6199517347900211E-2</v>
      </c>
      <c r="E219" s="25">
        <f>LN(②原始價格與FX!G207/②原始價格與FX!G206)</f>
        <v>-2.8054632634024216E-3</v>
      </c>
      <c r="F219" s="25">
        <f>LN(②原始價格與FX!H207/②原始價格與FX!H206)</f>
        <v>1.2198970910236556E-3</v>
      </c>
      <c r="G219" s="25">
        <f t="shared" si="9"/>
        <v>2.0187020919978857E-2</v>
      </c>
      <c r="H219" s="26">
        <f t="shared" si="10"/>
        <v>1.4937719707582463E-2</v>
      </c>
      <c r="I219" s="26">
        <f t="shared" si="11"/>
        <v>2.7419414438923866E-2</v>
      </c>
      <c r="J219" s="27">
        <f>G219*①基本設定!$G$5+H219*①基本設定!$G$6+I219*①基本設定!$G$7</f>
        <v>33173.610834733321</v>
      </c>
    </row>
    <row r="220" spans="1:10" x14ac:dyDescent="0.25">
      <c r="A220" s="3" t="s">
        <v>259</v>
      </c>
      <c r="B220" s="25">
        <f>LN(②原始價格與FX!B208/②原始價格與FX!B207)</f>
        <v>8.2243076198011916E-4</v>
      </c>
      <c r="C220" s="25">
        <f>LN(②原始價格與FX!C208/②原始價格與FX!C207)</f>
        <v>-1.6131493915826123E-2</v>
      </c>
      <c r="D220" s="25">
        <f>LN(②原始價格與FX!D208/②原始價格與FX!D207)</f>
        <v>2.7826137345115597E-2</v>
      </c>
      <c r="E220" s="25">
        <f>LN(②原始價格與FX!G208/②原始價格與FX!G207)</f>
        <v>-3.0143888423165175E-3</v>
      </c>
      <c r="F220" s="25">
        <f>LN(②原始價格與FX!H208/②原始價格與FX!H207)</f>
        <v>1.0924370834346552E-3</v>
      </c>
      <c r="G220" s="25">
        <f t="shared" si="9"/>
        <v>8.2243076198011916E-4</v>
      </c>
      <c r="H220" s="26">
        <f t="shared" si="10"/>
        <v>-1.9145882758142642E-2</v>
      </c>
      <c r="I220" s="26">
        <f t="shared" si="11"/>
        <v>2.8918574428550253E-2</v>
      </c>
      <c r="J220" s="28">
        <f>G220*①基本設定!$G$5+H220*①基本設定!$G$6+I220*①基本設定!$G$7</f>
        <v>-18898.636378948693</v>
      </c>
    </row>
    <row r="221" spans="1:10" x14ac:dyDescent="0.25">
      <c r="A221" s="3" t="s">
        <v>260</v>
      </c>
      <c r="B221" s="25">
        <f>LN(②原始價格與FX!B209/②原始價格與FX!B208)</f>
        <v>2.8072617644038532E-2</v>
      </c>
      <c r="C221" s="25">
        <f>LN(②原始價格與FX!C209/②原始價格與FX!C208)</f>
        <v>-2.0429556265382443E-2</v>
      </c>
      <c r="D221" s="25">
        <f>LN(②原始價格與FX!D209/②原始價格與FX!D208)</f>
        <v>-3.2152425228050316E-3</v>
      </c>
      <c r="E221" s="25">
        <f>LN(②原始價格與FX!G209/②原始價格與FX!G208)</f>
        <v>7.2461476780350705E-3</v>
      </c>
      <c r="F221" s="25">
        <f>LN(②原始價格與FX!H209/②原始價格與FX!H208)</f>
        <v>-3.1966378429910797E-3</v>
      </c>
      <c r="G221" s="25">
        <f t="shared" si="9"/>
        <v>2.8072617644038532E-2</v>
      </c>
      <c r="H221" s="26">
        <f t="shared" si="10"/>
        <v>-1.3183408587347373E-2</v>
      </c>
      <c r="I221" s="26">
        <f t="shared" si="11"/>
        <v>-6.4118803657961113E-3</v>
      </c>
      <c r="J221" s="27">
        <f>G221*①基本設定!$G$5+H221*①基本設定!$G$6+I221*①基本設定!$G$7</f>
        <v>10306.562738128603</v>
      </c>
    </row>
    <row r="222" spans="1:10" x14ac:dyDescent="0.25">
      <c r="A222" s="3" t="s">
        <v>261</v>
      </c>
      <c r="B222" s="25">
        <f>LN(②原始價格與FX!B210/②原始價格與FX!B209)</f>
        <v>4.8339810629287848E-2</v>
      </c>
      <c r="C222" s="25">
        <f>LN(②原始價格與FX!C210/②原始價格與FX!C209)</f>
        <v>3.6509094032186676E-2</v>
      </c>
      <c r="D222" s="25">
        <f>LN(②原始價格與FX!D210/②原始價格與FX!D209)</f>
        <v>3.9547544166401105E-2</v>
      </c>
      <c r="E222" s="25">
        <f>LN(②原始價格與FX!G210/②原始價格與FX!G209)</f>
        <v>1.0224344179247311E-3</v>
      </c>
      <c r="F222" s="25">
        <f>LN(②原始價格與FX!H210/②原始價格與FX!H209)</f>
        <v>1.7257712375381156E-3</v>
      </c>
      <c r="G222" s="25">
        <f t="shared" si="9"/>
        <v>4.8339810629287848E-2</v>
      </c>
      <c r="H222" s="26">
        <f t="shared" si="10"/>
        <v>3.7531528450111408E-2</v>
      </c>
      <c r="I222" s="26">
        <f t="shared" si="11"/>
        <v>4.127331540393922E-2</v>
      </c>
      <c r="J222" s="27">
        <f>G222*①基本設定!$G$5+H222*①基本設定!$G$6+I222*①基本設定!$G$7</f>
        <v>81002.013418321018</v>
      </c>
    </row>
    <row r="223" spans="1:10" x14ac:dyDescent="0.25">
      <c r="A223" s="3" t="s">
        <v>262</v>
      </c>
      <c r="B223" s="25">
        <f>LN(②原始價格與FX!B211/②原始價格與FX!B210)</f>
        <v>-4.4026405644879078E-2</v>
      </c>
      <c r="C223" s="25">
        <f>LN(②原始價格與FX!C211/②原始價格與FX!C210)</f>
        <v>-1.6766169600679268E-2</v>
      </c>
      <c r="D223" s="25">
        <f>LN(②原始價格與FX!D211/②原始價格與FX!D210)</f>
        <v>-2.5529690411225863E-2</v>
      </c>
      <c r="E223" s="25">
        <f>LN(②原始價格與FX!G211/②原始價格與FX!G210)</f>
        <v>3.3312368968188154E-3</v>
      </c>
      <c r="F223" s="25">
        <f>LN(②原始價格與FX!H211/②原始價格與FX!H210)</f>
        <v>2.9815042977898833E-3</v>
      </c>
      <c r="G223" s="25">
        <f t="shared" si="9"/>
        <v>-4.4026405644879078E-2</v>
      </c>
      <c r="H223" s="26">
        <f t="shared" si="10"/>
        <v>-1.3434932703860453E-2</v>
      </c>
      <c r="I223" s="26">
        <f t="shared" si="11"/>
        <v>-2.2548186113435981E-2</v>
      </c>
      <c r="J223" s="28">
        <f>G223*①基本設定!$G$5+H223*①基本設定!$G$6+I223*①基本設定!$G$7</f>
        <v>-52018.438472527836</v>
      </c>
    </row>
    <row r="224" spans="1:10" x14ac:dyDescent="0.25">
      <c r="A224" s="3" t="s">
        <v>263</v>
      </c>
      <c r="B224" s="25">
        <f>LN(②原始價格與FX!B212/②原始價格與FX!B211)</f>
        <v>-2.3041716081373883E-4</v>
      </c>
      <c r="C224" s="25">
        <f>LN(②原始價格與FX!C212/②原始價格與FX!C211)</f>
        <v>-2.3779013811392504E-4</v>
      </c>
      <c r="D224" s="25">
        <f>LN(②原始價格與FX!D212/②原始價格與FX!D211)</f>
        <v>2.3362791838588661E-2</v>
      </c>
      <c r="E224" s="25">
        <f>LN(②原始價格與FX!G212/②原始價格與FX!G211)</f>
        <v>2.4594154773133182E-3</v>
      </c>
      <c r="F224" s="25">
        <f>LN(②原始價格與FX!H212/②原始價格與FX!H211)</f>
        <v>-5.2972460539151495E-3</v>
      </c>
      <c r="G224" s="25">
        <f t="shared" si="9"/>
        <v>-2.3041716081373883E-4</v>
      </c>
      <c r="H224" s="26">
        <f t="shared" si="10"/>
        <v>2.221625339199393E-3</v>
      </c>
      <c r="I224" s="26">
        <f t="shared" si="11"/>
        <v>1.8065545784673512E-2</v>
      </c>
      <c r="J224" s="27">
        <f>G224*①基本設定!$G$5+H224*①基本設定!$G$6+I224*①基本設定!$G$7</f>
        <v>2313.0910239882173</v>
      </c>
    </row>
    <row r="225" spans="1:10" x14ac:dyDescent="0.25">
      <c r="A225" s="3" t="s">
        <v>264</v>
      </c>
      <c r="B225" s="25">
        <f>LN(②原始價格與FX!B213/②原始價格與FX!B212)</f>
        <v>-8.7003268302693927E-3</v>
      </c>
      <c r="C225" s="25">
        <f>LN(②原始價格與FX!C213/②原始價格與FX!C212)</f>
        <v>-4.688067279601877E-3</v>
      </c>
      <c r="D225" s="25">
        <f>LN(②原始價格與FX!D213/②原始價格與FX!D212)</f>
        <v>-2.0882702810418503E-2</v>
      </c>
      <c r="E225" s="25">
        <f>LN(②原始價格與FX!G213/②原始價格與FX!G212)</f>
        <v>-1.3638718710934988E-3</v>
      </c>
      <c r="F225" s="25">
        <f>LN(②原始價格與FX!H213/②原始價格與FX!H212)</f>
        <v>-5.3678355393987969E-3</v>
      </c>
      <c r="G225" s="25">
        <f t="shared" si="9"/>
        <v>-8.7003268302693927E-3</v>
      </c>
      <c r="H225" s="26">
        <f t="shared" si="10"/>
        <v>-6.0519391506953756E-3</v>
      </c>
      <c r="I225" s="26">
        <f t="shared" si="11"/>
        <v>-2.62505383498173E-2</v>
      </c>
      <c r="J225" s="28">
        <f>G225*①基本設定!$G$5+H225*①基本設定!$G$6+I225*①基本設定!$G$7</f>
        <v>-14054.708791306175</v>
      </c>
    </row>
    <row r="226" spans="1:10" x14ac:dyDescent="0.25">
      <c r="A226" s="3" t="s">
        <v>265</v>
      </c>
      <c r="B226" s="25">
        <f>LN(②原始價格與FX!B214/②原始價格與FX!B213)</f>
        <v>-2.804137337731873E-2</v>
      </c>
      <c r="C226" s="25">
        <f>LN(②原始價格與FX!C214/②原始價格與FX!C213)</f>
        <v>-1.3275099914630665E-4</v>
      </c>
      <c r="D226" s="25">
        <f>LN(②原始價格與FX!D214/②原始價格與FX!D213)</f>
        <v>1.9739112044558492E-2</v>
      </c>
      <c r="E226" s="25">
        <f>LN(②原始價格與FX!G214/②原始價格與FX!G213)</f>
        <v>-3.1470941784384754E-3</v>
      </c>
      <c r="F226" s="25">
        <f>LN(②原始價格與FX!H214/②原始價格與FX!H213)</f>
        <v>5.494287098082782E-3</v>
      </c>
      <c r="G226" s="25">
        <f t="shared" si="9"/>
        <v>-2.804137337731873E-2</v>
      </c>
      <c r="H226" s="26">
        <f t="shared" si="10"/>
        <v>-3.2798451775847819E-3</v>
      </c>
      <c r="I226" s="26">
        <f t="shared" si="11"/>
        <v>2.5233399142641274E-2</v>
      </c>
      <c r="J226" s="28">
        <f>G226*①基本設定!$G$5+H226*①基本設定!$G$6+I226*①基本設定!$G$7</f>
        <v>-27204.01444488368</v>
      </c>
    </row>
    <row r="227" spans="1:10" x14ac:dyDescent="0.25">
      <c r="A227" s="3" t="s">
        <v>266</v>
      </c>
      <c r="B227" s="25">
        <f>LN(②原始價格與FX!B215/②原始價格與FX!B214)</f>
        <v>7.9295684712871292E-4</v>
      </c>
      <c r="C227" s="25">
        <f>LN(②原始價格與FX!C215/②原始價格與FX!C214)</f>
        <v>2.5506972822097646E-2</v>
      </c>
      <c r="D227" s="25">
        <f>LN(②原始價格與FX!D215/②原始價格與FX!D214)</f>
        <v>-2.4549643500761196E-3</v>
      </c>
      <c r="E227" s="25">
        <f>LN(②原始價格與FX!G215/②原始價格與FX!G214)</f>
        <v>-6.1005977987676249E-4</v>
      </c>
      <c r="F227" s="25">
        <f>LN(②原始價格與FX!H215/②原始價格與FX!H214)</f>
        <v>-4.5623600598217002E-3</v>
      </c>
      <c r="G227" s="25">
        <f t="shared" si="9"/>
        <v>7.9295684712871292E-4</v>
      </c>
      <c r="H227" s="26">
        <f t="shared" si="10"/>
        <v>2.4896913042220883E-2</v>
      </c>
      <c r="I227" s="26">
        <f t="shared" si="11"/>
        <v>-7.0173244098978198E-3</v>
      </c>
      <c r="J227" s="27">
        <f>G227*①基本設定!$G$5+H227*①基本設定!$G$6+I227*①基本設定!$G$7</f>
        <v>26511.012514638212</v>
      </c>
    </row>
    <row r="228" spans="1:10" x14ac:dyDescent="0.25">
      <c r="A228" s="3" t="s">
        <v>267</v>
      </c>
      <c r="B228" s="25">
        <f>LN(②原始價格與FX!B216/②原始價格與FX!B215)</f>
        <v>1.1948269784672744E-2</v>
      </c>
      <c r="C228" s="25">
        <f>LN(②原始價格與FX!C216/②原始價格與FX!C215)</f>
        <v>-3.0778129504306653E-2</v>
      </c>
      <c r="D228" s="25">
        <f>LN(②原始價格與FX!D216/②原始價格與FX!D215)</f>
        <v>3.7851396859334206E-3</v>
      </c>
      <c r="E228" s="25">
        <f>LN(②原始價格與FX!G216/②原始價格與FX!G215)</f>
        <v>-8.7216008419079005E-4</v>
      </c>
      <c r="F228" s="25">
        <f>LN(②原始價格與FX!H216/②原始價格與FX!H215)</f>
        <v>4.0564578567888771E-3</v>
      </c>
      <c r="G228" s="25">
        <f t="shared" si="9"/>
        <v>1.1948269784672744E-2</v>
      </c>
      <c r="H228" s="26">
        <f t="shared" si="10"/>
        <v>-3.1650289588497443E-2</v>
      </c>
      <c r="I228" s="26">
        <f t="shared" si="11"/>
        <v>7.8415975427222982E-3</v>
      </c>
      <c r="J228" s="28">
        <f>G228*①基本設定!$G$5+H228*①基本設定!$G$6+I228*①基本設定!$G$7</f>
        <v>-22593.183086799134</v>
      </c>
    </row>
    <row r="229" spans="1:10" x14ac:dyDescent="0.25">
      <c r="A229" s="3" t="s">
        <v>268</v>
      </c>
      <c r="B229" s="25">
        <f>LN(②原始價格與FX!B217/②原始價格與FX!B216)</f>
        <v>3.6295219763818103E-2</v>
      </c>
      <c r="C229" s="25">
        <f>LN(②原始價格與FX!C217/②原始價格與FX!C216)</f>
        <v>-1.5493525204322792E-3</v>
      </c>
      <c r="D229" s="25">
        <f>LN(②原始價格與FX!D217/②原始價格與FX!D216)</f>
        <v>1.6766305916402494E-2</v>
      </c>
      <c r="E229" s="25">
        <f>LN(②原始價格與FX!G217/②原始價格與FX!G216)</f>
        <v>-2.5242019970568028E-3</v>
      </c>
      <c r="F229" s="25">
        <f>LN(②原始價格與FX!H217/②原始價格與FX!H216)</f>
        <v>-1.2658763663490101E-3</v>
      </c>
      <c r="G229" s="25">
        <f t="shared" si="9"/>
        <v>3.6295219763818103E-2</v>
      </c>
      <c r="H229" s="26">
        <f t="shared" si="10"/>
        <v>-4.073554517489082E-3</v>
      </c>
      <c r="I229" s="26">
        <f t="shared" si="11"/>
        <v>1.5500429550053485E-2</v>
      </c>
      <c r="J229" s="27">
        <f>G229*①基本設定!$G$5+H229*①基本設定!$G$6+I229*①基本設定!$G$7</f>
        <v>27085.485907513499</v>
      </c>
    </row>
    <row r="230" spans="1:10" x14ac:dyDescent="0.25">
      <c r="A230" s="3" t="s">
        <v>269</v>
      </c>
      <c r="B230" s="25">
        <f>LN(②原始價格與FX!B218/②原始價格與FX!B217)</f>
        <v>9.1151761752185645E-3</v>
      </c>
      <c r="C230" s="25">
        <f>LN(②原始價格與FX!C218/②原始價格與FX!C217)</f>
        <v>-2.0874040817342415E-3</v>
      </c>
      <c r="D230" s="25">
        <f>LN(②原始價格與FX!D218/②原始價格與FX!D217)</f>
        <v>6.6058138017178226E-3</v>
      </c>
      <c r="E230" s="25">
        <f>LN(②原始價格與FX!G218/②原始價格與FX!G217)</f>
        <v>-2.6965999159953486E-3</v>
      </c>
      <c r="F230" s="25">
        <f>LN(②原始價格與FX!H218/②原始價格與FX!H217)</f>
        <v>-3.7648894911787665E-3</v>
      </c>
      <c r="G230" s="25">
        <f t="shared" si="9"/>
        <v>9.1151761752185645E-3</v>
      </c>
      <c r="H230" s="26">
        <f t="shared" si="10"/>
        <v>-4.7840039977295901E-3</v>
      </c>
      <c r="I230" s="26">
        <f t="shared" si="11"/>
        <v>2.8409243105390562E-3</v>
      </c>
      <c r="J230" s="27">
        <f>G230*①基本設定!$G$5+H230*①基本設定!$G$6+I230*①基本設定!$G$7</f>
        <v>2876.9918462572082</v>
      </c>
    </row>
    <row r="231" spans="1:10" x14ac:dyDescent="0.25">
      <c r="A231" s="3" t="s">
        <v>270</v>
      </c>
      <c r="B231" s="25">
        <f>LN(②原始價格與FX!B219/②原始價格與FX!B218)</f>
        <v>-2.8543579110543254E-3</v>
      </c>
      <c r="C231" s="25">
        <f>LN(②原始價格與FX!C219/②原始價格與FX!C218)</f>
        <v>-1.2453998205092196E-2</v>
      </c>
      <c r="D231" s="25">
        <f>LN(②原始價格與FX!D219/②原始價格與FX!D218)</f>
        <v>-3.1031832505157841E-3</v>
      </c>
      <c r="E231" s="25">
        <f>LN(②原始價格與FX!G219/②原始價格與FX!G218)</f>
        <v>1.3898760427197264E-3</v>
      </c>
      <c r="F231" s="25">
        <f>LN(②原始價格與FX!H219/②原始價格與FX!H218)</f>
        <v>5.3680624287331495E-3</v>
      </c>
      <c r="G231" s="25">
        <f t="shared" si="9"/>
        <v>-2.8543579110543254E-3</v>
      </c>
      <c r="H231" s="26">
        <f t="shared" si="10"/>
        <v>-1.1064122162372469E-2</v>
      </c>
      <c r="I231" s="26">
        <f t="shared" si="11"/>
        <v>2.2648791782173654E-3</v>
      </c>
      <c r="J231" s="28">
        <f>G231*①基本設定!$G$5+H231*①基本設定!$G$6+I231*①基本設定!$G$7</f>
        <v>-13938.3695886314</v>
      </c>
    </row>
    <row r="232" spans="1:10" x14ac:dyDescent="0.25">
      <c r="A232" s="3" t="s">
        <v>271</v>
      </c>
      <c r="B232" s="25">
        <f>LN(②原始價格與FX!B220/②原始價格與FX!B219)</f>
        <v>-4.9993146329042476E-3</v>
      </c>
      <c r="C232" s="25">
        <f>LN(②原始價格與FX!C220/②原始價格與FX!C219)</f>
        <v>8.4052985440116561E-4</v>
      </c>
      <c r="D232" s="25">
        <f>LN(②原始價格與FX!D220/②原始價格與FX!D219)</f>
        <v>-4.7813676876113161E-2</v>
      </c>
      <c r="E232" s="25">
        <f>LN(②原始價格與FX!G220/②原始價格與FX!G219)</f>
        <v>-1.9758303895152591E-3</v>
      </c>
      <c r="F232" s="25">
        <f>LN(②原始價格與FX!H220/②原始價格與FX!H219)</f>
        <v>6.5965239935901034E-3</v>
      </c>
      <c r="G232" s="25">
        <f t="shared" si="9"/>
        <v>-4.9993146329042476E-3</v>
      </c>
      <c r="H232" s="26">
        <f t="shared" si="10"/>
        <v>-1.1353005351140933E-3</v>
      </c>
      <c r="I232" s="26">
        <f t="shared" si="11"/>
        <v>-4.1217152882523055E-2</v>
      </c>
      <c r="J232" s="28">
        <f>G232*①基本設定!$G$5+H232*①基本設定!$G$6+I232*①基本設定!$G$7</f>
        <v>-5926.634914005861</v>
      </c>
    </row>
    <row r="233" spans="1:10" x14ac:dyDescent="0.25">
      <c r="A233" s="3" t="s">
        <v>272</v>
      </c>
      <c r="B233" s="25">
        <f>LN(②原始價格與FX!B221/②原始價格與FX!B220)</f>
        <v>-7.2078176888506389E-3</v>
      </c>
      <c r="C233" s="25">
        <f>LN(②原始價格與FX!C221/②原始價格與FX!C220)</f>
        <v>1.7223506305674947E-2</v>
      </c>
      <c r="D233" s="25">
        <f>LN(②原始價格與FX!D221/②原始價格與FX!D220)</f>
        <v>1.7277661634820127E-2</v>
      </c>
      <c r="E233" s="25">
        <f>LN(②原始價格與FX!G221/②原始價格與FX!G220)</f>
        <v>-2.5420630751121272E-3</v>
      </c>
      <c r="F233" s="25">
        <f>LN(②原始價格與FX!H221/②原始價格與FX!H220)</f>
        <v>7.7590911543985374E-3</v>
      </c>
      <c r="G233" s="25">
        <f t="shared" si="9"/>
        <v>-7.2078176888506389E-3</v>
      </c>
      <c r="H233" s="26">
        <f t="shared" si="10"/>
        <v>1.4681443230562819E-2</v>
      </c>
      <c r="I233" s="26">
        <f t="shared" si="11"/>
        <v>2.5036752789218665E-2</v>
      </c>
      <c r="J233" s="27">
        <f>G233*①基本設定!$G$5+H233*①基本設定!$G$6+I233*①基本設定!$G$7</f>
        <v>9366.5918514639943</v>
      </c>
    </row>
    <row r="234" spans="1:10" x14ac:dyDescent="0.25">
      <c r="A234" s="3" t="s">
        <v>273</v>
      </c>
      <c r="B234" s="25">
        <f>LN(②原始價格與FX!B222/②原始價格與FX!B221)</f>
        <v>2.5272270080808183E-2</v>
      </c>
      <c r="C234" s="25">
        <f>LN(②原始價格與FX!C222/②原始價格與FX!C221)</f>
        <v>6.3996394577609259E-3</v>
      </c>
      <c r="D234" s="25">
        <f>LN(②原始價格與FX!D222/②原始價格與FX!D221)</f>
        <v>2.801902423213893E-2</v>
      </c>
      <c r="E234" s="25">
        <f>LN(②原始價格與FX!G222/②原始價格與FX!G221)</f>
        <v>7.507378157461975E-4</v>
      </c>
      <c r="F234" s="25">
        <f>LN(②原始價格與FX!H222/②原始價格與FX!H221)</f>
        <v>7.9055067048884875E-3</v>
      </c>
      <c r="G234" s="25">
        <f t="shared" si="9"/>
        <v>2.5272270080808183E-2</v>
      </c>
      <c r="H234" s="26">
        <f t="shared" si="10"/>
        <v>7.1503772735071235E-3</v>
      </c>
      <c r="I234" s="26">
        <f t="shared" si="11"/>
        <v>3.5924530937027417E-2</v>
      </c>
      <c r="J234" s="27">
        <f>G234*①基本設定!$G$5+H234*①基本設定!$G$6+I234*①基本設定!$G$7</f>
        <v>29528.6922234593</v>
      </c>
    </row>
    <row r="235" spans="1:10" x14ac:dyDescent="0.25">
      <c r="A235" s="3" t="s">
        <v>274</v>
      </c>
      <c r="B235" s="25">
        <f>LN(②原始價格與FX!B223/②原始價格與FX!B222)</f>
        <v>3.3815622509002594E-2</v>
      </c>
      <c r="C235" s="25">
        <f>LN(②原始價格與FX!C223/②原始價格與FX!C222)</f>
        <v>1.7983238125994147E-3</v>
      </c>
      <c r="D235" s="25">
        <f>LN(②原始價格與FX!D223/②原始價格與FX!D222)</f>
        <v>4.320747420344718E-3</v>
      </c>
      <c r="E235" s="25">
        <f>LN(②原始價格與FX!G223/②原始價格與FX!G222)</f>
        <v>-3.1008264357589468E-3</v>
      </c>
      <c r="F235" s="25">
        <f>LN(②原始價格與FX!H223/②原始價格與FX!H222)</f>
        <v>3.498161889816262E-3</v>
      </c>
      <c r="G235" s="25">
        <f t="shared" si="9"/>
        <v>3.3815622509002594E-2</v>
      </c>
      <c r="H235" s="26">
        <f t="shared" si="10"/>
        <v>-1.3025026231595321E-3</v>
      </c>
      <c r="I235" s="26">
        <f t="shared" si="11"/>
        <v>7.8189093101609791E-3</v>
      </c>
      <c r="J235" s="27">
        <f>G235*①基本設定!$G$5+H235*①基本設定!$G$6+I235*①基本設定!$G$7</f>
        <v>27756.067239999455</v>
      </c>
    </row>
    <row r="236" spans="1:10" x14ac:dyDescent="0.25">
      <c r="A236" s="3" t="s">
        <v>275</v>
      </c>
      <c r="B236" s="25">
        <f>LN(②原始價格與FX!B224/②原始價格與FX!B223)</f>
        <v>6.0631547367910793E-2</v>
      </c>
      <c r="C236" s="25">
        <f>LN(②原始價格與FX!C224/②原始價格與FX!C223)</f>
        <v>9.1790815835375242E-3</v>
      </c>
      <c r="D236" s="25">
        <f>LN(②原始價格與FX!D224/②原始價格與FX!D223)</f>
        <v>-2.7661977901151484E-2</v>
      </c>
      <c r="E236" s="25">
        <f>LN(②原始價格與FX!G224/②原始價格與FX!G223)</f>
        <v>2.9343934552666135E-3</v>
      </c>
      <c r="F236" s="25">
        <f>LN(②原始價格與FX!H224/②原始價格與FX!H223)</f>
        <v>-3.7867919299604683E-3</v>
      </c>
      <c r="G236" s="25">
        <f t="shared" si="9"/>
        <v>6.0631547367910793E-2</v>
      </c>
      <c r="H236" s="26">
        <f t="shared" si="10"/>
        <v>1.2113475038804137E-2</v>
      </c>
      <c r="I236" s="26">
        <f t="shared" si="11"/>
        <v>-3.1448769831111952E-2</v>
      </c>
      <c r="J236" s="27">
        <f>G236*①基本設定!$G$5+H236*①基本設定!$G$6+I236*①基本設定!$G$7</f>
        <v>64301.24983367791</v>
      </c>
    </row>
    <row r="237" spans="1:10" x14ac:dyDescent="0.25">
      <c r="A237" s="3" t="s">
        <v>276</v>
      </c>
      <c r="B237" s="25">
        <f>LN(②原始價格與FX!B225/②原始價格與FX!B224)</f>
        <v>3.257682155237019E-2</v>
      </c>
      <c r="C237" s="25">
        <f>LN(②原始價格與FX!C225/②原始價格與FX!C224)</f>
        <v>1.2436741540444135E-2</v>
      </c>
      <c r="D237" s="25">
        <f>LN(②原始價格與FX!D225/②原始價格與FX!D224)</f>
        <v>-2.2914803103332361E-2</v>
      </c>
      <c r="E237" s="25">
        <f>LN(②原始價格與FX!G225/②原始價格與FX!G224)</f>
        <v>-3.2777735473208001E-3</v>
      </c>
      <c r="F237" s="25">
        <f>LN(②原始價格與FX!H225/②原始價格與FX!H224)</f>
        <v>-6.1877361048620616E-4</v>
      </c>
      <c r="G237" s="25">
        <f t="shared" si="9"/>
        <v>3.257682155237019E-2</v>
      </c>
      <c r="H237" s="26">
        <f t="shared" si="10"/>
        <v>9.1589679931233341E-3</v>
      </c>
      <c r="I237" s="26">
        <f t="shared" si="11"/>
        <v>-2.3533576713818567E-2</v>
      </c>
      <c r="J237" s="27">
        <f>G237*①基本設定!$G$5+H237*①基本設定!$G$6+I237*①基本設定!$G$7</f>
        <v>37233.508997704725</v>
      </c>
    </row>
    <row r="238" spans="1:10" x14ac:dyDescent="0.25">
      <c r="A238" s="3" t="s">
        <v>277</v>
      </c>
      <c r="B238" s="25">
        <f>LN(②原始價格與FX!B226/②原始價格與FX!B225)</f>
        <v>-2.4190642621404086E-2</v>
      </c>
      <c r="C238" s="25">
        <f>LN(②原始價格與FX!C226/②原始價格與FX!C225)</f>
        <v>7.4957678270894156E-4</v>
      </c>
      <c r="D238" s="25">
        <f>LN(②原始價格與FX!D226/②原始價格與FX!D225)</f>
        <v>-3.2855411856528002E-2</v>
      </c>
      <c r="E238" s="25">
        <f>LN(②原始價格與FX!G226/②原始價格與FX!G225)</f>
        <v>-2.2174811508415345E-3</v>
      </c>
      <c r="F238" s="25">
        <f>LN(②原始價格與FX!H226/②原始價格與FX!H225)</f>
        <v>4.2823091052774645E-3</v>
      </c>
      <c r="G238" s="25">
        <f t="shared" si="9"/>
        <v>-2.4190642621404086E-2</v>
      </c>
      <c r="H238" s="26">
        <f t="shared" si="10"/>
        <v>-1.4679043681325929E-3</v>
      </c>
      <c r="I238" s="26">
        <f t="shared" si="11"/>
        <v>-2.8573102751250537E-2</v>
      </c>
      <c r="J238" s="28">
        <f>G238*①基本設定!$G$5+H238*①基本設定!$G$6+I238*①基本設定!$G$7</f>
        <v>-22606.114451343667</v>
      </c>
    </row>
    <row r="239" spans="1:10" x14ac:dyDescent="0.25">
      <c r="A239" s="3" t="s">
        <v>278</v>
      </c>
      <c r="B239" s="25">
        <f>LN(②原始價格與FX!B227/②原始價格與FX!B226)</f>
        <v>-1.4926751801904843E-2</v>
      </c>
      <c r="C239" s="25">
        <f>LN(②原始價格與FX!C227/②原始價格與FX!C226)</f>
        <v>-2.8328130740280205E-2</v>
      </c>
      <c r="D239" s="25">
        <f>LN(②原始價格與FX!D227/②原始價格與FX!D226)</f>
        <v>-5.8941465607290572E-3</v>
      </c>
      <c r="E239" s="25">
        <f>LN(②原始價格與FX!G227/②原始價格與FX!G226)</f>
        <v>-1.5422006589775154E-3</v>
      </c>
      <c r="F239" s="25">
        <f>LN(②原始價格與FX!H227/②原始價格與FX!H226)</f>
        <v>-6.576243558004208E-4</v>
      </c>
      <c r="G239" s="25">
        <f t="shared" si="9"/>
        <v>-1.4926751801904843E-2</v>
      </c>
      <c r="H239" s="26">
        <f t="shared" si="10"/>
        <v>-2.9870331399257721E-2</v>
      </c>
      <c r="I239" s="26">
        <f t="shared" si="11"/>
        <v>-6.5517709165294783E-3</v>
      </c>
      <c r="J239" s="28">
        <f>G239*①基本設定!$G$5+H239*①基本設定!$G$6+I239*①基本設定!$G$7</f>
        <v>-43967.452537341509</v>
      </c>
    </row>
    <row r="240" spans="1:10" x14ac:dyDescent="0.25">
      <c r="A240" s="3" t="s">
        <v>279</v>
      </c>
      <c r="B240" s="25">
        <f>LN(②原始價格與FX!B228/②原始價格與FX!B227)</f>
        <v>1.1152934627461388E-4</v>
      </c>
      <c r="C240" s="25">
        <f>LN(②原始價格與FX!C228/②原始價格與FX!C227)</f>
        <v>-3.0358920241134481E-2</v>
      </c>
      <c r="D240" s="25">
        <f>LN(②原始價格與FX!D228/②原始價格與FX!D227)</f>
        <v>2.6509385319787627E-2</v>
      </c>
      <c r="E240" s="25">
        <f>LN(②原始價格與FX!G228/②原始價格與FX!G227)</f>
        <v>2.5298282697760365E-4</v>
      </c>
      <c r="F240" s="25">
        <f>LN(②原始價格與FX!H228/②原始價格與FX!H227)</f>
        <v>7.2918269918734674E-3</v>
      </c>
      <c r="G240" s="25">
        <f t="shared" si="9"/>
        <v>1.1152934627461388E-4</v>
      </c>
      <c r="H240" s="26">
        <f t="shared" si="10"/>
        <v>-3.0105937414156878E-2</v>
      </c>
      <c r="I240" s="26">
        <f t="shared" si="11"/>
        <v>3.3801212311661097E-2</v>
      </c>
      <c r="J240" s="28">
        <f>G240*①基本設定!$G$5+H240*①基本設定!$G$6+I240*①基本設定!$G$7</f>
        <v>-30860.056510902999</v>
      </c>
    </row>
    <row r="241" spans="1:10" x14ac:dyDescent="0.25">
      <c r="A241" s="3" t="s">
        <v>280</v>
      </c>
      <c r="B241" s="25">
        <f>LN(②原始價格與FX!B229/②原始價格與FX!B228)</f>
        <v>-1.90272846029849E-2</v>
      </c>
      <c r="C241" s="25">
        <f>LN(②原始價格與FX!C229/②原始價格與FX!C228)</f>
        <v>-1.1879472144614423E-2</v>
      </c>
      <c r="D241" s="25">
        <f>LN(②原始價格與FX!D229/②原始價格與FX!D228)</f>
        <v>3.9460788670795284E-2</v>
      </c>
      <c r="E241" s="25">
        <f>LN(②原始價格與FX!G229/②原始價格與FX!G228)</f>
        <v>3.3459944032027443E-3</v>
      </c>
      <c r="F241" s="25">
        <f>LN(②原始價格與FX!H229/②原始價格與FX!H228)</f>
        <v>3.300669242162975E-3</v>
      </c>
      <c r="G241" s="25">
        <f t="shared" si="9"/>
        <v>-1.90272846029849E-2</v>
      </c>
      <c r="H241" s="26">
        <f t="shared" si="10"/>
        <v>-8.5334777414116797E-3</v>
      </c>
      <c r="I241" s="26">
        <f t="shared" si="11"/>
        <v>4.276145791295826E-2</v>
      </c>
      <c r="J241" s="28">
        <f>G241*①基本設定!$G$5+H241*①基本設定!$G$6+I241*①基本設定!$G$7</f>
        <v>-24740.662127076339</v>
      </c>
    </row>
    <row r="242" spans="1:10" x14ac:dyDescent="0.25">
      <c r="A242" s="3" t="s">
        <v>281</v>
      </c>
      <c r="B242" s="25">
        <f>LN(②原始價格與FX!B230/②原始價格與FX!B229)</f>
        <v>-3.1211929501784382E-3</v>
      </c>
      <c r="C242" s="25">
        <f>LN(②原始價格與FX!C230/②原始價格與FX!C229)</f>
        <v>-9.5838478027881219E-3</v>
      </c>
      <c r="D242" s="25">
        <f>LN(②原始價格與FX!D230/②原始價格與FX!D229)</f>
        <v>-1.4488575764881171E-2</v>
      </c>
      <c r="E242" s="25">
        <f>LN(②原始價格與FX!G230/②原始價格與FX!G229)</f>
        <v>2.5837513692680592E-4</v>
      </c>
      <c r="F242" s="25">
        <f>LN(②原始價格與FX!H230/②原始價格與FX!H229)</f>
        <v>1.5040958952597739E-3</v>
      </c>
      <c r="G242" s="25">
        <f t="shared" si="9"/>
        <v>-3.1211929501784382E-3</v>
      </c>
      <c r="H242" s="26">
        <f t="shared" si="10"/>
        <v>-9.3254726658613153E-3</v>
      </c>
      <c r="I242" s="26">
        <f t="shared" si="11"/>
        <v>-1.2984479869621396E-2</v>
      </c>
      <c r="J242" s="28">
        <f>G242*①基本設定!$G$5+H242*①基本設定!$G$6+I242*①基本設定!$G$7</f>
        <v>-12526.185286682268</v>
      </c>
    </row>
    <row r="243" spans="1:10" x14ac:dyDescent="0.25">
      <c r="A243" s="3" t="s">
        <v>282</v>
      </c>
      <c r="B243" s="25">
        <f>LN(②原始價格與FX!B231/②原始價格與FX!B230)</f>
        <v>1.7313432290301186E-2</v>
      </c>
      <c r="C243" s="25">
        <f>LN(②原始價格與FX!C231/②原始價格與FX!C230)</f>
        <v>-4.8828496060630919E-3</v>
      </c>
      <c r="D243" s="25">
        <f>LN(②原始價格與FX!D231/②原始價格與FX!D230)</f>
        <v>-4.0665049789648459E-2</v>
      </c>
      <c r="E243" s="25">
        <f>LN(②原始價格與FX!G231/②原始價格與FX!G230)</f>
        <v>-5.7916226250985083E-3</v>
      </c>
      <c r="F243" s="25">
        <f>LN(②原始價格與FX!H231/②原始價格與FX!H230)</f>
        <v>-7.3143974978689377E-4</v>
      </c>
      <c r="G243" s="25">
        <f t="shared" si="9"/>
        <v>1.7313432290301186E-2</v>
      </c>
      <c r="H243" s="26">
        <f t="shared" si="10"/>
        <v>-1.0674472231161601E-2</v>
      </c>
      <c r="I243" s="26">
        <f t="shared" si="11"/>
        <v>-4.1396489539435352E-2</v>
      </c>
      <c r="J243" s="27">
        <f>G243*①基本設定!$G$5+H243*①基本設定!$G$6+I243*①基本設定!$G$7</f>
        <v>3296.8598210370901</v>
      </c>
    </row>
    <row r="244" spans="1:10" x14ac:dyDescent="0.25">
      <c r="A244" s="3" t="s">
        <v>283</v>
      </c>
      <c r="B244" s="25">
        <f>LN(②原始價格與FX!B232/②原始價格與FX!B231)</f>
        <v>-2.569094419363226E-2</v>
      </c>
      <c r="C244" s="25">
        <f>LN(②原始價格與FX!C232/②原始價格與FX!C231)</f>
        <v>-1.7738257942015161E-2</v>
      </c>
      <c r="D244" s="25">
        <f>LN(②原始價格與FX!D232/②原始價格與FX!D231)</f>
        <v>-1.1365450645443793E-2</v>
      </c>
      <c r="E244" s="25">
        <f>LN(②原始價格與FX!G232/②原始價格與FX!G231)</f>
        <v>-3.1198005528915236E-3</v>
      </c>
      <c r="F244" s="25">
        <f>LN(②原始價格與FX!H232/②原始價格與FX!H231)</f>
        <v>2.8451236804594252E-4</v>
      </c>
      <c r="G244" s="25">
        <f t="shared" si="9"/>
        <v>-2.569094419363226E-2</v>
      </c>
      <c r="H244" s="26">
        <f t="shared" si="10"/>
        <v>-2.0858058494906684E-2</v>
      </c>
      <c r="I244" s="26">
        <f t="shared" si="11"/>
        <v>-1.108093827739785E-2</v>
      </c>
      <c r="J244" s="28">
        <f>G244*①基本設定!$G$5+H244*①基本設定!$G$6+I244*①基本設定!$G$7</f>
        <v>-43878.52962884408</v>
      </c>
    </row>
    <row r="245" spans="1:10" x14ac:dyDescent="0.25">
      <c r="A245" s="3" t="s">
        <v>284</v>
      </c>
      <c r="B245" s="25">
        <f>LN(②原始價格與FX!B233/②原始價格與FX!B232)</f>
        <v>-3.1734480461840645E-2</v>
      </c>
      <c r="C245" s="25">
        <f>LN(②原始價格與FX!C233/②原始價格與FX!C232)</f>
        <v>-5.9161574051910196E-3</v>
      </c>
      <c r="D245" s="25">
        <f>LN(②原始價格與FX!D233/②原始價格與FX!D232)</f>
        <v>-1.6964063312558748E-2</v>
      </c>
      <c r="E245" s="25">
        <f>LN(②原始價格與FX!G233/②原始價格與FX!G232)</f>
        <v>-2.098168878500699E-4</v>
      </c>
      <c r="F245" s="25">
        <f>LN(②原始價格與FX!H233/②原始價格與FX!H232)</f>
        <v>-2.3598350930087038E-3</v>
      </c>
      <c r="G245" s="25">
        <f t="shared" si="9"/>
        <v>-3.1734480461840645E-2</v>
      </c>
      <c r="H245" s="26">
        <f t="shared" si="10"/>
        <v>-6.1259742930410898E-3</v>
      </c>
      <c r="I245" s="26">
        <f t="shared" si="11"/>
        <v>-1.932389840556745E-2</v>
      </c>
      <c r="J245" s="28">
        <f>G245*①基本設定!$G$5+H245*①基本設定!$G$6+I245*①基本設定!$G$7</f>
        <v>-33826.567395613107</v>
      </c>
    </row>
    <row r="246" spans="1:10" x14ac:dyDescent="0.25">
      <c r="A246" s="3" t="s">
        <v>285</v>
      </c>
      <c r="B246" s="25">
        <f>LN(②原始價格與FX!B234/②原始價格與FX!B233)</f>
        <v>-2.0898117637616464E-2</v>
      </c>
      <c r="C246" s="25">
        <f>LN(②原始價格與FX!C234/②原始價格與FX!C233)</f>
        <v>-1.0278177889247401E-2</v>
      </c>
      <c r="D246" s="25">
        <f>LN(②原始價格與FX!D234/②原始價格與FX!D233)</f>
        <v>3.4822564144007306E-2</v>
      </c>
      <c r="E246" s="25">
        <f>LN(②原始價格與FX!G234/②原始價格與FX!G233)</f>
        <v>3.147088254114495E-4</v>
      </c>
      <c r="F246" s="25">
        <f>LN(②原始價格與FX!H234/②原始價格與FX!H233)</f>
        <v>6.9225290354829616E-4</v>
      </c>
      <c r="G246" s="25">
        <f t="shared" si="9"/>
        <v>-2.0898117637616464E-2</v>
      </c>
      <c r="H246" s="26">
        <f t="shared" si="10"/>
        <v>-9.9634690638359513E-3</v>
      </c>
      <c r="I246" s="26">
        <f t="shared" si="11"/>
        <v>3.5514817047555602E-2</v>
      </c>
      <c r="J246" s="28">
        <f>G246*①基本設定!$G$5+H246*①基本設定!$G$6+I246*①基本設定!$G$7</f>
        <v>-27914.363983200376</v>
      </c>
    </row>
    <row r="247" spans="1:10" x14ac:dyDescent="0.25">
      <c r="A247" s="3" t="s">
        <v>286</v>
      </c>
      <c r="B247" s="25">
        <f>LN(②原始價格與FX!B235/②原始價格與FX!B234)</f>
        <v>-6.7998174438038293E-3</v>
      </c>
      <c r="C247" s="25">
        <f>LN(②原始價格與FX!C235/②原始價格與FX!C234)</f>
        <v>-4.3748429212400099E-3</v>
      </c>
      <c r="D247" s="25">
        <f>LN(②原始價格與FX!D235/②原始價格與FX!D234)</f>
        <v>1.6122909893054135E-2</v>
      </c>
      <c r="E247" s="25">
        <f>LN(②原始價格與FX!G235/②原始價格與FX!G234)</f>
        <v>-3.3205540141890205E-3</v>
      </c>
      <c r="F247" s="25">
        <f>LN(②原始價格與FX!H235/②原始價格與FX!H234)</f>
        <v>2.9265934228795976E-3</v>
      </c>
      <c r="G247" s="25">
        <f t="shared" si="9"/>
        <v>-6.7998174438038293E-3</v>
      </c>
      <c r="H247" s="26">
        <f t="shared" si="10"/>
        <v>-7.6953969354290304E-3</v>
      </c>
      <c r="I247" s="26">
        <f t="shared" si="11"/>
        <v>1.9049503315933733E-2</v>
      </c>
      <c r="J247" s="28">
        <f>G247*①基本設定!$G$5+H247*①基本設定!$G$6+I247*①基本設定!$G$7</f>
        <v>-13634.490232790135</v>
      </c>
    </row>
    <row r="248" spans="1:10" x14ac:dyDescent="0.25">
      <c r="A248" s="3" t="s">
        <v>287</v>
      </c>
      <c r="B248" s="25">
        <f>LN(②原始價格與FX!B236/②原始價格與FX!B235)</f>
        <v>-3.7183663712178276E-3</v>
      </c>
      <c r="C248" s="25">
        <f>LN(②原始價格與FX!C236/②原始價格與FX!C235)</f>
        <v>7.1647313916791055E-3</v>
      </c>
      <c r="D248" s="25">
        <f>LN(②原始價格與FX!D236/②原始價格與FX!D235)</f>
        <v>9.88966293761551E-3</v>
      </c>
      <c r="E248" s="25">
        <f>LN(②原始價格與FX!G236/②原始價格與FX!G235)</f>
        <v>1.1569187734382545E-3</v>
      </c>
      <c r="F248" s="25">
        <f>LN(②原始價格與FX!H236/②原始價格與FX!H235)</f>
        <v>-5.6838944325899525E-4</v>
      </c>
      <c r="G248" s="25">
        <f t="shared" si="9"/>
        <v>-3.7183663712178276E-3</v>
      </c>
      <c r="H248" s="26">
        <f t="shared" si="10"/>
        <v>8.3216501651173606E-3</v>
      </c>
      <c r="I248" s="26">
        <f t="shared" si="11"/>
        <v>9.3212734943565155E-3</v>
      </c>
      <c r="J248" s="27">
        <f>G248*①基本設定!$G$5+H248*①基本設定!$G$6+I248*①基本設定!$G$7</f>
        <v>5570.5800404606698</v>
      </c>
    </row>
    <row r="249" spans="1:10" x14ac:dyDescent="0.25">
      <c r="A249" s="3" t="s">
        <v>288</v>
      </c>
      <c r="B249" s="25">
        <f>LN(②原始價格與FX!B237/②原始價格與FX!B236)</f>
        <v>-2.5784002906444687E-2</v>
      </c>
      <c r="C249" s="25">
        <f>LN(②原始價格與FX!C237/②原始價格與FX!C236)</f>
        <v>2.5216308305438255E-3</v>
      </c>
      <c r="D249" s="25">
        <f>LN(②原始價格與FX!D237/②原始價格與FX!D236)</f>
        <v>-1.7663322629700644E-2</v>
      </c>
      <c r="E249" s="25">
        <f>LN(②原始價格與FX!G237/②原始價格與FX!G236)</f>
        <v>1.2287555781564968E-3</v>
      </c>
      <c r="F249" s="25">
        <f>LN(②原始價格與FX!H237/②原始價格與FX!H236)</f>
        <v>5.1039119181760413E-3</v>
      </c>
      <c r="G249" s="25">
        <f t="shared" si="9"/>
        <v>-2.5784002906444687E-2</v>
      </c>
      <c r="H249" s="26">
        <f t="shared" si="10"/>
        <v>3.7503864087003224E-3</v>
      </c>
      <c r="I249" s="26">
        <f t="shared" si="11"/>
        <v>-1.2559410711524603E-2</v>
      </c>
      <c r="J249" s="28">
        <f>G249*①基本設定!$G$5+H249*①基本設定!$G$6+I249*①基本設定!$G$7</f>
        <v>-18367.172295430162</v>
      </c>
    </row>
    <row r="250" spans="1:10" x14ac:dyDescent="0.25">
      <c r="A250" s="3" t="s">
        <v>289</v>
      </c>
      <c r="B250" s="25">
        <f>LN(②原始價格與FX!B238/②原始價格與FX!B237)</f>
        <v>-7.4951601031468754E-3</v>
      </c>
      <c r="C250" s="25">
        <f>LN(②原始價格與FX!C238/②原始價格與FX!C237)</f>
        <v>-2.8118813187508764E-3</v>
      </c>
      <c r="D250" s="25">
        <f>LN(②原始價格與FX!D238/②原始價格與FX!D237)</f>
        <v>-2.7081625974113399E-2</v>
      </c>
      <c r="E250" s="25">
        <f>LN(②原始價格與FX!G238/②原始價格與FX!G237)</f>
        <v>3.496545923384096E-3</v>
      </c>
      <c r="F250" s="25">
        <f>LN(②原始價格與FX!H238/②原始價格與FX!H237)</f>
        <v>3.8712847767858318E-3</v>
      </c>
      <c r="G250" s="25">
        <f t="shared" si="9"/>
        <v>-7.4951601031468754E-3</v>
      </c>
      <c r="H250" s="26">
        <f t="shared" si="10"/>
        <v>6.8466460463321955E-4</v>
      </c>
      <c r="I250" s="26">
        <f t="shared" si="11"/>
        <v>-2.3210341197327566E-2</v>
      </c>
      <c r="J250" s="28">
        <f>G250*①基本設定!$G$5+H250*①基本設定!$G$6+I250*①基本設定!$G$7</f>
        <v>-5976.6659593305203</v>
      </c>
    </row>
    <row r="251" spans="1:10" x14ac:dyDescent="0.25">
      <c r="A251" s="3" t="s">
        <v>290</v>
      </c>
      <c r="B251" s="25">
        <f>LN(②原始價格與FX!B239/②原始價格與FX!B238)</f>
        <v>1.5204799821888146E-2</v>
      </c>
      <c r="C251" s="25">
        <f>LN(②原始價格與FX!C239/②原始價格與FX!C238)</f>
        <v>1.840825105352516E-2</v>
      </c>
      <c r="D251" s="25">
        <f>LN(②原始價格與FX!D239/②原始價格與FX!D238)</f>
        <v>5.4348521510184392E-2</v>
      </c>
      <c r="E251" s="25">
        <f>LN(②原始價格與FX!G239/②原始價格與FX!G238)</f>
        <v>8.3342712891777888E-4</v>
      </c>
      <c r="F251" s="25">
        <f>LN(②原始價格與FX!H239/②原始價格與FX!H238)</f>
        <v>9.1745600565139585E-3</v>
      </c>
      <c r="G251" s="25">
        <f t="shared" si="9"/>
        <v>1.5204799821888146E-2</v>
      </c>
      <c r="H251" s="26">
        <f t="shared" si="10"/>
        <v>1.9241678182442941E-2</v>
      </c>
      <c r="I251" s="26">
        <f t="shared" si="11"/>
        <v>6.352308156669835E-2</v>
      </c>
      <c r="J251" s="27">
        <f>G251*①基本設定!$G$5+H251*①基本設定!$G$6+I251*①基本設定!$G$7</f>
        <v>33773.656266793296</v>
      </c>
    </row>
    <row r="252" spans="1:10" x14ac:dyDescent="0.25">
      <c r="A252" s="3" t="s">
        <v>291</v>
      </c>
      <c r="B252" s="25">
        <f>LN(②原始價格與FX!B240/②原始價格與FX!B239)</f>
        <v>-1.0016324883070735E-2</v>
      </c>
      <c r="C252" s="25">
        <f>LN(②原始價格與FX!C240/②原始價格與FX!C239)</f>
        <v>-8.6154379056152895E-3</v>
      </c>
      <c r="D252" s="25">
        <f>LN(②原始價格與FX!D240/②原始價格與FX!D239)</f>
        <v>3.3247603965824803E-2</v>
      </c>
      <c r="E252" s="25">
        <f>LN(②原始價格與FX!G240/②原始價格與FX!G239)</f>
        <v>5.3106164714622536E-3</v>
      </c>
      <c r="F252" s="25">
        <f>LN(②原始價格與FX!H240/②原始價格與FX!H239)</f>
        <v>-7.8472597108229392E-3</v>
      </c>
      <c r="G252" s="25">
        <f t="shared" si="9"/>
        <v>-1.0016324883070735E-2</v>
      </c>
      <c r="H252" s="26">
        <f t="shared" si="10"/>
        <v>-3.3048214341530359E-3</v>
      </c>
      <c r="I252" s="26">
        <f t="shared" si="11"/>
        <v>2.5400344255001865E-2</v>
      </c>
      <c r="J252" s="28">
        <f>G252*①基本設定!$G$5+H252*①基本設定!$G$6+I252*①基本設定!$G$7</f>
        <v>-11756.545186691539</v>
      </c>
    </row>
    <row r="253" spans="1:10" x14ac:dyDescent="0.25">
      <c r="A253" s="3" t="s">
        <v>292</v>
      </c>
      <c r="B253" s="25">
        <f>LN(②原始價格與FX!B241/②原始價格與FX!B240)</f>
        <v>-3.408074125058555E-2</v>
      </c>
      <c r="C253" s="25">
        <f>LN(②原始價格與FX!C241/②原始價格與FX!C240)</f>
        <v>-1.956521045922166E-2</v>
      </c>
      <c r="D253" s="25">
        <f>LN(②原始價格與FX!D241/②原始價格與FX!D240)</f>
        <v>2.2088842500968365E-2</v>
      </c>
      <c r="E253" s="25">
        <f>LN(②原始價格與FX!G241/②原始價格與FX!G240)</f>
        <v>2.596059540489182E-3</v>
      </c>
      <c r="F253" s="25">
        <f>LN(②原始價格與FX!H241/②原始價格與FX!H240)</f>
        <v>-8.7199292990702004E-3</v>
      </c>
      <c r="G253" s="25">
        <f t="shared" si="9"/>
        <v>-3.408074125058555E-2</v>
      </c>
      <c r="H253" s="26">
        <f t="shared" si="10"/>
        <v>-1.6969150918732478E-2</v>
      </c>
      <c r="I253" s="26">
        <f t="shared" si="11"/>
        <v>1.3368913201898164E-2</v>
      </c>
      <c r="J253" s="28">
        <f>G253*①基本設定!$G$5+H253*①基本設定!$G$6+I253*①基本設定!$G$7</f>
        <v>-46763.646236251188</v>
      </c>
    </row>
    <row r="254" spans="1:10" x14ac:dyDescent="0.25">
      <c r="A254" s="3" t="s">
        <v>293</v>
      </c>
      <c r="B254" s="25">
        <f>LN(②原始價格與FX!B242/②原始價格與FX!B241)</f>
        <v>-1.6171678708548687E-2</v>
      </c>
      <c r="C254" s="25">
        <f>LN(②原始價格與FX!C242/②原始價格與FX!C241)</f>
        <v>3.7005027842463872E-2</v>
      </c>
      <c r="D254" s="25">
        <f>LN(②原始價格與FX!D242/②原始價格與FX!D241)</f>
        <v>-4.8466448901481763E-3</v>
      </c>
      <c r="E254" s="25">
        <f>LN(②原始價格與FX!G242/②原始價格與FX!G241)</f>
        <v>3.1158000535121575E-3</v>
      </c>
      <c r="F254" s="25">
        <f>LN(②原始價格與FX!H242/②原始價格與FX!H241)</f>
        <v>4.2483525692105211E-3</v>
      </c>
      <c r="G254" s="25">
        <f t="shared" si="9"/>
        <v>-1.6171678708548687E-2</v>
      </c>
      <c r="H254" s="26">
        <f t="shared" si="10"/>
        <v>4.0120827895976027E-2</v>
      </c>
      <c r="I254" s="26">
        <f t="shared" si="11"/>
        <v>-5.9829232093765519E-4</v>
      </c>
      <c r="J254" s="27">
        <f>G254*①基本設定!$G$5+H254*①基本設定!$G$6+I254*①基本設定!$G$7</f>
        <v>27862.302700236985</v>
      </c>
    </row>
    <row r="255" spans="1:10" x14ac:dyDescent="0.25">
      <c r="A255" s="3" t="s">
        <v>294</v>
      </c>
      <c r="B255" s="25">
        <f>LN(②原始價格與FX!B243/②原始價格與FX!B242)</f>
        <v>-2.1341848288683993E-2</v>
      </c>
      <c r="C255" s="25">
        <f>LN(②原始價格與FX!C243/②原始價格與FX!C242)</f>
        <v>-4.8991248430554947E-3</v>
      </c>
      <c r="D255" s="25">
        <f>LN(②原始價格與FX!D243/②原始價格與FX!D242)</f>
        <v>-4.2375810059214376E-3</v>
      </c>
      <c r="E255" s="25">
        <f>LN(②原始價格與FX!G243/②原始價格與FX!G242)</f>
        <v>3.4768935716064176E-4</v>
      </c>
      <c r="F255" s="25">
        <f>LN(②原始價格與FX!H243/②原始價格與FX!H242)</f>
        <v>8.0746093951560442E-5</v>
      </c>
      <c r="G255" s="25">
        <f t="shared" si="9"/>
        <v>-2.1341848288683993E-2</v>
      </c>
      <c r="H255" s="26">
        <f t="shared" si="10"/>
        <v>-4.5514354858948534E-3</v>
      </c>
      <c r="I255" s="26">
        <f t="shared" si="11"/>
        <v>-4.1568349119698771E-3</v>
      </c>
      <c r="J255" s="28">
        <f>G255*①基本設定!$G$5+H255*①基本設定!$G$6+I255*①基本設定!$G$7</f>
        <v>-23100.581282355801</v>
      </c>
    </row>
    <row r="256" spans="1:10" x14ac:dyDescent="0.25">
      <c r="A256" s="3" t="s">
        <v>295</v>
      </c>
      <c r="B256" s="25">
        <f>LN(②原始價格與FX!B244/②原始價格與FX!B243)</f>
        <v>-9.9953235773786227E-3</v>
      </c>
      <c r="C256" s="25">
        <f>LN(②原始價格與FX!C244/②原始價格與FX!C243)</f>
        <v>-1.0702615110656391E-2</v>
      </c>
      <c r="D256" s="25">
        <f>LN(②原始價格與FX!D244/②原始價格與FX!D243)</f>
        <v>-1.3109716628270254E-3</v>
      </c>
      <c r="E256" s="25">
        <f>LN(②原始價格與FX!G244/②原始價格與FX!G243)</f>
        <v>1.5615443996353459E-3</v>
      </c>
      <c r="F256" s="25">
        <f>LN(②原始價格與FX!H244/②原始價格與FX!H243)</f>
        <v>3.1440229050629276E-3</v>
      </c>
      <c r="G256" s="25">
        <f t="shared" si="9"/>
        <v>-9.9953235773786227E-3</v>
      </c>
      <c r="H256" s="26">
        <f t="shared" si="10"/>
        <v>-9.1410707110210453E-3</v>
      </c>
      <c r="I256" s="26">
        <f t="shared" si="11"/>
        <v>1.8330512422359022E-3</v>
      </c>
      <c r="J256" s="28">
        <f>G256*①基本設定!$G$5+H256*①基本設定!$G$6+I256*①基本設定!$G$7</f>
        <v>-18071.378521637998</v>
      </c>
    </row>
    <row r="257" spans="1:11" x14ac:dyDescent="0.25">
      <c r="A257" s="3" t="s">
        <v>296</v>
      </c>
      <c r="B257" s="25">
        <f>LN(②原始價格與FX!B245/②原始價格與FX!B244)</f>
        <v>-8.7051069902184842E-3</v>
      </c>
      <c r="C257" s="25">
        <f>LN(②原始價格與FX!C245/②原始價格與FX!C244)</f>
        <v>-1.9148627548237589E-2</v>
      </c>
      <c r="D257" s="25">
        <f>LN(②原始價格與FX!D245/②原始價格與FX!D244)</f>
        <v>-5.4885377733219064E-3</v>
      </c>
      <c r="E257" s="25">
        <f>LN(②原始價格與FX!G245/②原始價格與FX!G244)</f>
        <v>7.7829650772826865E-4</v>
      </c>
      <c r="F257" s="25">
        <f>LN(②原始價格與FX!H245/②原始價格與FX!H244)</f>
        <v>-5.6501885726784233E-3</v>
      </c>
      <c r="G257" s="25">
        <f t="shared" si="9"/>
        <v>-8.7051069902184842E-3</v>
      </c>
      <c r="H257" s="26">
        <f t="shared" si="10"/>
        <v>-1.8370331040509322E-2</v>
      </c>
      <c r="I257" s="26">
        <f t="shared" si="11"/>
        <v>-1.1138726346000331E-2</v>
      </c>
      <c r="J257" s="28">
        <f>G257*①基本設定!$G$5+H257*①基本設定!$G$6+I257*①基本設定!$G$7</f>
        <v>-26710.816131287324</v>
      </c>
    </row>
    <row r="258" spans="1:11" x14ac:dyDescent="0.25">
      <c r="A258" s="3" t="s">
        <v>297</v>
      </c>
      <c r="B258" s="25">
        <f>LN(②原始價格與FX!B246/②原始價格與FX!B245)</f>
        <v>-1.9550348358032391E-3</v>
      </c>
      <c r="C258" s="25">
        <f>LN(②原始價格與FX!C246/②原始價格與FX!C245)</f>
        <v>-2.8179233663962511E-2</v>
      </c>
      <c r="D258" s="25">
        <f>LN(②原始價格與FX!D246/②原始價格與FX!D245)</f>
        <v>6.8224458494772099E-5</v>
      </c>
      <c r="E258" s="25">
        <f>LN(②原始價格與FX!G246/②原始價格與FX!G245)</f>
        <v>-1.6448246466874382E-3</v>
      </c>
      <c r="F258" s="25">
        <f>LN(②原始價格與FX!H246/②原始價格與FX!H245)</f>
        <v>4.3615286005302721E-3</v>
      </c>
      <c r="G258" s="25">
        <f t="shared" si="9"/>
        <v>-1.9550348358032391E-3</v>
      </c>
      <c r="H258" s="26">
        <f t="shared" si="10"/>
        <v>-2.9824058310649951E-2</v>
      </c>
      <c r="I258" s="26">
        <f t="shared" si="11"/>
        <v>4.4297530590250442E-3</v>
      </c>
      <c r="J258" s="28">
        <f>G258*①基本設定!$G$5+H258*①基本設定!$G$6+I258*①基本設定!$G$7</f>
        <v>-32664.162835763043</v>
      </c>
    </row>
    <row r="259" spans="1:11" x14ac:dyDescent="0.25">
      <c r="A259" s="3" t="s">
        <v>298</v>
      </c>
      <c r="B259" s="25">
        <f>LN(②原始價格與FX!B247/②原始價格與FX!B246)</f>
        <v>-1.9934671601232416E-3</v>
      </c>
      <c r="C259" s="25">
        <f>LN(②原始價格與FX!C247/②原始價格與FX!C246)</f>
        <v>2.3077032172290016E-2</v>
      </c>
      <c r="D259" s="25">
        <f>LN(②原始價格與FX!D247/②原始價格與FX!D246)</f>
        <v>-5.8615076990302288E-3</v>
      </c>
      <c r="E259" s="25">
        <f>LN(②原始價格與FX!G247/②原始價格與FX!G246)</f>
        <v>5.6317230180226961E-4</v>
      </c>
      <c r="F259" s="25">
        <f>LN(②原始價格與FX!H247/②原始價格與FX!H246)</f>
        <v>2.8203630397074261E-4</v>
      </c>
      <c r="G259" s="25">
        <f t="shared" si="9"/>
        <v>-1.9934671601232416E-3</v>
      </c>
      <c r="H259" s="26">
        <f t="shared" si="10"/>
        <v>2.3640204474092284E-2</v>
      </c>
      <c r="I259" s="26">
        <f t="shared" si="11"/>
        <v>-5.5794713950594859E-3</v>
      </c>
      <c r="J259" s="27">
        <f>G259*①基本設定!$G$5+H259*①基本設定!$G$6+I259*①基本設定!$G$7</f>
        <v>22827.425917485012</v>
      </c>
    </row>
    <row r="260" spans="1:11" x14ac:dyDescent="0.25">
      <c r="A260" s="3" t="s">
        <v>299</v>
      </c>
      <c r="B260" s="25">
        <f>LN(②原始價格與FX!B248/②原始價格與FX!B247)</f>
        <v>-2.1110101274099138E-2</v>
      </c>
      <c r="C260" s="25">
        <f>LN(②原始價格與FX!C248/②原始價格與FX!C247)</f>
        <v>-1.9623315998058673E-2</v>
      </c>
      <c r="D260" s="25">
        <f>LN(②原始價格與FX!D248/②原始價格與FX!D247)</f>
        <v>1.8111632638440886E-2</v>
      </c>
      <c r="E260" s="25">
        <f>LN(②原始價格與FX!G248/②原始價格與FX!G247)</f>
        <v>4.073541540136125E-3</v>
      </c>
      <c r="F260" s="25">
        <f>LN(②原始價格與FX!H248/②原始價格與FX!H247)</f>
        <v>-8.8666779950545831E-4</v>
      </c>
      <c r="G260" s="25">
        <f t="shared" si="9"/>
        <v>-2.1110101274099138E-2</v>
      </c>
      <c r="H260" s="26">
        <f t="shared" si="10"/>
        <v>-1.5549774457922548E-2</v>
      </c>
      <c r="I260" s="26">
        <f t="shared" si="11"/>
        <v>1.7224964838935427E-2</v>
      </c>
      <c r="J260" s="28">
        <f>G260*①基本設定!$G$5+H260*①基本設定!$G$6+I260*①基本設定!$G$7</f>
        <v>-34110.939416154608</v>
      </c>
    </row>
    <row r="261" spans="1:11" x14ac:dyDescent="0.25">
      <c r="A261" s="3" t="s">
        <v>300</v>
      </c>
      <c r="B261" s="25">
        <f>LN(②原始價格與FX!B249/②原始價格與FX!B248)</f>
        <v>1.131570368181148E-2</v>
      </c>
      <c r="C261" s="25">
        <f>LN(②原始價格與FX!C249/②原始價格與FX!C248)</f>
        <v>1.9468370057687545E-3</v>
      </c>
      <c r="D261" s="25">
        <f>LN(②原始價格與FX!D249/②原始價格與FX!D248)</f>
        <v>-2.1893048642123106E-2</v>
      </c>
      <c r="E261" s="25">
        <f>LN(②原始價格與FX!G249/②原始價格與FX!G248)</f>
        <v>-2.7232206337921934E-3</v>
      </c>
      <c r="F261" s="25">
        <f>LN(②原始價格與FX!H249/②原始價格與FX!H248)</f>
        <v>-3.9592811902019751E-3</v>
      </c>
      <c r="G261" s="25">
        <f t="shared" si="9"/>
        <v>1.131570368181148E-2</v>
      </c>
      <c r="H261" s="26">
        <f t="shared" si="10"/>
        <v>-7.7638362802343887E-4</v>
      </c>
      <c r="I261" s="26">
        <f t="shared" si="11"/>
        <v>-2.5852329832325081E-2</v>
      </c>
      <c r="J261" s="27">
        <f>G261*①基本設定!$G$5+H261*①基本設定!$G$6+I261*①基本設定!$G$7</f>
        <v>8619.9761012159452</v>
      </c>
    </row>
    <row r="262" spans="1:11" x14ac:dyDescent="0.25">
      <c r="A262" s="3" t="s">
        <v>301</v>
      </c>
      <c r="B262" s="25">
        <f>LN(②原始價格與FX!B250/②原始價格與FX!B249)</f>
        <v>-1.0538492417873883E-2</v>
      </c>
      <c r="C262" s="25">
        <f>LN(②原始價格與FX!C250/②原始價格與FX!C249)</f>
        <v>-2.156722618880615E-3</v>
      </c>
      <c r="D262" s="25">
        <f>LN(②原始價格與FX!D250/②原始價格與FX!D249)</f>
        <v>1.021127991821001E-2</v>
      </c>
      <c r="E262" s="25">
        <f>LN(②原始價格與FX!G250/②原始價格與FX!G249)</f>
        <v>4.9946900992627564E-3</v>
      </c>
      <c r="F262" s="25">
        <f>LN(②原始價格與FX!H250/②原始價格與FX!H249)</f>
        <v>-2.2695045202176258E-3</v>
      </c>
      <c r="G262" s="25">
        <f t="shared" si="9"/>
        <v>-1.0538492417873883E-2</v>
      </c>
      <c r="H262" s="26">
        <f t="shared" si="10"/>
        <v>2.8379674803821415E-3</v>
      </c>
      <c r="I262" s="26">
        <f t="shared" si="11"/>
        <v>7.9417753979923837E-3</v>
      </c>
      <c r="J262" s="28">
        <f>G262*①基本設定!$G$5+H262*①基本設定!$G$6+I262*①基本設定!$G$7</f>
        <v>-6004.9209785046132</v>
      </c>
    </row>
    <row r="263" spans="1:11" x14ac:dyDescent="0.25">
      <c r="A263" s="3" t="s">
        <v>302</v>
      </c>
      <c r="B263" s="25">
        <f>LN(②原始價格與FX!B251/②原始價格與FX!B250)</f>
        <v>-8.1672665935645632E-3</v>
      </c>
      <c r="C263" s="25">
        <f>LN(②原始價格與FX!C251/②原始價格與FX!C250)</f>
        <v>2.0626630883314942E-2</v>
      </c>
      <c r="D263" s="25">
        <f>LN(②原始價格與FX!D251/②原始價格與FX!D250)</f>
        <v>-2.3209257710684102E-3</v>
      </c>
      <c r="E263" s="25">
        <f>LN(②原始價格與FX!G251/②原始價格與FX!G250)</f>
        <v>4.3511432619193343E-3</v>
      </c>
      <c r="F263" s="25">
        <f>LN(②原始價格與FX!H251/②原始價格與FX!H250)</f>
        <v>5.6785918618513186E-4</v>
      </c>
      <c r="G263" s="25">
        <f t="shared" si="9"/>
        <v>-8.1672665935645632E-3</v>
      </c>
      <c r="H263" s="26">
        <f t="shared" si="10"/>
        <v>2.4977774145234277E-2</v>
      </c>
      <c r="I263" s="26">
        <f t="shared" si="11"/>
        <v>-1.7530665848832783E-3</v>
      </c>
      <c r="J263" s="27">
        <f>G263*①基本設定!$G$5+H263*①基本設定!$G$6+I263*①基本設定!$G$7</f>
        <v>18962.23990220419</v>
      </c>
    </row>
    <row r="264" spans="1:11" x14ac:dyDescent="0.25">
      <c r="A264" s="3" t="s">
        <v>303</v>
      </c>
      <c r="B264" s="25">
        <f>LN(②原始價格與FX!B252/②原始價格與FX!B251)</f>
        <v>2.4918077018379871E-2</v>
      </c>
      <c r="C264" s="25">
        <f>LN(②原始價格與FX!C252/②原始價格與FX!C251)</f>
        <v>-1.7662334978137757E-2</v>
      </c>
      <c r="D264" s="25">
        <f>LN(②原始價格與FX!D252/②原始價格與FX!D251)</f>
        <v>1.3778030927727277E-2</v>
      </c>
      <c r="E264" s="25">
        <f>LN(②原始價格與FX!G252/②原始價格與FX!G251)</f>
        <v>-5.602752614790906E-4</v>
      </c>
      <c r="F264" s="25">
        <f>LN(②原始價格與FX!H252/②原始價格與FX!H251)</f>
        <v>2.1063725534149593E-3</v>
      </c>
      <c r="G264" s="25">
        <f t="shared" si="9"/>
        <v>2.4918077018379871E-2</v>
      </c>
      <c r="H264" s="26">
        <f t="shared" si="10"/>
        <v>-1.8222610239616847E-2</v>
      </c>
      <c r="I264" s="26">
        <f t="shared" si="11"/>
        <v>1.5884403481142235E-2</v>
      </c>
      <c r="J264" s="27">
        <f>G264*①基本設定!$G$5+H264*①基本設定!$G$6+I264*①基本設定!$G$7</f>
        <v>2600.7665927763524</v>
      </c>
    </row>
    <row r="265" spans="1:11" x14ac:dyDescent="0.25">
      <c r="A265" s="3" t="s">
        <v>304</v>
      </c>
      <c r="B265" s="25">
        <f>LN(②原始價格與FX!B253/②原始價格與FX!B252)</f>
        <v>-6.4220031305502441E-3</v>
      </c>
      <c r="C265" s="25">
        <f>LN(②原始價格與FX!C253/②原始價格與FX!C252)</f>
        <v>-3.6506070638679486E-2</v>
      </c>
      <c r="D265" s="25">
        <f>LN(②原始價格與FX!D253/②原始價格與FX!D252)</f>
        <v>6.0482700451341973E-3</v>
      </c>
      <c r="E265" s="25">
        <f>LN(②原始價格與FX!G253/②原始價格與FX!G252)</f>
        <v>-8.5184817473546676E-4</v>
      </c>
      <c r="F265" s="25">
        <f>LN(②原始價格與FX!H253/②原始價格與FX!H252)</f>
        <v>-4.2984656614656431E-3</v>
      </c>
      <c r="G265" s="25">
        <f t="shared" si="9"/>
        <v>-6.4220031305502441E-3</v>
      </c>
      <c r="H265" s="26">
        <f t="shared" si="10"/>
        <v>-3.735791881341495E-2</v>
      </c>
      <c r="I265" s="26">
        <f t="shared" si="11"/>
        <v>1.7498043836685542E-3</v>
      </c>
      <c r="J265" s="28">
        <f>G265*①基本設定!$G$5+H265*①基本設定!$G$6+I265*①基本設定!$G$7</f>
        <v>-44367.595781698023</v>
      </c>
    </row>
    <row r="267" spans="1:11" x14ac:dyDescent="0.25">
      <c r="A267" s="29" t="s">
        <v>329</v>
      </c>
      <c r="G267" s="30">
        <f>AVERAGE(G16:G265)</f>
        <v>1.4322825446948361E-3</v>
      </c>
      <c r="H267" s="30">
        <f>AVERAGE(H16:H265)</f>
        <v>2.1942088857774722E-3</v>
      </c>
      <c r="I267" s="30">
        <f>AVERAGE(I16:I265)</f>
        <v>-1.6031697052161962E-3</v>
      </c>
      <c r="J267" s="30">
        <f>AVERAGE(J16:J265)</f>
        <v>3495.0132479324452</v>
      </c>
    </row>
    <row r="268" spans="1:11" x14ac:dyDescent="0.25">
      <c r="A268" s="29" t="s">
        <v>330</v>
      </c>
      <c r="G268" s="30">
        <f>STDEV(G16:G265)</f>
        <v>1.9648120241241525E-2</v>
      </c>
      <c r="H268" s="30">
        <f>STDEV(H16:H265)</f>
        <v>1.902313911302779E-2</v>
      </c>
      <c r="I268" s="30">
        <f>STDEV(I16:I265)</f>
        <v>2.1962454558133965E-2</v>
      </c>
      <c r="J268" s="30">
        <f>STDEV(J16:J265)</f>
        <v>29629.803098990516</v>
      </c>
    </row>
    <row r="270" spans="1:11" x14ac:dyDescent="0.25">
      <c r="A270" s="80" t="s">
        <v>331</v>
      </c>
      <c r="B270" s="78"/>
      <c r="C270" s="78"/>
      <c r="D270" s="78"/>
      <c r="E270" s="78"/>
      <c r="F270" s="78"/>
      <c r="G270" s="78"/>
      <c r="H270" s="78"/>
      <c r="I270" s="78"/>
      <c r="J270" s="78"/>
      <c r="K270" s="78"/>
    </row>
  </sheetData>
  <mergeCells count="14">
    <mergeCell ref="A270:K270"/>
    <mergeCell ref="A14:L14"/>
    <mergeCell ref="B9:J9"/>
    <mergeCell ref="B8:J8"/>
    <mergeCell ref="B4:J4"/>
    <mergeCell ref="B13:J13"/>
    <mergeCell ref="B6:J6"/>
    <mergeCell ref="B12:J12"/>
    <mergeCell ref="B7:J7"/>
    <mergeCell ref="A1:J1"/>
    <mergeCell ref="B11:J11"/>
    <mergeCell ref="B5:J5"/>
    <mergeCell ref="B10:J10"/>
    <mergeCell ref="A3:L3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0"/>
  <sheetViews>
    <sheetView workbookViewId="0">
      <selection sqref="A1:J1"/>
    </sheetView>
  </sheetViews>
  <sheetFormatPr defaultRowHeight="15.75" x14ac:dyDescent="0.25"/>
  <cols>
    <col min="1" max="2" width="30" customWidth="1"/>
    <col min="3" max="3" width="21.85546875" customWidth="1"/>
    <col min="4" max="5" width="8" customWidth="1"/>
    <col min="6" max="7" width="30" customWidth="1"/>
    <col min="8" max="8" width="16.140625" customWidth="1"/>
    <col min="9" max="12" width="8" customWidth="1"/>
  </cols>
  <sheetData>
    <row r="1" spans="1:12" x14ac:dyDescent="0.25">
      <c r="A1" s="79" t="s">
        <v>332</v>
      </c>
      <c r="B1" s="78"/>
      <c r="C1" s="78"/>
      <c r="D1" s="78"/>
      <c r="E1" s="78"/>
      <c r="F1" s="78"/>
      <c r="G1" s="78"/>
      <c r="H1" s="78"/>
      <c r="I1" s="78"/>
      <c r="J1" s="78"/>
    </row>
    <row r="3" spans="1:12" x14ac:dyDescent="0.25">
      <c r="A3" s="77" t="s">
        <v>333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x14ac:dyDescent="0.25">
      <c r="A4" s="31" t="s">
        <v>334</v>
      </c>
      <c r="B4" s="81" t="s">
        <v>335</v>
      </c>
      <c r="C4" s="78"/>
      <c r="D4" s="78"/>
      <c r="E4" s="78"/>
      <c r="F4" s="78"/>
      <c r="G4" s="78"/>
      <c r="H4" s="78"/>
      <c r="I4" s="78"/>
    </row>
    <row r="5" spans="1:12" x14ac:dyDescent="0.25">
      <c r="A5" s="31" t="s">
        <v>336</v>
      </c>
      <c r="B5" s="81" t="s">
        <v>337</v>
      </c>
      <c r="C5" s="78"/>
      <c r="D5" s="78"/>
      <c r="E5" s="78"/>
      <c r="F5" s="78"/>
      <c r="G5" s="78"/>
      <c r="H5" s="78"/>
      <c r="I5" s="78"/>
    </row>
    <row r="6" spans="1:12" x14ac:dyDescent="0.25">
      <c r="A6" s="31" t="s">
        <v>338</v>
      </c>
      <c r="B6" s="81" t="s">
        <v>339</v>
      </c>
      <c r="C6" s="78"/>
      <c r="D6" s="78"/>
      <c r="E6" s="78"/>
      <c r="F6" s="78"/>
      <c r="G6" s="78"/>
      <c r="H6" s="78"/>
      <c r="I6" s="78"/>
    </row>
    <row r="7" spans="1:12" x14ac:dyDescent="0.25">
      <c r="A7" s="31" t="s">
        <v>340</v>
      </c>
      <c r="B7" s="81" t="s">
        <v>341</v>
      </c>
      <c r="C7" s="78"/>
      <c r="D7" s="78"/>
      <c r="E7" s="78"/>
      <c r="F7" s="78"/>
      <c r="G7" s="78"/>
      <c r="H7" s="78"/>
      <c r="I7" s="78"/>
    </row>
    <row r="8" spans="1:12" x14ac:dyDescent="0.25">
      <c r="A8" s="31" t="s">
        <v>342</v>
      </c>
      <c r="B8" s="81" t="s">
        <v>343</v>
      </c>
      <c r="C8" s="78"/>
      <c r="D8" s="78"/>
      <c r="E8" s="78"/>
      <c r="F8" s="78"/>
      <c r="G8" s="78"/>
      <c r="H8" s="78"/>
      <c r="I8" s="78"/>
    </row>
    <row r="9" spans="1:12" x14ac:dyDescent="0.25">
      <c r="A9" s="32" t="s">
        <v>344</v>
      </c>
      <c r="B9" s="81" t="s">
        <v>345</v>
      </c>
      <c r="C9" s="78"/>
      <c r="D9" s="78"/>
      <c r="E9" s="78"/>
      <c r="F9" s="78"/>
      <c r="G9" s="78"/>
      <c r="H9" s="78"/>
      <c r="I9" s="78"/>
    </row>
    <row r="11" spans="1:12" x14ac:dyDescent="0.25">
      <c r="A11" s="77" t="s">
        <v>346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</row>
    <row r="12" spans="1:12" x14ac:dyDescent="0.25">
      <c r="A12" s="82" t="s">
        <v>347</v>
      </c>
      <c r="B12" s="78"/>
      <c r="C12" s="78"/>
      <c r="D12" s="78"/>
      <c r="F12" s="83" t="s">
        <v>348</v>
      </c>
      <c r="G12" s="78"/>
      <c r="H12" s="78"/>
      <c r="I12" s="78"/>
    </row>
    <row r="13" spans="1:12" ht="28.5" x14ac:dyDescent="0.25">
      <c r="A13" s="1" t="s">
        <v>349</v>
      </c>
      <c r="B13" s="1" t="s">
        <v>48</v>
      </c>
      <c r="C13" s="1" t="s">
        <v>350</v>
      </c>
      <c r="D13" s="1"/>
      <c r="F13" s="33" t="s">
        <v>349</v>
      </c>
      <c r="G13" s="33" t="s">
        <v>351</v>
      </c>
      <c r="H13" s="33" t="s">
        <v>43</v>
      </c>
      <c r="I13" s="33"/>
    </row>
    <row r="14" spans="1:12" x14ac:dyDescent="0.25">
      <c r="A14" s="3">
        <v>1</v>
      </c>
      <c r="B14" s="3" t="s">
        <v>55</v>
      </c>
      <c r="C14" s="27">
        <f>③回報計算FX調整!J16</f>
        <v>52696.244470385725</v>
      </c>
      <c r="D14" s="9"/>
      <c r="F14" s="3">
        <v>1</v>
      </c>
      <c r="G14" s="28">
        <f>SMALL(③回報計算FX調整!$J$16:$J$265,1)</f>
        <v>-79153.236099101705</v>
      </c>
      <c r="H14" s="34" t="s">
        <v>352</v>
      </c>
      <c r="I14" s="9"/>
    </row>
    <row r="15" spans="1:12" x14ac:dyDescent="0.25">
      <c r="A15" s="3">
        <v>2</v>
      </c>
      <c r="B15" s="3" t="s">
        <v>56</v>
      </c>
      <c r="C15" s="28">
        <f>③回報計算FX調整!J17</f>
        <v>-49411.098466609095</v>
      </c>
      <c r="D15" s="9"/>
      <c r="F15" s="3">
        <v>2</v>
      </c>
      <c r="G15" s="28">
        <f>SMALL(③回報計算FX調整!$J$16:$J$265,2)</f>
        <v>-58300.353313050306</v>
      </c>
      <c r="H15" s="34" t="s">
        <v>352</v>
      </c>
      <c r="I15" s="9"/>
    </row>
    <row r="16" spans="1:12" x14ac:dyDescent="0.25">
      <c r="A16" s="3">
        <v>3</v>
      </c>
      <c r="B16" s="3" t="s">
        <v>57</v>
      </c>
      <c r="C16" s="27">
        <f>③回報計算FX調整!J18</f>
        <v>31598.340428987838</v>
      </c>
      <c r="D16" s="9"/>
      <c r="F16" s="3">
        <v>3</v>
      </c>
      <c r="G16" s="35">
        <f>SMALL(③回報計算FX調整!$J$16:$J$265,3)</f>
        <v>-52728.707526576778</v>
      </c>
      <c r="H16" s="14" t="s">
        <v>353</v>
      </c>
      <c r="I16" s="9"/>
    </row>
    <row r="17" spans="1:9" x14ac:dyDescent="0.25">
      <c r="A17" s="3">
        <v>4</v>
      </c>
      <c r="B17" s="3" t="s">
        <v>58</v>
      </c>
      <c r="C17" s="27">
        <f>③回報計算FX調整!J19</f>
        <v>28900.265570618769</v>
      </c>
      <c r="D17" s="9"/>
      <c r="F17" s="3">
        <v>4</v>
      </c>
      <c r="G17" s="27">
        <f>SMALL(③回報計算FX調整!$J$16:$J$265,4)</f>
        <v>-52018.438472527836</v>
      </c>
      <c r="H17" s="9"/>
      <c r="I17" s="9"/>
    </row>
    <row r="18" spans="1:9" x14ac:dyDescent="0.25">
      <c r="A18" s="3">
        <v>5</v>
      </c>
      <c r="B18" s="3" t="s">
        <v>59</v>
      </c>
      <c r="C18" s="27">
        <f>③回報計算FX調整!J20</f>
        <v>68.077352608082677</v>
      </c>
      <c r="D18" s="9"/>
      <c r="F18" s="3">
        <v>5</v>
      </c>
      <c r="G18" s="27">
        <f>SMALL(③回報計算FX調整!$J$16:$J$265,5)</f>
        <v>-51113.727503412018</v>
      </c>
      <c r="H18" s="9"/>
      <c r="I18" s="9"/>
    </row>
    <row r="19" spans="1:9" x14ac:dyDescent="0.25">
      <c r="A19" s="3">
        <v>6</v>
      </c>
      <c r="B19" s="3" t="s">
        <v>60</v>
      </c>
      <c r="C19" s="28">
        <f>③回報計算FX調整!J21</f>
        <v>-2052.6680511295117</v>
      </c>
      <c r="D19" s="9"/>
      <c r="F19" s="3">
        <v>6</v>
      </c>
      <c r="G19" s="27">
        <f>SMALL(③回報計算FX調整!$J$16:$J$265,6)</f>
        <v>-49411.098466609095</v>
      </c>
      <c r="H19" s="9"/>
      <c r="I19" s="9"/>
    </row>
    <row r="20" spans="1:9" x14ac:dyDescent="0.25">
      <c r="A20" s="3">
        <v>7</v>
      </c>
      <c r="B20" s="3" t="s">
        <v>61</v>
      </c>
      <c r="C20" s="28">
        <f>③回報計算FX調整!J22</f>
        <v>-43696.961616115019</v>
      </c>
      <c r="D20" s="9"/>
      <c r="F20" s="3">
        <v>7</v>
      </c>
      <c r="G20" s="27">
        <f>SMALL(③回報計算FX調整!$J$16:$J$265,7)</f>
        <v>-48273.98599344075</v>
      </c>
      <c r="H20" s="9"/>
      <c r="I20" s="9"/>
    </row>
    <row r="21" spans="1:9" x14ac:dyDescent="0.25">
      <c r="A21" s="3">
        <v>8</v>
      </c>
      <c r="B21" s="3" t="s">
        <v>62</v>
      </c>
      <c r="C21" s="28">
        <f>③回報計算FX調整!J23</f>
        <v>-43858.544191033521</v>
      </c>
      <c r="D21" s="9"/>
      <c r="F21" s="3">
        <v>8</v>
      </c>
      <c r="G21" s="27">
        <f>SMALL(③回報計算FX調整!$J$16:$J$265,8)</f>
        <v>-46763.646236251188</v>
      </c>
      <c r="H21" s="9"/>
      <c r="I21" s="9"/>
    </row>
    <row r="22" spans="1:9" x14ac:dyDescent="0.25">
      <c r="A22" s="3">
        <v>9</v>
      </c>
      <c r="B22" s="3" t="s">
        <v>63</v>
      </c>
      <c r="C22" s="28">
        <f>③回報計算FX調整!J24</f>
        <v>-20204.74564848404</v>
      </c>
      <c r="D22" s="9"/>
      <c r="F22" s="3">
        <v>9</v>
      </c>
      <c r="G22" s="27">
        <f>SMALL(③回報計算FX調整!$J$16:$J$265,9)</f>
        <v>-46079.890293852375</v>
      </c>
      <c r="H22" s="9"/>
      <c r="I22" s="9"/>
    </row>
    <row r="23" spans="1:9" x14ac:dyDescent="0.25">
      <c r="A23" s="3">
        <v>10</v>
      </c>
      <c r="B23" s="3" t="s">
        <v>64</v>
      </c>
      <c r="C23" s="27">
        <f>③回報計算FX調整!J25</f>
        <v>7098.4724803547315</v>
      </c>
      <c r="D23" s="9"/>
      <c r="F23" s="3">
        <v>10</v>
      </c>
      <c r="G23" s="27">
        <f>SMALL(③回報計算FX調整!$J$16:$J$265,10)</f>
        <v>-46072.359291193156</v>
      </c>
      <c r="H23" s="9"/>
      <c r="I23" s="9"/>
    </row>
    <row r="24" spans="1:9" x14ac:dyDescent="0.25">
      <c r="A24" s="3">
        <v>11</v>
      </c>
      <c r="B24" s="3" t="s">
        <v>65</v>
      </c>
      <c r="C24" s="27">
        <f>③回報計算FX調整!J26</f>
        <v>12148.250505602013</v>
      </c>
      <c r="D24" s="9"/>
      <c r="F24" s="3">
        <v>11</v>
      </c>
      <c r="G24" s="27">
        <f>SMALL(③回報計算FX調整!$J$16:$J$265,11)</f>
        <v>-45899.325340848009</v>
      </c>
      <c r="H24" s="9"/>
      <c r="I24" s="9"/>
    </row>
    <row r="25" spans="1:9" x14ac:dyDescent="0.25">
      <c r="A25" s="3">
        <v>12</v>
      </c>
      <c r="B25" s="3" t="s">
        <v>66</v>
      </c>
      <c r="C25" s="27">
        <f>③回報計算FX調整!J27</f>
        <v>22301.809593797694</v>
      </c>
      <c r="D25" s="9"/>
      <c r="F25" s="3">
        <v>12</v>
      </c>
      <c r="G25" s="27">
        <f>SMALL(③回報計算FX調整!$J$16:$J$265,12)</f>
        <v>-44879.757931311426</v>
      </c>
      <c r="H25" s="9"/>
      <c r="I25" s="9"/>
    </row>
    <row r="26" spans="1:9" x14ac:dyDescent="0.25">
      <c r="A26" s="3">
        <v>13</v>
      </c>
      <c r="B26" s="3" t="s">
        <v>67</v>
      </c>
      <c r="C26" s="28">
        <f>③回報計算FX調整!J28</f>
        <v>-24648.76340110357</v>
      </c>
      <c r="D26" s="9"/>
      <c r="F26" s="3">
        <v>13</v>
      </c>
      <c r="G26" s="27">
        <f>SMALL(③回報計算FX調整!$J$16:$J$265,13)</f>
        <v>-44367.595781698023</v>
      </c>
      <c r="H26" s="9"/>
      <c r="I26" s="9"/>
    </row>
    <row r="27" spans="1:9" x14ac:dyDescent="0.25">
      <c r="A27" s="3">
        <v>14</v>
      </c>
      <c r="B27" s="3" t="s">
        <v>68</v>
      </c>
      <c r="C27" s="28">
        <f>③回報計算FX調整!J29</f>
        <v>-13149.80947044586</v>
      </c>
      <c r="D27" s="9"/>
      <c r="F27" s="3">
        <v>14</v>
      </c>
      <c r="G27" s="27">
        <f>SMALL(③回報計算FX調整!$J$16:$J$265,14)</f>
        <v>-43967.452537341509</v>
      </c>
      <c r="H27" s="9"/>
      <c r="I27" s="9"/>
    </row>
    <row r="28" spans="1:9" x14ac:dyDescent="0.25">
      <c r="A28" s="3">
        <v>15</v>
      </c>
      <c r="B28" s="3" t="s">
        <v>69</v>
      </c>
      <c r="C28" s="28">
        <f>③回報計算FX調整!J30</f>
        <v>-34783.71737454948</v>
      </c>
      <c r="D28" s="9"/>
      <c r="F28" s="3">
        <v>15</v>
      </c>
      <c r="G28" s="27">
        <f>SMALL(③回報計算FX調整!$J$16:$J$265,15)</f>
        <v>-43878.52962884408</v>
      </c>
      <c r="H28" s="9"/>
      <c r="I28" s="9"/>
    </row>
    <row r="29" spans="1:9" x14ac:dyDescent="0.25">
      <c r="A29" s="3">
        <v>16</v>
      </c>
      <c r="B29" s="3" t="s">
        <v>70</v>
      </c>
      <c r="C29" s="27">
        <f>③回報計算FX調整!J31</f>
        <v>58888.723562220657</v>
      </c>
      <c r="D29" s="9"/>
      <c r="F29" s="3">
        <v>16</v>
      </c>
      <c r="G29" s="27">
        <f>SMALL(③回報計算FX調整!$J$16:$J$265,16)</f>
        <v>-43858.544191033521</v>
      </c>
      <c r="H29" s="9"/>
      <c r="I29" s="9"/>
    </row>
    <row r="30" spans="1:9" x14ac:dyDescent="0.25">
      <c r="A30" s="3">
        <v>17</v>
      </c>
      <c r="B30" s="3" t="s">
        <v>71</v>
      </c>
      <c r="C30" s="28">
        <f>③回報計算FX調整!J32</f>
        <v>-19341.700126679534</v>
      </c>
      <c r="D30" s="9"/>
      <c r="F30" s="3">
        <v>17</v>
      </c>
      <c r="G30" s="27">
        <f>SMALL(③回報計算FX調整!$J$16:$J$265,17)</f>
        <v>-43696.961616115019</v>
      </c>
      <c r="H30" s="9"/>
      <c r="I30" s="9"/>
    </row>
    <row r="31" spans="1:9" x14ac:dyDescent="0.25">
      <c r="A31" s="3">
        <v>18</v>
      </c>
      <c r="B31" s="3" t="s">
        <v>72</v>
      </c>
      <c r="C31" s="28">
        <f>③回報計算FX調整!J33</f>
        <v>-3388.2118145391742</v>
      </c>
      <c r="D31" s="9"/>
      <c r="F31" s="3">
        <v>18</v>
      </c>
      <c r="G31" s="27">
        <f>SMALL(③回報計算FX調整!$J$16:$J$265,18)</f>
        <v>-40062.167286889904</v>
      </c>
      <c r="H31" s="9"/>
      <c r="I31" s="9"/>
    </row>
    <row r="32" spans="1:9" x14ac:dyDescent="0.25">
      <c r="A32" s="3">
        <v>19</v>
      </c>
      <c r="B32" s="3" t="s">
        <v>73</v>
      </c>
      <c r="C32" s="27">
        <f>③回報計算FX調整!J34</f>
        <v>39020.205671221614</v>
      </c>
      <c r="D32" s="9"/>
      <c r="F32" s="3">
        <v>19</v>
      </c>
      <c r="G32" s="27">
        <f>SMALL(③回報計算FX調整!$J$16:$J$265,19)</f>
        <v>-38514.415932369011</v>
      </c>
      <c r="H32" s="9"/>
      <c r="I32" s="9"/>
    </row>
    <row r="33" spans="1:9" x14ac:dyDescent="0.25">
      <c r="A33" s="3">
        <v>20</v>
      </c>
      <c r="B33" s="3" t="s">
        <v>74</v>
      </c>
      <c r="C33" s="27">
        <f>③回報計算FX調整!J35</f>
        <v>11655.577447243233</v>
      </c>
      <c r="D33" s="9"/>
      <c r="F33" s="3">
        <v>20</v>
      </c>
      <c r="G33" s="27">
        <f>SMALL(③回報計算FX調整!$J$16:$J$265,20)</f>
        <v>-37048.16753026376</v>
      </c>
      <c r="H33" s="9"/>
      <c r="I33" s="9"/>
    </row>
    <row r="34" spans="1:9" x14ac:dyDescent="0.25">
      <c r="A34" s="3">
        <v>21</v>
      </c>
      <c r="B34" s="3" t="s">
        <v>75</v>
      </c>
      <c r="C34" s="28">
        <f>③回報計算FX調整!J36</f>
        <v>-27453.138259023093</v>
      </c>
      <c r="D34" s="9"/>
      <c r="F34" s="3">
        <v>21</v>
      </c>
      <c r="G34" s="27">
        <f>SMALL(③回報計算FX調整!$J$16:$J$265,21)</f>
        <v>-34966.558823742758</v>
      </c>
      <c r="H34" s="9"/>
      <c r="I34" s="9"/>
    </row>
    <row r="35" spans="1:9" x14ac:dyDescent="0.25">
      <c r="A35" s="3">
        <v>22</v>
      </c>
      <c r="B35" s="3" t="s">
        <v>76</v>
      </c>
      <c r="C35" s="28">
        <f>③回報計算FX調整!J37</f>
        <v>-23992.454323437076</v>
      </c>
      <c r="D35" s="9"/>
      <c r="F35" s="3">
        <v>22</v>
      </c>
      <c r="G35" s="27">
        <f>SMALL(③回報計算FX調整!$J$16:$J$265,22)</f>
        <v>-34783.71737454948</v>
      </c>
      <c r="H35" s="9"/>
      <c r="I35" s="9"/>
    </row>
    <row r="36" spans="1:9" x14ac:dyDescent="0.25">
      <c r="A36" s="3">
        <v>23</v>
      </c>
      <c r="B36" s="3" t="s">
        <v>77</v>
      </c>
      <c r="C36" s="27">
        <f>③回報計算FX調整!J38</f>
        <v>4206.6691661931554</v>
      </c>
      <c r="D36" s="9"/>
      <c r="F36" s="3">
        <v>23</v>
      </c>
      <c r="G36" s="27">
        <f>SMALL(③回報計算FX調整!$J$16:$J$265,23)</f>
        <v>-34110.939416154608</v>
      </c>
      <c r="H36" s="9"/>
      <c r="I36" s="9"/>
    </row>
    <row r="37" spans="1:9" x14ac:dyDescent="0.25">
      <c r="A37" s="3">
        <v>24</v>
      </c>
      <c r="B37" s="3" t="s">
        <v>78</v>
      </c>
      <c r="C37" s="28">
        <f>③回報計算FX調整!J39</f>
        <v>-16423.725750707486</v>
      </c>
      <c r="D37" s="9"/>
      <c r="F37" s="3">
        <v>24</v>
      </c>
      <c r="G37" s="27">
        <f>SMALL(③回報計算FX調整!$J$16:$J$265,24)</f>
        <v>-33913.703734010458</v>
      </c>
      <c r="H37" s="9"/>
      <c r="I37" s="9"/>
    </row>
    <row r="38" spans="1:9" x14ac:dyDescent="0.25">
      <c r="A38" s="3">
        <v>25</v>
      </c>
      <c r="B38" s="3" t="s">
        <v>79</v>
      </c>
      <c r="C38" s="27">
        <f>③回報計算FX調整!J40</f>
        <v>52557.772457118277</v>
      </c>
      <c r="D38" s="9"/>
      <c r="F38" s="3">
        <v>25</v>
      </c>
      <c r="G38" s="27">
        <f>SMALL(③回報計算FX調整!$J$16:$J$265,25)</f>
        <v>-33826.567395613107</v>
      </c>
      <c r="H38" s="9"/>
      <c r="I38" s="9"/>
    </row>
    <row r="39" spans="1:9" x14ac:dyDescent="0.25">
      <c r="A39" s="3">
        <v>26</v>
      </c>
      <c r="B39" s="3" t="s">
        <v>80</v>
      </c>
      <c r="C39" s="27">
        <f>③回報計算FX調整!J41</f>
        <v>34733.775254734282</v>
      </c>
      <c r="D39" s="9"/>
      <c r="F39" s="3">
        <v>26</v>
      </c>
      <c r="G39" s="27">
        <f>SMALL(③回報計算FX調整!$J$16:$J$265,26)</f>
        <v>-33046.359253377166</v>
      </c>
      <c r="H39" s="9"/>
      <c r="I39" s="9"/>
    </row>
    <row r="40" spans="1:9" x14ac:dyDescent="0.25">
      <c r="A40" s="3">
        <v>27</v>
      </c>
      <c r="B40" s="3" t="s">
        <v>81</v>
      </c>
      <c r="C40" s="28">
        <f>③回報計算FX調整!J42</f>
        <v>-11424.759595319467</v>
      </c>
      <c r="D40" s="9"/>
      <c r="F40" s="3">
        <v>27</v>
      </c>
      <c r="G40" s="27">
        <f>SMALL(③回報計算FX調整!$J$16:$J$265,27)</f>
        <v>-32664.162835763043</v>
      </c>
      <c r="H40" s="9"/>
      <c r="I40" s="9"/>
    </row>
    <row r="41" spans="1:9" x14ac:dyDescent="0.25">
      <c r="A41" s="3">
        <v>28</v>
      </c>
      <c r="B41" s="3" t="s">
        <v>82</v>
      </c>
      <c r="C41" s="27">
        <f>③回報計算FX調整!J43</f>
        <v>23348.432786209738</v>
      </c>
      <c r="D41" s="9"/>
      <c r="F41" s="3">
        <v>28</v>
      </c>
      <c r="G41" s="27">
        <f>SMALL(③回報計算FX調整!$J$16:$J$265,28)</f>
        <v>-31853.750812315717</v>
      </c>
      <c r="H41" s="9"/>
      <c r="I41" s="9"/>
    </row>
    <row r="42" spans="1:9" x14ac:dyDescent="0.25">
      <c r="A42" s="3">
        <v>29</v>
      </c>
      <c r="B42" s="3" t="s">
        <v>83</v>
      </c>
      <c r="C42" s="27">
        <f>③回報計算FX調整!J44</f>
        <v>25164.479470611743</v>
      </c>
      <c r="D42" s="9"/>
      <c r="F42" s="3">
        <v>29</v>
      </c>
      <c r="G42" s="27">
        <f>SMALL(③回報計算FX調整!$J$16:$J$265,29)</f>
        <v>-31477.6478579457</v>
      </c>
      <c r="H42" s="9"/>
      <c r="I42" s="9"/>
    </row>
    <row r="43" spans="1:9" x14ac:dyDescent="0.25">
      <c r="A43" s="3">
        <v>30</v>
      </c>
      <c r="B43" s="3" t="s">
        <v>84</v>
      </c>
      <c r="C43" s="27">
        <f>③回報計算FX調整!J45</f>
        <v>6833.3262947220937</v>
      </c>
      <c r="D43" s="9"/>
      <c r="F43" s="3">
        <v>30</v>
      </c>
      <c r="G43" s="27">
        <f>SMALL(③回報計算FX調整!$J$16:$J$265,30)</f>
        <v>-31284.800630795366</v>
      </c>
      <c r="H43" s="9"/>
      <c r="I43" s="9"/>
    </row>
    <row r="44" spans="1:9" x14ac:dyDescent="0.25">
      <c r="A44" s="3">
        <v>31</v>
      </c>
      <c r="B44" s="3" t="s">
        <v>85</v>
      </c>
      <c r="C44" s="27">
        <f>③回報計算FX調整!J46</f>
        <v>1621.6427959019454</v>
      </c>
      <c r="D44" s="9"/>
      <c r="F44" s="3">
        <v>31</v>
      </c>
      <c r="G44" s="27">
        <f>SMALL(③回報計算FX調整!$J$16:$J$265,31)</f>
        <v>-31111.097303158662</v>
      </c>
      <c r="H44" s="9"/>
      <c r="I44" s="9"/>
    </row>
    <row r="45" spans="1:9" x14ac:dyDescent="0.25">
      <c r="A45" s="3">
        <v>32</v>
      </c>
      <c r="B45" s="3" t="s">
        <v>86</v>
      </c>
      <c r="C45" s="28">
        <f>③回報計算FX調整!J47</f>
        <v>-17688.051025340039</v>
      </c>
      <c r="D45" s="9"/>
      <c r="F45" s="3">
        <v>32</v>
      </c>
      <c r="G45" s="27">
        <f>SMALL(③回報計算FX調整!$J$16:$J$265,32)</f>
        <v>-30861.573719946497</v>
      </c>
      <c r="H45" s="9"/>
      <c r="I45" s="9"/>
    </row>
    <row r="46" spans="1:9" x14ac:dyDescent="0.25">
      <c r="A46" s="3">
        <v>33</v>
      </c>
      <c r="B46" s="3" t="s">
        <v>87</v>
      </c>
      <c r="C46" s="27">
        <f>③回報計算FX調整!J48</f>
        <v>53129.518298961346</v>
      </c>
      <c r="D46" s="9"/>
      <c r="F46" s="3">
        <v>33</v>
      </c>
      <c r="G46" s="27">
        <f>SMALL(③回報計算FX調整!$J$16:$J$265,33)</f>
        <v>-30860.056510902999</v>
      </c>
      <c r="H46" s="9"/>
      <c r="I46" s="9"/>
    </row>
    <row r="47" spans="1:9" x14ac:dyDescent="0.25">
      <c r="A47" s="3">
        <v>34</v>
      </c>
      <c r="B47" s="3" t="s">
        <v>88</v>
      </c>
      <c r="C47" s="28">
        <f>③回報計算FX調整!J49</f>
        <v>-15300.584750393693</v>
      </c>
      <c r="D47" s="9"/>
      <c r="F47" s="3">
        <v>34</v>
      </c>
      <c r="G47" s="27">
        <f>SMALL(③回報計算FX調整!$J$16:$J$265,34)</f>
        <v>-30438.681474323865</v>
      </c>
      <c r="H47" s="9"/>
      <c r="I47" s="9"/>
    </row>
    <row r="48" spans="1:9" x14ac:dyDescent="0.25">
      <c r="A48" s="3">
        <v>35</v>
      </c>
      <c r="B48" s="3" t="s">
        <v>89</v>
      </c>
      <c r="C48" s="28">
        <f>③回報計算FX調整!J50</f>
        <v>-58300.353313050306</v>
      </c>
      <c r="D48" s="9"/>
      <c r="F48" s="3">
        <v>35</v>
      </c>
      <c r="G48" s="27">
        <f>SMALL(③回報計算FX調整!$J$16:$J$265,35)</f>
        <v>-29986.029208095013</v>
      </c>
      <c r="H48" s="9"/>
      <c r="I48" s="9"/>
    </row>
    <row r="49" spans="1:9" x14ac:dyDescent="0.25">
      <c r="A49" s="3">
        <v>36</v>
      </c>
      <c r="B49" s="3" t="s">
        <v>90</v>
      </c>
      <c r="C49" s="27">
        <f>③回報計算FX調整!J51</f>
        <v>34946.893389150369</v>
      </c>
      <c r="D49" s="9"/>
      <c r="F49" s="3">
        <v>36</v>
      </c>
      <c r="G49" s="27">
        <f>SMALL(③回報計算FX調整!$J$16:$J$265,36)</f>
        <v>-29951.709277512124</v>
      </c>
      <c r="H49" s="9"/>
      <c r="I49" s="9"/>
    </row>
    <row r="50" spans="1:9" x14ac:dyDescent="0.25">
      <c r="A50" s="3">
        <v>37</v>
      </c>
      <c r="B50" s="3" t="s">
        <v>91</v>
      </c>
      <c r="C50" s="27">
        <f>③回報計算FX調整!J52</f>
        <v>1536.5489061865637</v>
      </c>
      <c r="D50" s="9"/>
      <c r="F50" s="3">
        <v>37</v>
      </c>
      <c r="G50" s="27">
        <f>SMALL(③回報計算FX調整!$J$16:$J$265,37)</f>
        <v>-29946.06627230809</v>
      </c>
      <c r="H50" s="9"/>
      <c r="I50" s="9"/>
    </row>
    <row r="51" spans="1:9" x14ac:dyDescent="0.25">
      <c r="A51" s="3">
        <v>38</v>
      </c>
      <c r="B51" s="3" t="s">
        <v>92</v>
      </c>
      <c r="C51" s="28">
        <f>③回報計算FX調整!J53</f>
        <v>-40062.167286889904</v>
      </c>
      <c r="D51" s="9"/>
      <c r="F51" s="3">
        <v>38</v>
      </c>
      <c r="G51" s="27">
        <f>SMALL(③回報計算FX調整!$J$16:$J$265,38)</f>
        <v>-29024.63759600238</v>
      </c>
      <c r="H51" s="9"/>
      <c r="I51" s="9"/>
    </row>
    <row r="52" spans="1:9" x14ac:dyDescent="0.25">
      <c r="A52" s="3">
        <v>39</v>
      </c>
      <c r="B52" s="3" t="s">
        <v>93</v>
      </c>
      <c r="C52" s="27">
        <f>③回報計算FX調整!J54</f>
        <v>3494.4093347217149</v>
      </c>
      <c r="D52" s="9"/>
      <c r="F52" s="3">
        <v>39</v>
      </c>
      <c r="G52" s="27">
        <f>SMALL(③回報計算FX調整!$J$16:$J$265,39)</f>
        <v>-27914.822374321953</v>
      </c>
      <c r="H52" s="9"/>
      <c r="I52" s="9"/>
    </row>
    <row r="53" spans="1:9" x14ac:dyDescent="0.25">
      <c r="A53" s="3">
        <v>40</v>
      </c>
      <c r="B53" s="3" t="s">
        <v>94</v>
      </c>
      <c r="C53" s="28">
        <f>③回報計算FX調整!J55</f>
        <v>-4037.3486898464798</v>
      </c>
      <c r="D53" s="9"/>
      <c r="F53" s="3">
        <v>40</v>
      </c>
      <c r="G53" s="27">
        <f>SMALL(③回報計算FX調整!$J$16:$J$265,40)</f>
        <v>-27914.363983200376</v>
      </c>
      <c r="H53" s="9"/>
      <c r="I53" s="9"/>
    </row>
    <row r="54" spans="1:9" x14ac:dyDescent="0.25">
      <c r="A54" s="3">
        <v>41</v>
      </c>
      <c r="B54" s="3" t="s">
        <v>95</v>
      </c>
      <c r="C54" s="27">
        <f>③回報計算FX調整!J56</f>
        <v>14327.483200589817</v>
      </c>
      <c r="D54" s="9"/>
      <c r="F54" s="3">
        <v>41</v>
      </c>
      <c r="G54" s="27">
        <f>SMALL(③回報計算FX調整!$J$16:$J$265,41)</f>
        <v>-27453.138259023093</v>
      </c>
      <c r="H54" s="9"/>
      <c r="I54" s="9"/>
    </row>
    <row r="55" spans="1:9" x14ac:dyDescent="0.25">
      <c r="A55" s="3">
        <v>42</v>
      </c>
      <c r="B55" s="3" t="s">
        <v>96</v>
      </c>
      <c r="C55" s="28">
        <f>③回報計算FX調整!J57</f>
        <v>-10836.924254411118</v>
      </c>
      <c r="D55" s="9"/>
      <c r="F55" s="3">
        <v>42</v>
      </c>
      <c r="G55" s="27">
        <f>SMALL(③回報計算FX調整!$J$16:$J$265,42)</f>
        <v>-27204.01444488368</v>
      </c>
      <c r="H55" s="9"/>
      <c r="I55" s="9"/>
    </row>
    <row r="56" spans="1:9" x14ac:dyDescent="0.25">
      <c r="A56" s="3">
        <v>43</v>
      </c>
      <c r="B56" s="3" t="s">
        <v>97</v>
      </c>
      <c r="C56" s="28">
        <f>③回報計算FX調整!J58</f>
        <v>-13674.284535250907</v>
      </c>
      <c r="D56" s="9"/>
      <c r="F56" s="3">
        <v>43</v>
      </c>
      <c r="G56" s="27">
        <f>SMALL(③回報計算FX調整!$J$16:$J$265,43)</f>
        <v>-26710.816131287324</v>
      </c>
      <c r="H56" s="9"/>
      <c r="I56" s="9"/>
    </row>
    <row r="57" spans="1:9" x14ac:dyDescent="0.25">
      <c r="A57" s="3">
        <v>44</v>
      </c>
      <c r="B57" s="3" t="s">
        <v>98</v>
      </c>
      <c r="C57" s="27">
        <f>③回報計算FX調整!J59</f>
        <v>28737.563739833367</v>
      </c>
      <c r="D57" s="9"/>
      <c r="F57" s="3">
        <v>44</v>
      </c>
      <c r="G57" s="27">
        <f>SMALL(③回報計算FX調整!$J$16:$J$265,44)</f>
        <v>-24781.707187107746</v>
      </c>
      <c r="H57" s="9"/>
      <c r="I57" s="9"/>
    </row>
    <row r="58" spans="1:9" x14ac:dyDescent="0.25">
      <c r="A58" s="3">
        <v>45</v>
      </c>
      <c r="B58" s="3" t="s">
        <v>99</v>
      </c>
      <c r="C58" s="28">
        <f>③回報計算FX調整!J60</f>
        <v>-48273.98599344075</v>
      </c>
      <c r="D58" s="9"/>
      <c r="F58" s="3">
        <v>45</v>
      </c>
      <c r="G58" s="27">
        <f>SMALL(③回報計算FX調整!$J$16:$J$265,45)</f>
        <v>-24740.662127076339</v>
      </c>
      <c r="H58" s="9"/>
      <c r="I58" s="9"/>
    </row>
    <row r="59" spans="1:9" x14ac:dyDescent="0.25">
      <c r="A59" s="3">
        <v>46</v>
      </c>
      <c r="B59" s="3" t="s">
        <v>100</v>
      </c>
      <c r="C59" s="28">
        <f>③回報計算FX調整!J61</f>
        <v>-44879.757931311426</v>
      </c>
      <c r="D59" s="9"/>
      <c r="F59" s="3">
        <v>46</v>
      </c>
      <c r="G59" s="27">
        <f>SMALL(③回報計算FX調整!$J$16:$J$265,46)</f>
        <v>-24648.76340110357</v>
      </c>
      <c r="H59" s="9"/>
      <c r="I59" s="9"/>
    </row>
    <row r="60" spans="1:9" x14ac:dyDescent="0.25">
      <c r="A60" s="3">
        <v>47</v>
      </c>
      <c r="B60" s="3" t="s">
        <v>101</v>
      </c>
      <c r="C60" s="27">
        <f>③回報計算FX調整!J62</f>
        <v>24057.99042054814</v>
      </c>
      <c r="D60" s="9"/>
      <c r="F60" s="3">
        <v>47</v>
      </c>
      <c r="G60" s="27">
        <f>SMALL(③回報計算FX調整!$J$16:$J$265,47)</f>
        <v>-24594.126834524937</v>
      </c>
      <c r="H60" s="9"/>
      <c r="I60" s="9"/>
    </row>
    <row r="61" spans="1:9" x14ac:dyDescent="0.25">
      <c r="A61" s="3">
        <v>48</v>
      </c>
      <c r="B61" s="3" t="s">
        <v>102</v>
      </c>
      <c r="C61" s="27">
        <f>③回報計算FX調整!J63</f>
        <v>72298.36314614852</v>
      </c>
      <c r="D61" s="9"/>
      <c r="F61" s="3">
        <v>48</v>
      </c>
      <c r="G61" s="27">
        <f>SMALL(③回報計算FX調整!$J$16:$J$265,48)</f>
        <v>-24525.310801446492</v>
      </c>
      <c r="H61" s="9"/>
      <c r="I61" s="9"/>
    </row>
    <row r="62" spans="1:9" x14ac:dyDescent="0.25">
      <c r="A62" s="3">
        <v>49</v>
      </c>
      <c r="B62" s="3" t="s">
        <v>103</v>
      </c>
      <c r="C62" s="28">
        <f>③回報計算FX調整!J64</f>
        <v>-7085.6243068396943</v>
      </c>
      <c r="D62" s="9"/>
      <c r="F62" s="3">
        <v>49</v>
      </c>
      <c r="G62" s="27">
        <f>SMALL(③回報計算FX調整!$J$16:$J$265,49)</f>
        <v>-23992.454323437076</v>
      </c>
      <c r="H62" s="9"/>
      <c r="I62" s="9"/>
    </row>
    <row r="63" spans="1:9" x14ac:dyDescent="0.25">
      <c r="A63" s="3">
        <v>50</v>
      </c>
      <c r="B63" s="3" t="s">
        <v>104</v>
      </c>
      <c r="C63" s="27">
        <f>③回報計算FX調整!J65</f>
        <v>2905.973162795156</v>
      </c>
      <c r="D63" s="9"/>
      <c r="F63" s="3">
        <v>50</v>
      </c>
      <c r="G63" s="27">
        <f>SMALL(③回報計算FX調整!$J$16:$J$265,50)</f>
        <v>-23657.733284456473</v>
      </c>
      <c r="H63" s="9"/>
      <c r="I63" s="9"/>
    </row>
    <row r="64" spans="1:9" x14ac:dyDescent="0.25">
      <c r="A64" s="3">
        <v>51</v>
      </c>
      <c r="B64" s="3" t="s">
        <v>105</v>
      </c>
      <c r="C64" s="28">
        <f>③回報計算FX調整!J66</f>
        <v>-20231.647229783837</v>
      </c>
      <c r="D64" s="9"/>
      <c r="F64" s="3">
        <v>51</v>
      </c>
      <c r="G64" s="27">
        <f>SMALL(③回報計算FX調整!$J$16:$J$265,51)</f>
        <v>-23647.88293362792</v>
      </c>
      <c r="H64" s="9"/>
      <c r="I64" s="9"/>
    </row>
    <row r="65" spans="1:9" x14ac:dyDescent="0.25">
      <c r="A65" s="3">
        <v>52</v>
      </c>
      <c r="B65" s="3" t="s">
        <v>106</v>
      </c>
      <c r="C65" s="27">
        <f>③回報計算FX調整!J67</f>
        <v>34109.622920201247</v>
      </c>
      <c r="D65" s="9"/>
      <c r="F65" s="3">
        <v>52</v>
      </c>
      <c r="G65" s="27">
        <f>SMALL(③回報計算FX調整!$J$16:$J$265,52)</f>
        <v>-23100.581282355801</v>
      </c>
      <c r="H65" s="9"/>
      <c r="I65" s="9"/>
    </row>
    <row r="66" spans="1:9" x14ac:dyDescent="0.25">
      <c r="A66" s="3">
        <v>53</v>
      </c>
      <c r="B66" s="3" t="s">
        <v>107</v>
      </c>
      <c r="C66" s="27">
        <f>③回報計算FX調整!J68</f>
        <v>61350.009865638436</v>
      </c>
      <c r="D66" s="9"/>
      <c r="F66" s="3">
        <v>53</v>
      </c>
      <c r="G66" s="27">
        <f>SMALL(③回報計算FX調整!$J$16:$J$265,53)</f>
        <v>-22606.114451343667</v>
      </c>
      <c r="H66" s="9"/>
      <c r="I66" s="9"/>
    </row>
    <row r="67" spans="1:9" x14ac:dyDescent="0.25">
      <c r="A67" s="3">
        <v>54</v>
      </c>
      <c r="B67" s="3" t="s">
        <v>108</v>
      </c>
      <c r="C67" s="27">
        <f>③回報計算FX調整!J69</f>
        <v>52582.711095269085</v>
      </c>
      <c r="D67" s="9"/>
      <c r="F67" s="3">
        <v>54</v>
      </c>
      <c r="G67" s="27">
        <f>SMALL(③回報計算FX調整!$J$16:$J$265,54)</f>
        <v>-22593.183086799134</v>
      </c>
      <c r="H67" s="9"/>
      <c r="I67" s="9"/>
    </row>
    <row r="68" spans="1:9" x14ac:dyDescent="0.25">
      <c r="A68" s="3">
        <v>55</v>
      </c>
      <c r="B68" s="3" t="s">
        <v>109</v>
      </c>
      <c r="C68" s="27">
        <f>③回報計算FX調整!J70</f>
        <v>25205.371905238491</v>
      </c>
      <c r="D68" s="9"/>
      <c r="F68" s="3">
        <v>55</v>
      </c>
      <c r="G68" s="27">
        <f>SMALL(③回報計算FX調整!$J$16:$J$265,55)</f>
        <v>-21144.334466706045</v>
      </c>
      <c r="H68" s="9"/>
      <c r="I68" s="9"/>
    </row>
    <row r="69" spans="1:9" x14ac:dyDescent="0.25">
      <c r="A69" s="3">
        <v>56</v>
      </c>
      <c r="B69" s="3" t="s">
        <v>110</v>
      </c>
      <c r="C69" s="28">
        <f>③回報計算FX調整!J71</f>
        <v>-18048.27935348549</v>
      </c>
      <c r="D69" s="9"/>
      <c r="F69" s="3">
        <v>56</v>
      </c>
      <c r="G69" s="27">
        <f>SMALL(③回報計算FX調整!$J$16:$J$265,56)</f>
        <v>-20231.647229783837</v>
      </c>
      <c r="H69" s="9"/>
      <c r="I69" s="9"/>
    </row>
    <row r="70" spans="1:9" x14ac:dyDescent="0.25">
      <c r="A70" s="3">
        <v>57</v>
      </c>
      <c r="B70" s="3" t="s">
        <v>111</v>
      </c>
      <c r="C70" s="28">
        <f>③回報計算FX調整!J72</f>
        <v>-14404.274732046153</v>
      </c>
      <c r="D70" s="9"/>
      <c r="F70" s="3">
        <v>57</v>
      </c>
      <c r="G70" s="27">
        <f>SMALL(③回報計算FX調整!$J$16:$J$265,57)</f>
        <v>-20204.74564848404</v>
      </c>
      <c r="H70" s="9"/>
      <c r="I70" s="9"/>
    </row>
    <row r="71" spans="1:9" x14ac:dyDescent="0.25">
      <c r="A71" s="3">
        <v>58</v>
      </c>
      <c r="B71" s="3" t="s">
        <v>112</v>
      </c>
      <c r="C71" s="27">
        <f>③回報計算FX調整!J73</f>
        <v>8578.0987501127147</v>
      </c>
      <c r="D71" s="9"/>
      <c r="F71" s="3">
        <v>58</v>
      </c>
      <c r="G71" s="27">
        <f>SMALL(③回報計算FX調整!$J$16:$J$265,58)</f>
        <v>-19341.700126679534</v>
      </c>
      <c r="H71" s="9"/>
      <c r="I71" s="9"/>
    </row>
    <row r="72" spans="1:9" x14ac:dyDescent="0.25">
      <c r="A72" s="3">
        <v>59</v>
      </c>
      <c r="B72" s="3" t="s">
        <v>113</v>
      </c>
      <c r="C72" s="28">
        <f>③回報計算FX調整!J74</f>
        <v>-31284.800630795366</v>
      </c>
      <c r="D72" s="9"/>
      <c r="F72" s="3">
        <v>59</v>
      </c>
      <c r="G72" s="27">
        <f>SMALL(③回報計算FX調整!$J$16:$J$265,59)</f>
        <v>-18898.636378948693</v>
      </c>
      <c r="H72" s="9"/>
      <c r="I72" s="9"/>
    </row>
    <row r="73" spans="1:9" x14ac:dyDescent="0.25">
      <c r="A73" s="3">
        <v>60</v>
      </c>
      <c r="B73" s="3" t="s">
        <v>114</v>
      </c>
      <c r="C73" s="28">
        <f>③回報計算FX調整!J75</f>
        <v>-30861.573719946497</v>
      </c>
      <c r="D73" s="9"/>
      <c r="F73" s="3">
        <v>60</v>
      </c>
      <c r="G73" s="27">
        <f>SMALL(③回報計算FX調整!$J$16:$J$265,60)</f>
        <v>-18389.093498407616</v>
      </c>
      <c r="H73" s="9"/>
      <c r="I73" s="9"/>
    </row>
    <row r="74" spans="1:9" x14ac:dyDescent="0.25">
      <c r="A74" s="3">
        <v>61</v>
      </c>
      <c r="B74" s="3" t="s">
        <v>115</v>
      </c>
      <c r="C74" s="28">
        <f>③回報計算FX調整!J76</f>
        <v>-17404.328026665436</v>
      </c>
      <c r="D74" s="9"/>
      <c r="F74" s="3">
        <v>61</v>
      </c>
      <c r="G74" s="27">
        <f>SMALL(③回報計算FX調整!$J$16:$J$265,61)</f>
        <v>-18367.172295430162</v>
      </c>
      <c r="H74" s="9"/>
      <c r="I74" s="9"/>
    </row>
    <row r="75" spans="1:9" x14ac:dyDescent="0.25">
      <c r="A75" s="3">
        <v>62</v>
      </c>
      <c r="B75" s="3" t="s">
        <v>116</v>
      </c>
      <c r="C75" s="27">
        <f>③回報計算FX調整!J77</f>
        <v>17225.317102389516</v>
      </c>
      <c r="D75" s="9"/>
      <c r="F75" s="3">
        <v>62</v>
      </c>
      <c r="G75" s="27">
        <f>SMALL(③回報計算FX調整!$J$16:$J$265,62)</f>
        <v>-18192.251322486445</v>
      </c>
      <c r="H75" s="9"/>
      <c r="I75" s="9"/>
    </row>
    <row r="76" spans="1:9" x14ac:dyDescent="0.25">
      <c r="A76" s="3">
        <v>63</v>
      </c>
      <c r="B76" s="3" t="s">
        <v>117</v>
      </c>
      <c r="C76" s="27">
        <f>③回報計算FX調整!J78</f>
        <v>32409.438297864173</v>
      </c>
      <c r="D76" s="9"/>
      <c r="F76" s="3">
        <v>63</v>
      </c>
      <c r="G76" s="27">
        <f>SMALL(③回報計算FX調整!$J$16:$J$265,63)</f>
        <v>-18071.378521637998</v>
      </c>
      <c r="H76" s="9"/>
      <c r="I76" s="9"/>
    </row>
    <row r="77" spans="1:9" x14ac:dyDescent="0.25">
      <c r="A77" s="3">
        <v>64</v>
      </c>
      <c r="B77" s="3" t="s">
        <v>118</v>
      </c>
      <c r="C77" s="27">
        <f>③回報計算FX調整!J79</f>
        <v>6132.3442170287035</v>
      </c>
      <c r="D77" s="9"/>
      <c r="F77" s="3">
        <v>64</v>
      </c>
      <c r="G77" s="27">
        <f>SMALL(③回報計算FX調整!$J$16:$J$265,64)</f>
        <v>-18048.27935348549</v>
      </c>
      <c r="H77" s="9"/>
      <c r="I77" s="9"/>
    </row>
    <row r="78" spans="1:9" x14ac:dyDescent="0.25">
      <c r="A78" s="3">
        <v>65</v>
      </c>
      <c r="B78" s="3" t="s">
        <v>119</v>
      </c>
      <c r="C78" s="27">
        <f>③回報計算FX調整!J80</f>
        <v>1076.9423738269622</v>
      </c>
      <c r="D78" s="9"/>
      <c r="F78" s="3">
        <v>65</v>
      </c>
      <c r="G78" s="27">
        <f>SMALL(③回報計算FX調整!$J$16:$J$265,65)</f>
        <v>-17887.660136923863</v>
      </c>
      <c r="H78" s="9"/>
      <c r="I78" s="9"/>
    </row>
    <row r="79" spans="1:9" x14ac:dyDescent="0.25">
      <c r="A79" s="3">
        <v>66</v>
      </c>
      <c r="B79" s="3" t="s">
        <v>120</v>
      </c>
      <c r="C79" s="28">
        <f>③回報計算FX調整!J81</f>
        <v>-46072.359291193156</v>
      </c>
      <c r="D79" s="9"/>
      <c r="F79" s="3">
        <v>66</v>
      </c>
      <c r="G79" s="27">
        <f>SMALL(③回報計算FX調整!$J$16:$J$265,66)</f>
        <v>-17688.051025340039</v>
      </c>
      <c r="H79" s="9"/>
      <c r="I79" s="9"/>
    </row>
    <row r="80" spans="1:9" x14ac:dyDescent="0.25">
      <c r="A80" s="3">
        <v>67</v>
      </c>
      <c r="B80" s="3" t="s">
        <v>121</v>
      </c>
      <c r="C80" s="28">
        <f>③回報計算FX調整!J82</f>
        <v>-14370.707658725623</v>
      </c>
      <c r="D80" s="9"/>
      <c r="F80" s="3">
        <v>67</v>
      </c>
      <c r="G80" s="27">
        <f>SMALL(③回報計算FX調整!$J$16:$J$265,67)</f>
        <v>-17404.328026665436</v>
      </c>
      <c r="H80" s="9"/>
      <c r="I80" s="9"/>
    </row>
    <row r="81" spans="1:9" x14ac:dyDescent="0.25">
      <c r="A81" s="3">
        <v>68</v>
      </c>
      <c r="B81" s="3" t="s">
        <v>122</v>
      </c>
      <c r="C81" s="28">
        <f>③回報計算FX調整!J83</f>
        <v>-46079.890293852375</v>
      </c>
      <c r="D81" s="9"/>
      <c r="F81" s="3">
        <v>68</v>
      </c>
      <c r="G81" s="27">
        <f>SMALL(③回報計算FX調整!$J$16:$J$265,68)</f>
        <v>-17059.944039430717</v>
      </c>
      <c r="H81" s="9"/>
      <c r="I81" s="9"/>
    </row>
    <row r="82" spans="1:9" x14ac:dyDescent="0.25">
      <c r="A82" s="3">
        <v>69</v>
      </c>
      <c r="B82" s="3" t="s">
        <v>123</v>
      </c>
      <c r="C82" s="27">
        <f>③回報計算FX調整!J84</f>
        <v>10014.010486249243</v>
      </c>
      <c r="D82" s="9"/>
      <c r="F82" s="3">
        <v>69</v>
      </c>
      <c r="G82" s="27">
        <f>SMALL(③回報計算FX調整!$J$16:$J$265,69)</f>
        <v>-16423.725750707486</v>
      </c>
      <c r="H82" s="9"/>
      <c r="I82" s="9"/>
    </row>
    <row r="83" spans="1:9" x14ac:dyDescent="0.25">
      <c r="A83" s="3">
        <v>70</v>
      </c>
      <c r="B83" s="3" t="s">
        <v>124</v>
      </c>
      <c r="C83" s="27">
        <f>③回報計算FX調整!J85</f>
        <v>2957.5384769400293</v>
      </c>
      <c r="D83" s="9"/>
      <c r="F83" s="3">
        <v>70</v>
      </c>
      <c r="G83" s="27">
        <f>SMALL(③回報計算FX調整!$J$16:$J$265,70)</f>
        <v>-16329.901701532115</v>
      </c>
      <c r="H83" s="9"/>
      <c r="I83" s="9"/>
    </row>
    <row r="84" spans="1:9" x14ac:dyDescent="0.25">
      <c r="A84" s="3">
        <v>71</v>
      </c>
      <c r="B84" s="3" t="s">
        <v>125</v>
      </c>
      <c r="C84" s="28">
        <f>③回報計算FX調整!J86</f>
        <v>-33913.703734010458</v>
      </c>
      <c r="D84" s="9"/>
      <c r="F84" s="3">
        <v>71</v>
      </c>
      <c r="G84" s="27">
        <f>SMALL(③回報計算FX調整!$J$16:$J$265,71)</f>
        <v>-15728.721408426856</v>
      </c>
      <c r="H84" s="9"/>
      <c r="I84" s="9"/>
    </row>
    <row r="85" spans="1:9" x14ac:dyDescent="0.25">
      <c r="A85" s="3">
        <v>72</v>
      </c>
      <c r="B85" s="3" t="s">
        <v>126</v>
      </c>
      <c r="C85" s="27">
        <f>③回報計算FX調整!J87</f>
        <v>61129.763801909052</v>
      </c>
      <c r="D85" s="9"/>
      <c r="F85" s="3">
        <v>72</v>
      </c>
      <c r="G85" s="27">
        <f>SMALL(③回報計算FX調整!$J$16:$J$265,72)</f>
        <v>-15402.291921062009</v>
      </c>
      <c r="H85" s="9"/>
      <c r="I85" s="9"/>
    </row>
    <row r="86" spans="1:9" x14ac:dyDescent="0.25">
      <c r="A86" s="3">
        <v>73</v>
      </c>
      <c r="B86" s="3" t="s">
        <v>127</v>
      </c>
      <c r="C86" s="27">
        <f>③回報計算FX調整!J88</f>
        <v>46847.636917725671</v>
      </c>
      <c r="D86" s="9"/>
      <c r="F86" s="3">
        <v>73</v>
      </c>
      <c r="G86" s="27">
        <f>SMALL(③回報計算FX調整!$J$16:$J$265,73)</f>
        <v>-15300.584750393693</v>
      </c>
      <c r="H86" s="9"/>
      <c r="I86" s="9"/>
    </row>
    <row r="87" spans="1:9" x14ac:dyDescent="0.25">
      <c r="A87" s="3">
        <v>74</v>
      </c>
      <c r="B87" s="3" t="s">
        <v>128</v>
      </c>
      <c r="C87" s="28">
        <f>③回報計算FX調整!J89</f>
        <v>-1342.470509001497</v>
      </c>
      <c r="D87" s="9"/>
      <c r="F87" s="3">
        <v>74</v>
      </c>
      <c r="G87" s="27">
        <f>SMALL(③回報計算FX調整!$J$16:$J$265,74)</f>
        <v>-14404.274732046153</v>
      </c>
      <c r="H87" s="9"/>
      <c r="I87" s="9"/>
    </row>
    <row r="88" spans="1:9" x14ac:dyDescent="0.25">
      <c r="A88" s="3">
        <v>75</v>
      </c>
      <c r="B88" s="3" t="s">
        <v>129</v>
      </c>
      <c r="C88" s="27">
        <f>③回報計算FX調整!J90</f>
        <v>37337.468979943136</v>
      </c>
      <c r="D88" s="9"/>
      <c r="F88" s="3">
        <v>75</v>
      </c>
      <c r="G88" s="27">
        <f>SMALL(③回報計算FX調整!$J$16:$J$265,75)</f>
        <v>-14370.707658725623</v>
      </c>
      <c r="H88" s="9"/>
      <c r="I88" s="9"/>
    </row>
    <row r="89" spans="1:9" x14ac:dyDescent="0.25">
      <c r="A89" s="3">
        <v>76</v>
      </c>
      <c r="B89" s="3" t="s">
        <v>130</v>
      </c>
      <c r="C89" s="27">
        <f>③回報計算FX調整!J91</f>
        <v>23734.993130065573</v>
      </c>
      <c r="D89" s="9"/>
      <c r="F89" s="3">
        <v>76</v>
      </c>
      <c r="G89" s="27">
        <f>SMALL(③回報計算FX調整!$J$16:$J$265,76)</f>
        <v>-14186.797020111329</v>
      </c>
      <c r="H89" s="9"/>
      <c r="I89" s="9"/>
    </row>
    <row r="90" spans="1:9" x14ac:dyDescent="0.25">
      <c r="A90" s="3">
        <v>77</v>
      </c>
      <c r="B90" s="3" t="s">
        <v>131</v>
      </c>
      <c r="C90" s="27">
        <f>③回報計算FX調整!J92</f>
        <v>14618.265947619397</v>
      </c>
      <c r="D90" s="9"/>
      <c r="F90" s="3">
        <v>77</v>
      </c>
      <c r="G90" s="27">
        <f>SMALL(③回報計算FX調整!$J$16:$J$265,77)</f>
        <v>-14054.708791306175</v>
      </c>
      <c r="H90" s="9"/>
      <c r="I90" s="9"/>
    </row>
    <row r="91" spans="1:9" x14ac:dyDescent="0.25">
      <c r="A91" s="3">
        <v>78</v>
      </c>
      <c r="B91" s="3" t="s">
        <v>132</v>
      </c>
      <c r="C91" s="27">
        <f>③回報計算FX調整!J93</f>
        <v>2820.6377210588348</v>
      </c>
      <c r="D91" s="9"/>
      <c r="F91" s="3">
        <v>78</v>
      </c>
      <c r="G91" s="27">
        <f>SMALL(③回報計算FX調整!$J$16:$J$265,78)</f>
        <v>-13938.3695886314</v>
      </c>
      <c r="H91" s="9"/>
      <c r="I91" s="9"/>
    </row>
    <row r="92" spans="1:9" x14ac:dyDescent="0.25">
      <c r="A92" s="3">
        <v>79</v>
      </c>
      <c r="B92" s="3" t="s">
        <v>133</v>
      </c>
      <c r="C92" s="28">
        <f>③回報計算FX調整!J94</f>
        <v>-461.55826332278167</v>
      </c>
      <c r="D92" s="9"/>
      <c r="F92" s="3">
        <v>79</v>
      </c>
      <c r="G92" s="27">
        <f>SMALL(③回報計算FX調整!$J$16:$J$265,79)</f>
        <v>-13674.284535250907</v>
      </c>
      <c r="H92" s="9"/>
      <c r="I92" s="9"/>
    </row>
    <row r="93" spans="1:9" x14ac:dyDescent="0.25">
      <c r="A93" s="3">
        <v>80</v>
      </c>
      <c r="B93" s="3" t="s">
        <v>134</v>
      </c>
      <c r="C93" s="28">
        <f>③回報計算FX調整!J95</f>
        <v>-30438.681474323865</v>
      </c>
      <c r="D93" s="9"/>
      <c r="F93" s="3">
        <v>80</v>
      </c>
      <c r="G93" s="27">
        <f>SMALL(③回報計算FX調整!$J$16:$J$265,80)</f>
        <v>-13634.490232790135</v>
      </c>
      <c r="H93" s="9"/>
      <c r="I93" s="9"/>
    </row>
    <row r="94" spans="1:9" x14ac:dyDescent="0.25">
      <c r="A94" s="3">
        <v>81</v>
      </c>
      <c r="B94" s="3" t="s">
        <v>135</v>
      </c>
      <c r="C94" s="28">
        <f>③回報計算FX調整!J96</f>
        <v>-24525.310801446492</v>
      </c>
      <c r="D94" s="9"/>
      <c r="F94" s="3">
        <v>81</v>
      </c>
      <c r="G94" s="27">
        <f>SMALL(③回報計算FX調整!$J$16:$J$265,81)</f>
        <v>-13149.80947044586</v>
      </c>
      <c r="H94" s="9"/>
      <c r="I94" s="9"/>
    </row>
    <row r="95" spans="1:9" x14ac:dyDescent="0.25">
      <c r="A95" s="3">
        <v>82</v>
      </c>
      <c r="B95" s="3" t="s">
        <v>136</v>
      </c>
      <c r="C95" s="27">
        <f>③回報計算FX調整!J97</f>
        <v>61424.7584210606</v>
      </c>
      <c r="D95" s="9"/>
      <c r="F95" s="3">
        <v>82</v>
      </c>
      <c r="G95" s="27">
        <f>SMALL(③回報計算FX調整!$J$16:$J$265,82)</f>
        <v>-12526.185286682268</v>
      </c>
      <c r="H95" s="9"/>
      <c r="I95" s="9"/>
    </row>
    <row r="96" spans="1:9" x14ac:dyDescent="0.25">
      <c r="A96" s="3">
        <v>83</v>
      </c>
      <c r="B96" s="3" t="s">
        <v>137</v>
      </c>
      <c r="C96" s="27">
        <f>③回報計算FX調整!J98</f>
        <v>4082.1096012258681</v>
      </c>
      <c r="D96" s="9"/>
      <c r="F96" s="3">
        <v>83</v>
      </c>
      <c r="G96" s="27">
        <f>SMALL(③回報計算FX調整!$J$16:$J$265,83)</f>
        <v>-11873.51863010431</v>
      </c>
      <c r="H96" s="9"/>
      <c r="I96" s="9"/>
    </row>
    <row r="97" spans="1:9" x14ac:dyDescent="0.25">
      <c r="A97" s="3">
        <v>84</v>
      </c>
      <c r="B97" s="3" t="s">
        <v>138</v>
      </c>
      <c r="C97" s="28">
        <f>③回報計算FX調整!J99</f>
        <v>-31477.6478579457</v>
      </c>
      <c r="D97" s="9"/>
      <c r="F97" s="3">
        <v>84</v>
      </c>
      <c r="G97" s="27">
        <f>SMALL(③回報計算FX調整!$J$16:$J$265,84)</f>
        <v>-11756.545186691539</v>
      </c>
      <c r="H97" s="9"/>
      <c r="I97" s="9"/>
    </row>
    <row r="98" spans="1:9" x14ac:dyDescent="0.25">
      <c r="A98" s="3">
        <v>85</v>
      </c>
      <c r="B98" s="3" t="s">
        <v>139</v>
      </c>
      <c r="C98" s="28">
        <f>③回報計算FX調整!J100</f>
        <v>-5759.7236268839015</v>
      </c>
      <c r="D98" s="9"/>
      <c r="F98" s="3">
        <v>85</v>
      </c>
      <c r="G98" s="27">
        <f>SMALL(③回報計算FX調整!$J$16:$J$265,85)</f>
        <v>-11649.094296735968</v>
      </c>
      <c r="H98" s="9"/>
      <c r="I98" s="9"/>
    </row>
    <row r="99" spans="1:9" x14ac:dyDescent="0.25">
      <c r="A99" s="3">
        <v>86</v>
      </c>
      <c r="B99" s="3" t="s">
        <v>140</v>
      </c>
      <c r="C99" s="27">
        <f>③回報計算FX調整!J101</f>
        <v>65294.736135659266</v>
      </c>
      <c r="D99" s="9"/>
      <c r="F99" s="3">
        <v>86</v>
      </c>
      <c r="G99" s="27">
        <f>SMALL(③回報計算FX調整!$J$16:$J$265,86)</f>
        <v>-11424.759595319467</v>
      </c>
      <c r="H99" s="9"/>
      <c r="I99" s="9"/>
    </row>
    <row r="100" spans="1:9" x14ac:dyDescent="0.25">
      <c r="A100" s="3">
        <v>87</v>
      </c>
      <c r="B100" s="3" t="s">
        <v>141</v>
      </c>
      <c r="C100" s="28">
        <f>③回報計算FX調整!J102</f>
        <v>-11091.480173762871</v>
      </c>
      <c r="D100" s="9"/>
      <c r="F100" s="3">
        <v>87</v>
      </c>
      <c r="G100" s="27">
        <f>SMALL(③回報計算FX調整!$J$16:$J$265,87)</f>
        <v>-11091.480173762871</v>
      </c>
      <c r="H100" s="9"/>
      <c r="I100" s="9"/>
    </row>
    <row r="101" spans="1:9" x14ac:dyDescent="0.25">
      <c r="A101" s="3">
        <v>88</v>
      </c>
      <c r="B101" s="3" t="s">
        <v>142</v>
      </c>
      <c r="C101" s="27">
        <f>③回報計算FX調整!J103</f>
        <v>4896.1637376791577</v>
      </c>
      <c r="D101" s="9"/>
      <c r="F101" s="3">
        <v>88</v>
      </c>
      <c r="G101" s="27">
        <f>SMALL(③回報計算FX調整!$J$16:$J$265,88)</f>
        <v>-10836.924254411118</v>
      </c>
      <c r="H101" s="9"/>
      <c r="I101" s="9"/>
    </row>
    <row r="102" spans="1:9" x14ac:dyDescent="0.25">
      <c r="A102" s="3">
        <v>89</v>
      </c>
      <c r="B102" s="3" t="s">
        <v>143</v>
      </c>
      <c r="C102" s="27">
        <f>③回報計算FX調整!J104</f>
        <v>9909.6996527709543</v>
      </c>
      <c r="D102" s="9"/>
      <c r="F102" s="3">
        <v>89</v>
      </c>
      <c r="G102" s="27">
        <f>SMALL(③回報計算FX調整!$J$16:$J$265,89)</f>
        <v>-10768.555535801506</v>
      </c>
      <c r="H102" s="9"/>
      <c r="I102" s="9"/>
    </row>
    <row r="103" spans="1:9" x14ac:dyDescent="0.25">
      <c r="A103" s="3">
        <v>90</v>
      </c>
      <c r="B103" s="3" t="s">
        <v>144</v>
      </c>
      <c r="C103" s="28">
        <f>③回報計算FX調整!J105</f>
        <v>-6410.7903199125658</v>
      </c>
      <c r="D103" s="9"/>
      <c r="F103" s="3">
        <v>90</v>
      </c>
      <c r="G103" s="27">
        <f>SMALL(③回報計算FX調整!$J$16:$J$265,90)</f>
        <v>-10205.614398670285</v>
      </c>
      <c r="H103" s="9"/>
      <c r="I103" s="9"/>
    </row>
    <row r="104" spans="1:9" x14ac:dyDescent="0.25">
      <c r="A104" s="3">
        <v>91</v>
      </c>
      <c r="B104" s="3" t="s">
        <v>145</v>
      </c>
      <c r="C104" s="27">
        <f>③回報計算FX調整!J106</f>
        <v>1646.8769501243876</v>
      </c>
      <c r="D104" s="9"/>
      <c r="F104" s="3">
        <v>91</v>
      </c>
      <c r="G104" s="27">
        <f>SMALL(③回報計算FX調整!$J$16:$J$265,91)</f>
        <v>-9530.5524074956047</v>
      </c>
      <c r="H104" s="9"/>
      <c r="I104" s="9"/>
    </row>
    <row r="105" spans="1:9" x14ac:dyDescent="0.25">
      <c r="A105" s="3">
        <v>92</v>
      </c>
      <c r="B105" s="3" t="s">
        <v>146</v>
      </c>
      <c r="C105" s="27">
        <f>③回報計算FX調整!J107</f>
        <v>27736.210991343338</v>
      </c>
      <c r="D105" s="9"/>
      <c r="F105" s="3">
        <v>92</v>
      </c>
      <c r="G105" s="27">
        <f>SMALL(③回報計算FX調整!$J$16:$J$265,92)</f>
        <v>-8767.4568812257276</v>
      </c>
      <c r="H105" s="9"/>
      <c r="I105" s="9"/>
    </row>
    <row r="106" spans="1:9" x14ac:dyDescent="0.25">
      <c r="A106" s="3">
        <v>93</v>
      </c>
      <c r="B106" s="3" t="s">
        <v>147</v>
      </c>
      <c r="C106" s="27">
        <f>③回報計算FX調整!J108</f>
        <v>19932.363044969348</v>
      </c>
      <c r="D106" s="9"/>
      <c r="F106" s="3">
        <v>93</v>
      </c>
      <c r="G106" s="27">
        <f>SMALL(③回報計算FX調整!$J$16:$J$265,93)</f>
        <v>-7085.6243068396943</v>
      </c>
      <c r="H106" s="9"/>
      <c r="I106" s="9"/>
    </row>
    <row r="107" spans="1:9" x14ac:dyDescent="0.25">
      <c r="A107" s="3">
        <v>94</v>
      </c>
      <c r="B107" s="3" t="s">
        <v>148</v>
      </c>
      <c r="C107" s="27">
        <f>③回報計算FX調整!J109</f>
        <v>72826.166147315496</v>
      </c>
      <c r="D107" s="9"/>
      <c r="F107" s="3">
        <v>94</v>
      </c>
      <c r="G107" s="27">
        <f>SMALL(③回報計算FX調整!$J$16:$J$265,94)</f>
        <v>-6410.7903199125658</v>
      </c>
      <c r="H107" s="9"/>
      <c r="I107" s="9"/>
    </row>
    <row r="108" spans="1:9" x14ac:dyDescent="0.25">
      <c r="A108" s="3">
        <v>95</v>
      </c>
      <c r="B108" s="3" t="s">
        <v>149</v>
      </c>
      <c r="C108" s="27">
        <f>③回報計算FX調整!J110</f>
        <v>57440.868891362799</v>
      </c>
      <c r="D108" s="9"/>
      <c r="F108" s="3">
        <v>95</v>
      </c>
      <c r="G108" s="27">
        <f>SMALL(③回報計算FX調整!$J$16:$J$265,95)</f>
        <v>-6004.9209785046132</v>
      </c>
      <c r="H108" s="9"/>
      <c r="I108" s="9"/>
    </row>
    <row r="109" spans="1:9" x14ac:dyDescent="0.25">
      <c r="A109" s="3">
        <v>96</v>
      </c>
      <c r="B109" s="3" t="s">
        <v>150</v>
      </c>
      <c r="C109" s="28">
        <f>③回報計算FX調整!J111</f>
        <v>-31853.750812315717</v>
      </c>
      <c r="D109" s="9"/>
      <c r="F109" s="3">
        <v>96</v>
      </c>
      <c r="G109" s="27">
        <f>SMALL(③回報計算FX調整!$J$16:$J$265,96)</f>
        <v>-5976.6659593305203</v>
      </c>
      <c r="H109" s="9"/>
      <c r="I109" s="9"/>
    </row>
    <row r="110" spans="1:9" x14ac:dyDescent="0.25">
      <c r="A110" s="3">
        <v>97</v>
      </c>
      <c r="B110" s="3" t="s">
        <v>151</v>
      </c>
      <c r="C110" s="27">
        <f>③回報計算FX調整!J112</f>
        <v>18683.829756169642</v>
      </c>
      <c r="D110" s="9"/>
      <c r="F110" s="3">
        <v>97</v>
      </c>
      <c r="G110" s="27">
        <f>SMALL(③回報計算FX調整!$J$16:$J$265,97)</f>
        <v>-5926.634914005861</v>
      </c>
      <c r="H110" s="9"/>
      <c r="I110" s="9"/>
    </row>
    <row r="111" spans="1:9" x14ac:dyDescent="0.25">
      <c r="A111" s="3">
        <v>98</v>
      </c>
      <c r="B111" s="3" t="s">
        <v>152</v>
      </c>
      <c r="C111" s="28">
        <f>③回報計算FX調整!J113</f>
        <v>-9530.5524074956047</v>
      </c>
      <c r="D111" s="9"/>
      <c r="F111" s="3">
        <v>98</v>
      </c>
      <c r="G111" s="27">
        <f>SMALL(③回報計算FX調整!$J$16:$J$265,98)</f>
        <v>-5759.7236268839015</v>
      </c>
      <c r="H111" s="9"/>
      <c r="I111" s="9"/>
    </row>
    <row r="112" spans="1:9" x14ac:dyDescent="0.25">
      <c r="A112" s="3">
        <v>99</v>
      </c>
      <c r="B112" s="3" t="s">
        <v>153</v>
      </c>
      <c r="C112" s="27">
        <f>③回報計算FX調整!J114</f>
        <v>23929.352196330921</v>
      </c>
      <c r="D112" s="9"/>
      <c r="F112" s="3">
        <v>99</v>
      </c>
      <c r="G112" s="27">
        <f>SMALL(③回報計算FX調整!$J$16:$J$265,99)</f>
        <v>-4735.1012610412945</v>
      </c>
      <c r="H112" s="9"/>
      <c r="I112" s="9"/>
    </row>
    <row r="113" spans="1:9" x14ac:dyDescent="0.25">
      <c r="A113" s="3">
        <v>100</v>
      </c>
      <c r="B113" s="3" t="s">
        <v>154</v>
      </c>
      <c r="C113" s="27">
        <f>③回報計算FX調整!J115</f>
        <v>5242.264535297606</v>
      </c>
      <c r="D113" s="9"/>
      <c r="F113" s="3">
        <v>100</v>
      </c>
      <c r="G113" s="27">
        <f>SMALL(③回報計算FX調整!$J$16:$J$265,100)</f>
        <v>-4535.6815485422221</v>
      </c>
      <c r="H113" s="9"/>
      <c r="I113" s="9"/>
    </row>
    <row r="114" spans="1:9" x14ac:dyDescent="0.25">
      <c r="A114" s="3">
        <v>101</v>
      </c>
      <c r="B114" s="3" t="s">
        <v>155</v>
      </c>
      <c r="C114" s="27">
        <f>③回報計算FX調整!J116</f>
        <v>44384.617990235412</v>
      </c>
      <c r="D114" s="9"/>
      <c r="F114" s="3">
        <v>101</v>
      </c>
      <c r="G114" s="27">
        <f>SMALL(③回報計算FX調整!$J$16:$J$265,101)</f>
        <v>-4423.9136397843695</v>
      </c>
      <c r="H114" s="9"/>
      <c r="I114" s="9"/>
    </row>
    <row r="115" spans="1:9" x14ac:dyDescent="0.25">
      <c r="A115" s="3">
        <v>102</v>
      </c>
      <c r="B115" s="3" t="s">
        <v>156</v>
      </c>
      <c r="C115" s="27">
        <f>③回報計算FX調整!J117</f>
        <v>21208.08952733516</v>
      </c>
      <c r="D115" s="9"/>
      <c r="F115" s="3">
        <v>102</v>
      </c>
      <c r="G115" s="27">
        <f>SMALL(③回報計算FX調整!$J$16:$J$265,102)</f>
        <v>-4037.3486898464798</v>
      </c>
      <c r="H115" s="9"/>
      <c r="I115" s="9"/>
    </row>
    <row r="116" spans="1:9" x14ac:dyDescent="0.25">
      <c r="A116" s="3">
        <v>103</v>
      </c>
      <c r="B116" s="3" t="s">
        <v>157</v>
      </c>
      <c r="C116" s="28">
        <f>③回報計算FX調整!J118</f>
        <v>-15402.291921062009</v>
      </c>
      <c r="D116" s="9"/>
      <c r="F116" s="3">
        <v>103</v>
      </c>
      <c r="G116" s="27">
        <f>SMALL(③回報計算FX調整!$J$16:$J$265,103)</f>
        <v>-3631.5466042757598</v>
      </c>
      <c r="H116" s="9"/>
      <c r="I116" s="9"/>
    </row>
    <row r="117" spans="1:9" x14ac:dyDescent="0.25">
      <c r="A117" s="3">
        <v>104</v>
      </c>
      <c r="B117" s="3" t="s">
        <v>158</v>
      </c>
      <c r="C117" s="27">
        <f>③回報計算FX調整!J119</f>
        <v>3138.4231133081116</v>
      </c>
      <c r="D117" s="9"/>
      <c r="F117" s="3">
        <v>104</v>
      </c>
      <c r="G117" s="27">
        <f>SMALL(③回報計算FX調整!$J$16:$J$265,104)</f>
        <v>-3388.2118145391742</v>
      </c>
      <c r="H117" s="9"/>
      <c r="I117" s="9"/>
    </row>
    <row r="118" spans="1:9" x14ac:dyDescent="0.25">
      <c r="A118" s="3">
        <v>105</v>
      </c>
      <c r="B118" s="3" t="s">
        <v>159</v>
      </c>
      <c r="C118" s="27">
        <f>③回報計算FX調整!J120</f>
        <v>5167.6942059969469</v>
      </c>
      <c r="D118" s="9"/>
      <c r="F118" s="3">
        <v>105</v>
      </c>
      <c r="G118" s="27">
        <f>SMALL(③回報計算FX調整!$J$16:$J$265,105)</f>
        <v>-3357.268108656569</v>
      </c>
      <c r="H118" s="9"/>
      <c r="I118" s="9"/>
    </row>
    <row r="119" spans="1:9" x14ac:dyDescent="0.25">
      <c r="A119" s="3">
        <v>106</v>
      </c>
      <c r="B119" s="3" t="s">
        <v>160</v>
      </c>
      <c r="C119" s="28">
        <f>③回報計算FX調整!J121</f>
        <v>-1195.6783300117058</v>
      </c>
      <c r="D119" s="9"/>
      <c r="F119" s="3">
        <v>106</v>
      </c>
      <c r="G119" s="27">
        <f>SMALL(③回報計算FX調整!$J$16:$J$265,106)</f>
        <v>-2393.7963373983885</v>
      </c>
      <c r="H119" s="9"/>
      <c r="I119" s="9"/>
    </row>
    <row r="120" spans="1:9" x14ac:dyDescent="0.25">
      <c r="A120" s="3">
        <v>107</v>
      </c>
      <c r="B120" s="3" t="s">
        <v>161</v>
      </c>
      <c r="C120" s="28">
        <f>③回報計算FX調整!J122</f>
        <v>-21144.334466706045</v>
      </c>
      <c r="D120" s="9"/>
      <c r="F120" s="3">
        <v>107</v>
      </c>
      <c r="G120" s="27">
        <f>SMALL(③回報計算FX調整!$J$16:$J$265,107)</f>
        <v>-2052.6680511295117</v>
      </c>
      <c r="H120" s="9"/>
      <c r="I120" s="9"/>
    </row>
    <row r="121" spans="1:9" x14ac:dyDescent="0.25">
      <c r="A121" s="3">
        <v>108</v>
      </c>
      <c r="B121" s="3" t="s">
        <v>162</v>
      </c>
      <c r="C121" s="27">
        <f>③回報計算FX調整!J123</f>
        <v>28572.15358378589</v>
      </c>
      <c r="D121" s="9"/>
      <c r="F121" s="3">
        <v>108</v>
      </c>
      <c r="G121" s="27">
        <f>SMALL(③回報計算FX調整!$J$16:$J$265,108)</f>
        <v>-1700.6602064147462</v>
      </c>
      <c r="H121" s="9"/>
      <c r="I121" s="9"/>
    </row>
    <row r="122" spans="1:9" x14ac:dyDescent="0.25">
      <c r="A122" s="3">
        <v>109</v>
      </c>
      <c r="B122" s="3" t="s">
        <v>163</v>
      </c>
      <c r="C122" s="28">
        <f>③回報計算FX調整!J124</f>
        <v>-1700.6602064147462</v>
      </c>
      <c r="D122" s="9"/>
      <c r="F122" s="3">
        <v>109</v>
      </c>
      <c r="G122" s="27">
        <f>SMALL(③回報計算FX調整!$J$16:$J$265,109)</f>
        <v>-1342.470509001497</v>
      </c>
      <c r="H122" s="9"/>
      <c r="I122" s="9"/>
    </row>
    <row r="123" spans="1:9" x14ac:dyDescent="0.25">
      <c r="A123" s="3">
        <v>110</v>
      </c>
      <c r="B123" s="3" t="s">
        <v>164</v>
      </c>
      <c r="C123" s="27">
        <f>③回報計算FX調整!J125</f>
        <v>43373.019859041386</v>
      </c>
      <c r="D123" s="9"/>
      <c r="F123" s="3">
        <v>110</v>
      </c>
      <c r="G123" s="27">
        <f>SMALL(③回報計算FX調整!$J$16:$J$265,110)</f>
        <v>-1195.6783300117058</v>
      </c>
      <c r="H123" s="9"/>
      <c r="I123" s="9"/>
    </row>
    <row r="124" spans="1:9" x14ac:dyDescent="0.25">
      <c r="A124" s="3">
        <v>111</v>
      </c>
      <c r="B124" s="3" t="s">
        <v>165</v>
      </c>
      <c r="C124" s="28">
        <f>③回報計算FX調整!J126</f>
        <v>-45899.325340848009</v>
      </c>
      <c r="D124" s="9"/>
      <c r="F124" s="3">
        <v>111</v>
      </c>
      <c r="G124" s="27">
        <f>SMALL(③回報計算FX調整!$J$16:$J$265,111)</f>
        <v>-559.11641863844818</v>
      </c>
      <c r="H124" s="9"/>
      <c r="I124" s="9"/>
    </row>
    <row r="125" spans="1:9" x14ac:dyDescent="0.25">
      <c r="A125" s="3">
        <v>112</v>
      </c>
      <c r="B125" s="3" t="s">
        <v>166</v>
      </c>
      <c r="C125" s="28">
        <f>③回報計算FX調整!J127</f>
        <v>-14186.797020111329</v>
      </c>
      <c r="D125" s="9"/>
      <c r="F125" s="3">
        <v>112</v>
      </c>
      <c r="G125" s="27">
        <f>SMALL(③回報計算FX調整!$J$16:$J$265,112)</f>
        <v>-461.55826332278167</v>
      </c>
      <c r="H125" s="9"/>
      <c r="I125" s="9"/>
    </row>
    <row r="126" spans="1:9" x14ac:dyDescent="0.25">
      <c r="A126" s="3">
        <v>113</v>
      </c>
      <c r="B126" s="3" t="s">
        <v>167</v>
      </c>
      <c r="C126" s="28">
        <f>③回報計算FX調整!J128</f>
        <v>-11649.094296735968</v>
      </c>
      <c r="D126" s="9"/>
      <c r="F126" s="3">
        <v>113</v>
      </c>
      <c r="G126" s="27">
        <f>SMALL(③回報計算FX調整!$J$16:$J$265,113)</f>
        <v>68.077352608082677</v>
      </c>
      <c r="H126" s="9"/>
      <c r="I126" s="9"/>
    </row>
    <row r="127" spans="1:9" x14ac:dyDescent="0.25">
      <c r="A127" s="3">
        <v>114</v>
      </c>
      <c r="B127" s="3" t="s">
        <v>168</v>
      </c>
      <c r="C127" s="28">
        <f>③回報計算FX調整!J129</f>
        <v>-23647.88293362792</v>
      </c>
      <c r="D127" s="9"/>
      <c r="F127" s="3">
        <v>114</v>
      </c>
      <c r="G127" s="27">
        <f>SMALL(③回報計算FX調整!$J$16:$J$265,114)</f>
        <v>749.93557986234896</v>
      </c>
      <c r="H127" s="9"/>
      <c r="I127" s="9"/>
    </row>
    <row r="128" spans="1:9" x14ac:dyDescent="0.25">
      <c r="A128" s="3">
        <v>115</v>
      </c>
      <c r="B128" s="3" t="s">
        <v>169</v>
      </c>
      <c r="C128" s="28">
        <f>③回報計算FX調整!J130</f>
        <v>-23657.733284456473</v>
      </c>
      <c r="D128" s="9"/>
      <c r="F128" s="3">
        <v>115</v>
      </c>
      <c r="G128" s="27">
        <f>SMALL(③回報計算FX調整!$J$16:$J$265,115)</f>
        <v>770.77784919432963</v>
      </c>
      <c r="H128" s="9"/>
      <c r="I128" s="9"/>
    </row>
    <row r="129" spans="1:9" x14ac:dyDescent="0.25">
      <c r="A129" s="3">
        <v>116</v>
      </c>
      <c r="B129" s="3" t="s">
        <v>170</v>
      </c>
      <c r="C129" s="27">
        <f>③回報計算FX調整!J131</f>
        <v>46084.059640394313</v>
      </c>
      <c r="D129" s="9"/>
      <c r="F129" s="3">
        <v>116</v>
      </c>
      <c r="G129" s="27">
        <f>SMALL(③回報計算FX調整!$J$16:$J$265,116)</f>
        <v>1076.9423738269622</v>
      </c>
      <c r="H129" s="9"/>
      <c r="I129" s="9"/>
    </row>
    <row r="130" spans="1:9" x14ac:dyDescent="0.25">
      <c r="A130" s="3">
        <v>117</v>
      </c>
      <c r="B130" s="3" t="s">
        <v>171</v>
      </c>
      <c r="C130" s="27">
        <f>③回報計算FX調整!J132</f>
        <v>10654.137202635686</v>
      </c>
      <c r="D130" s="9"/>
      <c r="F130" s="3">
        <v>117</v>
      </c>
      <c r="G130" s="27">
        <f>SMALL(③回報計算FX調整!$J$16:$J$265,117)</f>
        <v>1285.315576536849</v>
      </c>
      <c r="H130" s="9"/>
      <c r="I130" s="9"/>
    </row>
    <row r="131" spans="1:9" x14ac:dyDescent="0.25">
      <c r="A131" s="3">
        <v>118</v>
      </c>
      <c r="B131" s="3" t="s">
        <v>172</v>
      </c>
      <c r="C131" s="28">
        <f>③回報計算FX調整!J133</f>
        <v>-18389.093498407616</v>
      </c>
      <c r="D131" s="9"/>
      <c r="F131" s="3">
        <v>118</v>
      </c>
      <c r="G131" s="27">
        <f>SMALL(③回報計算FX調整!$J$16:$J$265,118)</f>
        <v>1536.5489061865637</v>
      </c>
      <c r="H131" s="9"/>
      <c r="I131" s="9"/>
    </row>
    <row r="132" spans="1:9" x14ac:dyDescent="0.25">
      <c r="A132" s="3">
        <v>119</v>
      </c>
      <c r="B132" s="3" t="s">
        <v>173</v>
      </c>
      <c r="C132" s="28">
        <f>③回報計算FX調整!J134</f>
        <v>-24594.126834524937</v>
      </c>
      <c r="D132" s="9"/>
      <c r="F132" s="3">
        <v>119</v>
      </c>
      <c r="G132" s="27">
        <f>SMALL(③回報計算FX調整!$J$16:$J$265,119)</f>
        <v>1621.6427959019454</v>
      </c>
      <c r="H132" s="9"/>
      <c r="I132" s="9"/>
    </row>
    <row r="133" spans="1:9" x14ac:dyDescent="0.25">
      <c r="A133" s="3">
        <v>120</v>
      </c>
      <c r="B133" s="3" t="s">
        <v>174</v>
      </c>
      <c r="C133" s="28">
        <f>③回報計算FX調整!J135</f>
        <v>-29946.06627230809</v>
      </c>
      <c r="D133" s="9"/>
      <c r="F133" s="3">
        <v>120</v>
      </c>
      <c r="G133" s="27">
        <f>SMALL(③回報計算FX調整!$J$16:$J$265,120)</f>
        <v>1646.8769501243876</v>
      </c>
      <c r="H133" s="9"/>
      <c r="I133" s="9"/>
    </row>
    <row r="134" spans="1:9" x14ac:dyDescent="0.25">
      <c r="A134" s="3">
        <v>121</v>
      </c>
      <c r="B134" s="3" t="s">
        <v>175</v>
      </c>
      <c r="C134" s="28">
        <f>③回報計算FX調整!J136</f>
        <v>-17059.944039430717</v>
      </c>
      <c r="D134" s="9"/>
      <c r="F134" s="3">
        <v>121</v>
      </c>
      <c r="G134" s="27">
        <f>SMALL(③回報計算FX調整!$J$16:$J$265,121)</f>
        <v>2313.0910239882173</v>
      </c>
      <c r="H134" s="9"/>
      <c r="I134" s="9"/>
    </row>
    <row r="135" spans="1:9" x14ac:dyDescent="0.25">
      <c r="A135" s="3">
        <v>122</v>
      </c>
      <c r="B135" s="3" t="s">
        <v>176</v>
      </c>
      <c r="C135" s="28">
        <f>③回報計算FX調整!J137</f>
        <v>-3631.5466042757598</v>
      </c>
      <c r="D135" s="9"/>
      <c r="F135" s="3">
        <v>122</v>
      </c>
      <c r="G135" s="27">
        <f>SMALL(③回報計算FX調整!$J$16:$J$265,122)</f>
        <v>2600.7665927763524</v>
      </c>
      <c r="H135" s="9"/>
      <c r="I135" s="9"/>
    </row>
    <row r="136" spans="1:9" x14ac:dyDescent="0.25">
      <c r="A136" s="3">
        <v>123</v>
      </c>
      <c r="B136" s="3" t="s">
        <v>177</v>
      </c>
      <c r="C136" s="27">
        <f>③回報計算FX調整!J138</f>
        <v>27833.393777686149</v>
      </c>
      <c r="D136" s="9"/>
      <c r="F136" s="3">
        <v>123</v>
      </c>
      <c r="G136" s="27">
        <f>SMALL(③回報計算FX調整!$J$16:$J$265,123)</f>
        <v>2676.4803203067709</v>
      </c>
      <c r="H136" s="9"/>
      <c r="I136" s="9"/>
    </row>
    <row r="137" spans="1:9" x14ac:dyDescent="0.25">
      <c r="A137" s="3">
        <v>124</v>
      </c>
      <c r="B137" s="3" t="s">
        <v>178</v>
      </c>
      <c r="C137" s="28">
        <f>③回報計算FX調整!J139</f>
        <v>-79153.236099101705</v>
      </c>
      <c r="D137" s="9"/>
      <c r="F137" s="3">
        <v>124</v>
      </c>
      <c r="G137" s="27">
        <f>SMALL(③回報計算FX調整!$J$16:$J$265,124)</f>
        <v>2820.6377210588348</v>
      </c>
      <c r="H137" s="9"/>
      <c r="I137" s="9"/>
    </row>
    <row r="138" spans="1:9" x14ac:dyDescent="0.25">
      <c r="A138" s="3">
        <v>125</v>
      </c>
      <c r="B138" s="3" t="s">
        <v>179</v>
      </c>
      <c r="C138" s="27">
        <f>③回報計算FX調整!J140</f>
        <v>749.93557986234896</v>
      </c>
      <c r="D138" s="9"/>
      <c r="F138" s="3">
        <v>125</v>
      </c>
      <c r="G138" s="27">
        <f>SMALL(③回報計算FX調整!$J$16:$J$265,125)</f>
        <v>2876.9918462572082</v>
      </c>
      <c r="H138" s="9"/>
      <c r="I138" s="9"/>
    </row>
    <row r="139" spans="1:9" x14ac:dyDescent="0.25">
      <c r="A139" s="3">
        <v>126</v>
      </c>
      <c r="B139" s="3" t="s">
        <v>180</v>
      </c>
      <c r="C139" s="28">
        <f>③回報計算FX調整!J141</f>
        <v>-2393.7963373983885</v>
      </c>
      <c r="D139" s="9"/>
      <c r="F139" s="3">
        <v>126</v>
      </c>
      <c r="G139" s="27">
        <f>SMALL(③回報計算FX調整!$J$16:$J$265,126)</f>
        <v>2905.973162795156</v>
      </c>
      <c r="H139" s="9"/>
      <c r="I139" s="9"/>
    </row>
    <row r="140" spans="1:9" x14ac:dyDescent="0.25">
      <c r="A140" s="3">
        <v>127</v>
      </c>
      <c r="B140" s="3" t="s">
        <v>181</v>
      </c>
      <c r="C140" s="28">
        <f>③回報計算FX調整!J142</f>
        <v>-27914.822374321953</v>
      </c>
      <c r="D140" s="9"/>
      <c r="F140" s="3">
        <v>127</v>
      </c>
      <c r="G140" s="27">
        <f>SMALL(③回報計算FX調整!$J$16:$J$265,127)</f>
        <v>2957.5384769400293</v>
      </c>
      <c r="H140" s="9"/>
      <c r="I140" s="9"/>
    </row>
    <row r="141" spans="1:9" x14ac:dyDescent="0.25">
      <c r="A141" s="3">
        <v>128</v>
      </c>
      <c r="B141" s="3" t="s">
        <v>182</v>
      </c>
      <c r="C141" s="27">
        <f>③回報計算FX調整!J143</f>
        <v>29997.10211594588</v>
      </c>
      <c r="D141" s="9"/>
      <c r="F141" s="3">
        <v>128</v>
      </c>
      <c r="G141" s="27">
        <f>SMALL(③回報計算FX調整!$J$16:$J$265,128)</f>
        <v>3138.4231133081116</v>
      </c>
      <c r="H141" s="9"/>
      <c r="I141" s="9"/>
    </row>
    <row r="142" spans="1:9" x14ac:dyDescent="0.25">
      <c r="A142" s="3">
        <v>129</v>
      </c>
      <c r="B142" s="3" t="s">
        <v>183</v>
      </c>
      <c r="C142" s="27">
        <f>③回報計算FX調整!J144</f>
        <v>44711.554131064564</v>
      </c>
      <c r="D142" s="9"/>
      <c r="F142" s="3">
        <v>129</v>
      </c>
      <c r="G142" s="27">
        <f>SMALL(③回報計算FX調整!$J$16:$J$265,129)</f>
        <v>3296.8598210370901</v>
      </c>
      <c r="H142" s="9"/>
      <c r="I142" s="9"/>
    </row>
    <row r="143" spans="1:9" x14ac:dyDescent="0.25">
      <c r="A143" s="3">
        <v>130</v>
      </c>
      <c r="B143" s="3" t="s">
        <v>184</v>
      </c>
      <c r="C143" s="27">
        <f>③回報計算FX調整!J145</f>
        <v>71689.883197702307</v>
      </c>
      <c r="D143" s="9"/>
      <c r="F143" s="3">
        <v>130</v>
      </c>
      <c r="G143" s="27">
        <f>SMALL(③回報計算FX調整!$J$16:$J$265,130)</f>
        <v>3494.4093347217149</v>
      </c>
      <c r="H143" s="9"/>
      <c r="I143" s="9"/>
    </row>
    <row r="144" spans="1:9" x14ac:dyDescent="0.25">
      <c r="A144" s="3">
        <v>131</v>
      </c>
      <c r="B144" s="3" t="s">
        <v>185</v>
      </c>
      <c r="C144" s="27">
        <f>③回報計算FX調整!J146</f>
        <v>7587.7109326803711</v>
      </c>
      <c r="D144" s="9"/>
      <c r="F144" s="3">
        <v>131</v>
      </c>
      <c r="G144" s="27">
        <f>SMALL(③回報計算FX調整!$J$16:$J$265,131)</f>
        <v>4082.1096012258681</v>
      </c>
      <c r="H144" s="9"/>
      <c r="I144" s="9"/>
    </row>
    <row r="145" spans="1:9" x14ac:dyDescent="0.25">
      <c r="A145" s="3">
        <v>132</v>
      </c>
      <c r="B145" s="3" t="s">
        <v>186</v>
      </c>
      <c r="C145" s="28">
        <f>③回報計算FX調整!J147</f>
        <v>-33046.359253377166</v>
      </c>
      <c r="D145" s="9"/>
      <c r="F145" s="3">
        <v>132</v>
      </c>
      <c r="G145" s="27">
        <f>SMALL(③回報計算FX調整!$J$16:$J$265,132)</f>
        <v>4206.6691661931554</v>
      </c>
      <c r="H145" s="9"/>
      <c r="I145" s="9"/>
    </row>
    <row r="146" spans="1:9" x14ac:dyDescent="0.25">
      <c r="A146" s="3">
        <v>133</v>
      </c>
      <c r="B146" s="3" t="s">
        <v>187</v>
      </c>
      <c r="C146" s="27">
        <f>③回報計算FX調整!J148</f>
        <v>25273.036748666567</v>
      </c>
      <c r="D146" s="9"/>
      <c r="F146" s="3">
        <v>133</v>
      </c>
      <c r="G146" s="27">
        <f>SMALL(③回報計算FX調整!$J$16:$J$265,133)</f>
        <v>4304.6534895999048</v>
      </c>
      <c r="H146" s="9"/>
      <c r="I146" s="9"/>
    </row>
    <row r="147" spans="1:9" x14ac:dyDescent="0.25">
      <c r="A147" s="3">
        <v>134</v>
      </c>
      <c r="B147" s="3" t="s">
        <v>188</v>
      </c>
      <c r="C147" s="27">
        <f>③回報計算FX調整!J149</f>
        <v>17396.42471384097</v>
      </c>
      <c r="D147" s="9"/>
      <c r="F147" s="3">
        <v>134</v>
      </c>
      <c r="G147" s="27">
        <f>SMALL(③回報計算FX調整!$J$16:$J$265,134)</f>
        <v>4896.1637376791577</v>
      </c>
      <c r="H147" s="9"/>
      <c r="I147" s="9"/>
    </row>
    <row r="148" spans="1:9" x14ac:dyDescent="0.25">
      <c r="A148" s="3">
        <v>135</v>
      </c>
      <c r="B148" s="3" t="s">
        <v>189</v>
      </c>
      <c r="C148" s="27">
        <f>③回報計算FX調整!J150</f>
        <v>4304.6534895999048</v>
      </c>
      <c r="D148" s="9"/>
      <c r="F148" s="3">
        <v>135</v>
      </c>
      <c r="G148" s="27">
        <f>SMALL(③回報計算FX調整!$J$16:$J$265,135)</f>
        <v>5167.6942059969469</v>
      </c>
      <c r="H148" s="9"/>
      <c r="I148" s="9"/>
    </row>
    <row r="149" spans="1:9" x14ac:dyDescent="0.25">
      <c r="A149" s="3">
        <v>136</v>
      </c>
      <c r="B149" s="3" t="s">
        <v>190</v>
      </c>
      <c r="C149" s="27">
        <f>③回報計算FX調整!J151</f>
        <v>31197.487230332776</v>
      </c>
      <c r="D149" s="9"/>
      <c r="F149" s="3">
        <v>136</v>
      </c>
      <c r="G149" s="27">
        <f>SMALL(③回報計算FX調整!$J$16:$J$265,136)</f>
        <v>5242.264535297606</v>
      </c>
      <c r="H149" s="9"/>
      <c r="I149" s="9"/>
    </row>
    <row r="150" spans="1:9" x14ac:dyDescent="0.25">
      <c r="A150" s="3">
        <v>137</v>
      </c>
      <c r="B150" s="3" t="s">
        <v>191</v>
      </c>
      <c r="C150" s="27">
        <f>③回報計算FX調整!J152</f>
        <v>22235.418913653873</v>
      </c>
      <c r="D150" s="9"/>
      <c r="F150" s="3">
        <v>137</v>
      </c>
      <c r="G150" s="27">
        <f>SMALL(③回報計算FX調整!$J$16:$J$265,137)</f>
        <v>5570.5800404606698</v>
      </c>
      <c r="H150" s="9"/>
      <c r="I150" s="9"/>
    </row>
    <row r="151" spans="1:9" x14ac:dyDescent="0.25">
      <c r="A151" s="3">
        <v>138</v>
      </c>
      <c r="B151" s="3" t="s">
        <v>192</v>
      </c>
      <c r="C151" s="27">
        <f>③回報計算FX調整!J153</f>
        <v>58505.82601628112</v>
      </c>
      <c r="D151" s="9"/>
      <c r="F151" s="3">
        <v>138</v>
      </c>
      <c r="G151" s="27">
        <f>SMALL(③回報計算FX調整!$J$16:$J$265,138)</f>
        <v>6132.3442170287035</v>
      </c>
      <c r="H151" s="9"/>
      <c r="I151" s="9"/>
    </row>
    <row r="152" spans="1:9" x14ac:dyDescent="0.25">
      <c r="A152" s="3">
        <v>139</v>
      </c>
      <c r="B152" s="3" t="s">
        <v>193</v>
      </c>
      <c r="C152" s="27">
        <f>③回報計算FX調整!J154</f>
        <v>1285.315576536849</v>
      </c>
      <c r="D152" s="9"/>
      <c r="F152" s="3">
        <v>139</v>
      </c>
      <c r="G152" s="27">
        <f>SMALL(③回報計算FX調整!$J$16:$J$265,139)</f>
        <v>6598.6020385782185</v>
      </c>
      <c r="H152" s="9"/>
      <c r="I152" s="9"/>
    </row>
    <row r="153" spans="1:9" x14ac:dyDescent="0.25">
      <c r="A153" s="3">
        <v>140</v>
      </c>
      <c r="B153" s="3" t="s">
        <v>194</v>
      </c>
      <c r="C153" s="27">
        <f>③回報計算FX調整!J155</f>
        <v>12131.451315703793</v>
      </c>
      <c r="D153" s="9"/>
      <c r="F153" s="3">
        <v>140</v>
      </c>
      <c r="G153" s="27">
        <f>SMALL(③回報計算FX調整!$J$16:$J$265,140)</f>
        <v>6833.3262947220937</v>
      </c>
      <c r="H153" s="9"/>
      <c r="I153" s="9"/>
    </row>
    <row r="154" spans="1:9" x14ac:dyDescent="0.25">
      <c r="A154" s="3">
        <v>141</v>
      </c>
      <c r="B154" s="3" t="s">
        <v>195</v>
      </c>
      <c r="C154" s="28">
        <f>③回報計算FX調整!J156</f>
        <v>-15728.721408426856</v>
      </c>
      <c r="D154" s="9"/>
      <c r="F154" s="3">
        <v>141</v>
      </c>
      <c r="G154" s="27">
        <f>SMALL(③回報計算FX調整!$J$16:$J$265,141)</f>
        <v>7098.4724803547315</v>
      </c>
      <c r="H154" s="9"/>
      <c r="I154" s="9"/>
    </row>
    <row r="155" spans="1:9" x14ac:dyDescent="0.25">
      <c r="A155" s="3">
        <v>142</v>
      </c>
      <c r="B155" s="3" t="s">
        <v>196</v>
      </c>
      <c r="C155" s="27">
        <f>③回報計算FX調整!J157</f>
        <v>12879.216790246943</v>
      </c>
      <c r="D155" s="9"/>
      <c r="F155" s="3">
        <v>142</v>
      </c>
      <c r="G155" s="27">
        <f>SMALL(③回報計算FX調整!$J$16:$J$265,142)</f>
        <v>7587.7109326803711</v>
      </c>
      <c r="H155" s="9"/>
      <c r="I155" s="9"/>
    </row>
    <row r="156" spans="1:9" x14ac:dyDescent="0.25">
      <c r="A156" s="3">
        <v>143</v>
      </c>
      <c r="B156" s="3" t="s">
        <v>197</v>
      </c>
      <c r="C156" s="27">
        <f>③回報計算FX調整!J158</f>
        <v>51914.935300557037</v>
      </c>
      <c r="D156" s="9"/>
      <c r="F156" s="3">
        <v>143</v>
      </c>
      <c r="G156" s="27">
        <f>SMALL(③回報計算FX調整!$J$16:$J$265,143)</f>
        <v>7940.8824966480597</v>
      </c>
      <c r="H156" s="9"/>
      <c r="I156" s="9"/>
    </row>
    <row r="157" spans="1:9" x14ac:dyDescent="0.25">
      <c r="A157" s="3">
        <v>144</v>
      </c>
      <c r="B157" s="3" t="s">
        <v>198</v>
      </c>
      <c r="C157" s="28">
        <f>③回報計算FX調整!J159</f>
        <v>-37048.16753026376</v>
      </c>
      <c r="D157" s="9"/>
      <c r="F157" s="3">
        <v>144</v>
      </c>
      <c r="G157" s="27">
        <f>SMALL(③回報計算FX調整!$J$16:$J$265,144)</f>
        <v>8343.5125952161197</v>
      </c>
      <c r="H157" s="9"/>
      <c r="I157" s="9"/>
    </row>
    <row r="158" spans="1:9" x14ac:dyDescent="0.25">
      <c r="A158" s="3">
        <v>145</v>
      </c>
      <c r="B158" s="3" t="s">
        <v>199</v>
      </c>
      <c r="C158" s="28">
        <f>③回報計算FX調整!J160</f>
        <v>-31111.097303158662</v>
      </c>
      <c r="D158" s="9"/>
      <c r="F158" s="3">
        <v>145</v>
      </c>
      <c r="G158" s="27">
        <f>SMALL(③回報計算FX調整!$J$16:$J$265,145)</f>
        <v>8397.5951890837587</v>
      </c>
      <c r="H158" s="9"/>
      <c r="I158" s="9"/>
    </row>
    <row r="159" spans="1:9" x14ac:dyDescent="0.25">
      <c r="A159" s="3">
        <v>146</v>
      </c>
      <c r="B159" s="3" t="s">
        <v>200</v>
      </c>
      <c r="C159" s="28">
        <f>③回報計算FX調整!J161</f>
        <v>-4423.9136397843695</v>
      </c>
      <c r="D159" s="9"/>
      <c r="F159" s="3">
        <v>146</v>
      </c>
      <c r="G159" s="27">
        <f>SMALL(③回報計算FX調整!$J$16:$J$265,146)</f>
        <v>8578.0987501127147</v>
      </c>
      <c r="H159" s="9"/>
      <c r="I159" s="9"/>
    </row>
    <row r="160" spans="1:9" x14ac:dyDescent="0.25">
      <c r="A160" s="3">
        <v>147</v>
      </c>
      <c r="B160" s="3" t="s">
        <v>201</v>
      </c>
      <c r="C160" s="27">
        <f>③回報計算FX調整!J162</f>
        <v>18614.325017245697</v>
      </c>
      <c r="D160" s="9"/>
      <c r="F160" s="3">
        <v>147</v>
      </c>
      <c r="G160" s="27">
        <f>SMALL(③回報計算FX調整!$J$16:$J$265,147)</f>
        <v>8619.9761012159452</v>
      </c>
      <c r="H160" s="9"/>
      <c r="I160" s="9"/>
    </row>
    <row r="161" spans="1:9" x14ac:dyDescent="0.25">
      <c r="A161" s="3">
        <v>148</v>
      </c>
      <c r="B161" s="3" t="s">
        <v>202</v>
      </c>
      <c r="C161" s="27">
        <f>③回報計算FX調整!J163</f>
        <v>31316.655530537213</v>
      </c>
      <c r="D161" s="9"/>
      <c r="F161" s="3">
        <v>148</v>
      </c>
      <c r="G161" s="27">
        <f>SMALL(③回報計算FX調整!$J$16:$J$265,148)</f>
        <v>9366.5918514639943</v>
      </c>
      <c r="H161" s="9"/>
      <c r="I161" s="9"/>
    </row>
    <row r="162" spans="1:9" x14ac:dyDescent="0.25">
      <c r="A162" s="3">
        <v>149</v>
      </c>
      <c r="B162" s="3" t="s">
        <v>203</v>
      </c>
      <c r="C162" s="28">
        <f>③回報計算FX調整!J164</f>
        <v>-10768.555535801506</v>
      </c>
      <c r="D162" s="9"/>
      <c r="F162" s="3">
        <v>149</v>
      </c>
      <c r="G162" s="27">
        <f>SMALL(③回報計算FX調整!$J$16:$J$265,149)</f>
        <v>9504.5615148542129</v>
      </c>
      <c r="H162" s="9"/>
      <c r="I162" s="9"/>
    </row>
    <row r="163" spans="1:9" x14ac:dyDescent="0.25">
      <c r="A163" s="3">
        <v>150</v>
      </c>
      <c r="B163" s="3" t="s">
        <v>204</v>
      </c>
      <c r="C163" s="28">
        <f>③回報計算FX調整!J165</f>
        <v>-4535.6815485422221</v>
      </c>
      <c r="D163" s="9"/>
      <c r="F163" s="3">
        <v>150</v>
      </c>
      <c r="G163" s="27">
        <f>SMALL(③回報計算FX調整!$J$16:$J$265,150)</f>
        <v>9909.6996527709543</v>
      </c>
      <c r="H163" s="9"/>
      <c r="I163" s="9"/>
    </row>
    <row r="164" spans="1:9" x14ac:dyDescent="0.25">
      <c r="A164" s="3">
        <v>151</v>
      </c>
      <c r="B164" s="3" t="s">
        <v>205</v>
      </c>
      <c r="C164" s="27">
        <f>③回報計算FX調整!J166</f>
        <v>15183.567931895306</v>
      </c>
      <c r="D164" s="9"/>
      <c r="F164" s="3">
        <v>151</v>
      </c>
      <c r="G164" s="27">
        <f>SMALL(③回報計算FX調整!$J$16:$J$265,151)</f>
        <v>10014.010486249243</v>
      </c>
      <c r="H164" s="9"/>
      <c r="I164" s="9"/>
    </row>
    <row r="165" spans="1:9" x14ac:dyDescent="0.25">
      <c r="A165" s="3">
        <v>152</v>
      </c>
      <c r="B165" s="3" t="s">
        <v>206</v>
      </c>
      <c r="C165" s="27">
        <f>③回報計算FX調整!J167</f>
        <v>33991.669234410343</v>
      </c>
      <c r="D165" s="9"/>
      <c r="F165" s="3">
        <v>152</v>
      </c>
      <c r="G165" s="27">
        <f>SMALL(③回報計算FX調整!$J$16:$J$265,152)</f>
        <v>10306.562738128603</v>
      </c>
      <c r="H165" s="9"/>
      <c r="I165" s="9"/>
    </row>
    <row r="166" spans="1:9" x14ac:dyDescent="0.25">
      <c r="A166" s="3">
        <v>153</v>
      </c>
      <c r="B166" s="3" t="s">
        <v>207</v>
      </c>
      <c r="C166" s="27">
        <f>③回報計算FX調整!J168</f>
        <v>46643.728769512258</v>
      </c>
      <c r="D166" s="9"/>
      <c r="F166" s="3">
        <v>153</v>
      </c>
      <c r="G166" s="27">
        <f>SMALL(③回報計算FX調整!$J$16:$J$265,153)</f>
        <v>10654.137202635686</v>
      </c>
      <c r="H166" s="9"/>
      <c r="I166" s="9"/>
    </row>
    <row r="167" spans="1:9" x14ac:dyDescent="0.25">
      <c r="A167" s="3">
        <v>154</v>
      </c>
      <c r="B167" s="3" t="s">
        <v>208</v>
      </c>
      <c r="C167" s="28">
        <f>③回報計算FX調整!J169</f>
        <v>-4735.1012610412945</v>
      </c>
      <c r="D167" s="9"/>
      <c r="F167" s="3">
        <v>154</v>
      </c>
      <c r="G167" s="27">
        <f>SMALL(③回報計算FX調整!$J$16:$J$265,154)</f>
        <v>11655.577447243233</v>
      </c>
      <c r="H167" s="9"/>
      <c r="I167" s="9"/>
    </row>
    <row r="168" spans="1:9" x14ac:dyDescent="0.25">
      <c r="A168" s="3">
        <v>155</v>
      </c>
      <c r="B168" s="3" t="s">
        <v>209</v>
      </c>
      <c r="C168" s="27">
        <f>③回報計算FX調整!J170</f>
        <v>6598.6020385782185</v>
      </c>
      <c r="D168" s="9"/>
      <c r="F168" s="3">
        <v>155</v>
      </c>
      <c r="G168" s="27">
        <f>SMALL(③回報計算FX調整!$J$16:$J$265,155)</f>
        <v>11837.447510653627</v>
      </c>
      <c r="H168" s="9"/>
      <c r="I168" s="9"/>
    </row>
    <row r="169" spans="1:9" x14ac:dyDescent="0.25">
      <c r="A169" s="3">
        <v>156</v>
      </c>
      <c r="B169" s="3" t="s">
        <v>210</v>
      </c>
      <c r="C169" s="27">
        <f>③回報計算FX調整!J171</f>
        <v>2676.4803203067709</v>
      </c>
      <c r="D169" s="9"/>
      <c r="F169" s="3">
        <v>156</v>
      </c>
      <c r="G169" s="27">
        <f>SMALL(③回報計算FX調整!$J$16:$J$265,156)</f>
        <v>11842.698913983262</v>
      </c>
      <c r="H169" s="9"/>
      <c r="I169" s="9"/>
    </row>
    <row r="170" spans="1:9" x14ac:dyDescent="0.25">
      <c r="A170" s="3">
        <v>157</v>
      </c>
      <c r="B170" s="3" t="s">
        <v>211</v>
      </c>
      <c r="C170" s="28">
        <f>③回報計算FX調整!J172</f>
        <v>-10205.614398670285</v>
      </c>
      <c r="D170" s="9"/>
      <c r="F170" s="3">
        <v>157</v>
      </c>
      <c r="G170" s="27">
        <f>SMALL(③回報計算FX調整!$J$16:$J$265,157)</f>
        <v>12131.451315703793</v>
      </c>
      <c r="H170" s="9"/>
      <c r="I170" s="9"/>
    </row>
    <row r="171" spans="1:9" x14ac:dyDescent="0.25">
      <c r="A171" s="3">
        <v>158</v>
      </c>
      <c r="B171" s="3" t="s">
        <v>212</v>
      </c>
      <c r="C171" s="28">
        <f>③回報計算FX調整!J173</f>
        <v>-51113.727503412018</v>
      </c>
      <c r="D171" s="9"/>
      <c r="F171" s="3">
        <v>158</v>
      </c>
      <c r="G171" s="27">
        <f>SMALL(③回報計算FX調整!$J$16:$J$265,158)</f>
        <v>12148.250505602013</v>
      </c>
      <c r="H171" s="9"/>
      <c r="I171" s="9"/>
    </row>
    <row r="172" spans="1:9" x14ac:dyDescent="0.25">
      <c r="A172" s="3">
        <v>159</v>
      </c>
      <c r="B172" s="3" t="s">
        <v>213</v>
      </c>
      <c r="C172" s="27">
        <f>③回報計算FX調整!J174</f>
        <v>16392.99134266912</v>
      </c>
      <c r="D172" s="9"/>
      <c r="F172" s="3">
        <v>159</v>
      </c>
      <c r="G172" s="27">
        <f>SMALL(③回報計算FX調整!$J$16:$J$265,159)</f>
        <v>12388.310510339199</v>
      </c>
      <c r="H172" s="9"/>
      <c r="I172" s="9"/>
    </row>
    <row r="173" spans="1:9" x14ac:dyDescent="0.25">
      <c r="A173" s="3">
        <v>160</v>
      </c>
      <c r="B173" s="3" t="s">
        <v>214</v>
      </c>
      <c r="C173" s="27">
        <f>③回報計算FX調整!J175</f>
        <v>37275.608773830354</v>
      </c>
      <c r="D173" s="9"/>
      <c r="F173" s="3">
        <v>160</v>
      </c>
      <c r="G173" s="27">
        <f>SMALL(③回報計算FX調整!$J$16:$J$265,160)</f>
        <v>12879.216790246943</v>
      </c>
      <c r="H173" s="9"/>
      <c r="I173" s="9"/>
    </row>
    <row r="174" spans="1:9" x14ac:dyDescent="0.25">
      <c r="A174" s="3">
        <v>161</v>
      </c>
      <c r="B174" s="3" t="s">
        <v>215</v>
      </c>
      <c r="C174" s="28">
        <f>③回報計算FX調整!J176</f>
        <v>-18192.251322486445</v>
      </c>
      <c r="D174" s="9"/>
      <c r="F174" s="3">
        <v>161</v>
      </c>
      <c r="G174" s="27">
        <f>SMALL(③回報計算FX調整!$J$16:$J$265,161)</f>
        <v>13440.304334389824</v>
      </c>
      <c r="H174" s="9"/>
      <c r="I174" s="9"/>
    </row>
    <row r="175" spans="1:9" x14ac:dyDescent="0.25">
      <c r="A175" s="3">
        <v>162</v>
      </c>
      <c r="B175" s="3" t="s">
        <v>216</v>
      </c>
      <c r="C175" s="27">
        <f>③回報計算FX調整!J177</f>
        <v>9504.5615148542129</v>
      </c>
      <c r="D175" s="9"/>
      <c r="F175" s="3">
        <v>162</v>
      </c>
      <c r="G175" s="27">
        <f>SMALL(③回報計算FX調整!$J$16:$J$265,162)</f>
        <v>14302.265603867956</v>
      </c>
      <c r="H175" s="9"/>
      <c r="I175" s="9"/>
    </row>
    <row r="176" spans="1:9" x14ac:dyDescent="0.25">
      <c r="A176" s="3">
        <v>163</v>
      </c>
      <c r="B176" s="3" t="s">
        <v>217</v>
      </c>
      <c r="C176" s="27">
        <f>③回報計算FX調整!J178</f>
        <v>60564.384541572013</v>
      </c>
      <c r="D176" s="9"/>
      <c r="F176" s="3">
        <v>163</v>
      </c>
      <c r="G176" s="27">
        <f>SMALL(③回報計算FX調整!$J$16:$J$265,163)</f>
        <v>14327.483200589817</v>
      </c>
      <c r="H176" s="9"/>
      <c r="I176" s="9"/>
    </row>
    <row r="177" spans="1:9" x14ac:dyDescent="0.25">
      <c r="A177" s="3">
        <v>164</v>
      </c>
      <c r="B177" s="3" t="s">
        <v>218</v>
      </c>
      <c r="C177" s="28">
        <f>③回報計算FX調整!J179</f>
        <v>-24781.707187107746</v>
      </c>
      <c r="D177" s="9"/>
      <c r="F177" s="3">
        <v>164</v>
      </c>
      <c r="G177" s="27">
        <f>SMALL(③回報計算FX調整!$J$16:$J$265,164)</f>
        <v>14618.265947619397</v>
      </c>
      <c r="H177" s="9"/>
      <c r="I177" s="9"/>
    </row>
    <row r="178" spans="1:9" x14ac:dyDescent="0.25">
      <c r="A178" s="3">
        <v>165</v>
      </c>
      <c r="B178" s="3" t="s">
        <v>219</v>
      </c>
      <c r="C178" s="28">
        <f>③回報計算FX調整!J180</f>
        <v>-11873.51863010431</v>
      </c>
      <c r="D178" s="9"/>
      <c r="F178" s="3">
        <v>165</v>
      </c>
      <c r="G178" s="27">
        <f>SMALL(③回報計算FX調整!$J$16:$J$265,165)</f>
        <v>15183.567931895306</v>
      </c>
      <c r="H178" s="9"/>
      <c r="I178" s="9"/>
    </row>
    <row r="179" spans="1:9" x14ac:dyDescent="0.25">
      <c r="A179" s="3">
        <v>166</v>
      </c>
      <c r="B179" s="3" t="s">
        <v>220</v>
      </c>
      <c r="C179" s="27">
        <f>③回報計算FX調整!J181</f>
        <v>22234.773074818771</v>
      </c>
      <c r="D179" s="9"/>
      <c r="F179" s="3">
        <v>166</v>
      </c>
      <c r="G179" s="27">
        <f>SMALL(③回報計算FX調整!$J$16:$J$265,166)</f>
        <v>16249.918967902911</v>
      </c>
      <c r="H179" s="9"/>
      <c r="I179" s="9"/>
    </row>
    <row r="180" spans="1:9" x14ac:dyDescent="0.25">
      <c r="A180" s="3">
        <v>167</v>
      </c>
      <c r="B180" s="3" t="s">
        <v>221</v>
      </c>
      <c r="C180" s="27">
        <f>③回報計算FX調整!J182</f>
        <v>46825.611017164512</v>
      </c>
      <c r="D180" s="9"/>
      <c r="F180" s="3">
        <v>167</v>
      </c>
      <c r="G180" s="27">
        <f>SMALL(③回報計算FX調整!$J$16:$J$265,167)</f>
        <v>16392.99134266912</v>
      </c>
      <c r="H180" s="9"/>
      <c r="I180" s="9"/>
    </row>
    <row r="181" spans="1:9" x14ac:dyDescent="0.25">
      <c r="A181" s="3">
        <v>168</v>
      </c>
      <c r="B181" s="3" t="s">
        <v>222</v>
      </c>
      <c r="C181" s="27">
        <f>③回報計算FX調整!J183</f>
        <v>16249.918967902911</v>
      </c>
      <c r="D181" s="9"/>
      <c r="F181" s="3">
        <v>168</v>
      </c>
      <c r="G181" s="27">
        <f>SMALL(③回報計算FX調整!$J$16:$J$265,168)</f>
        <v>17225.317102389516</v>
      </c>
      <c r="H181" s="9"/>
      <c r="I181" s="9"/>
    </row>
    <row r="182" spans="1:9" x14ac:dyDescent="0.25">
      <c r="A182" s="3">
        <v>169</v>
      </c>
      <c r="B182" s="3" t="s">
        <v>223</v>
      </c>
      <c r="C182" s="28">
        <f>③回報計算FX調整!J184</f>
        <v>-559.11641863844818</v>
      </c>
      <c r="D182" s="9"/>
      <c r="F182" s="3">
        <v>169</v>
      </c>
      <c r="G182" s="27">
        <f>SMALL(③回報計算FX調整!$J$16:$J$265,169)</f>
        <v>17396.42471384097</v>
      </c>
      <c r="H182" s="9"/>
      <c r="I182" s="9"/>
    </row>
    <row r="183" spans="1:9" x14ac:dyDescent="0.25">
      <c r="A183" s="3">
        <v>170</v>
      </c>
      <c r="B183" s="3" t="s">
        <v>224</v>
      </c>
      <c r="C183" s="27">
        <f>③回報計算FX調整!J185</f>
        <v>18470.774765658116</v>
      </c>
      <c r="D183" s="9"/>
      <c r="F183" s="3">
        <v>170</v>
      </c>
      <c r="G183" s="27">
        <f>SMALL(③回報計算FX調整!$J$16:$J$265,170)</f>
        <v>17579.321061373532</v>
      </c>
      <c r="H183" s="9"/>
      <c r="I183" s="9"/>
    </row>
    <row r="184" spans="1:9" x14ac:dyDescent="0.25">
      <c r="A184" s="3">
        <v>171</v>
      </c>
      <c r="B184" s="3" t="s">
        <v>225</v>
      </c>
      <c r="C184" s="28">
        <f>③回報計算FX調整!J186</f>
        <v>-17887.660136923863</v>
      </c>
      <c r="D184" s="9"/>
      <c r="F184" s="3">
        <v>171</v>
      </c>
      <c r="G184" s="27">
        <f>SMALL(③回報計算FX調整!$J$16:$J$265,171)</f>
        <v>17937.860924941328</v>
      </c>
      <c r="H184" s="9"/>
      <c r="I184" s="9"/>
    </row>
    <row r="185" spans="1:9" x14ac:dyDescent="0.25">
      <c r="A185" s="3">
        <v>172</v>
      </c>
      <c r="B185" s="3" t="s">
        <v>226</v>
      </c>
      <c r="C185" s="27">
        <f>③回報計算FX調整!J187</f>
        <v>12388.310510339199</v>
      </c>
      <c r="D185" s="9"/>
      <c r="F185" s="3">
        <v>172</v>
      </c>
      <c r="G185" s="27">
        <f>SMALL(③回報計算FX調整!$J$16:$J$265,172)</f>
        <v>18118.498032722411</v>
      </c>
      <c r="H185" s="9"/>
      <c r="I185" s="9"/>
    </row>
    <row r="186" spans="1:9" x14ac:dyDescent="0.25">
      <c r="A186" s="3">
        <v>173</v>
      </c>
      <c r="B186" s="3" t="s">
        <v>227</v>
      </c>
      <c r="C186" s="28">
        <f>③回報計算FX調整!J188</f>
        <v>-3357.268108656569</v>
      </c>
      <c r="D186" s="9"/>
      <c r="F186" s="3">
        <v>173</v>
      </c>
      <c r="G186" s="27">
        <f>SMALL(③回報計算FX調整!$J$16:$J$265,173)</f>
        <v>18470.774765658116</v>
      </c>
      <c r="H186" s="9"/>
      <c r="I186" s="9"/>
    </row>
    <row r="187" spans="1:9" x14ac:dyDescent="0.25">
      <c r="A187" s="3">
        <v>174</v>
      </c>
      <c r="B187" s="3" t="s">
        <v>228</v>
      </c>
      <c r="C187" s="27">
        <f>③回報計算FX調整!J189</f>
        <v>38823.962010580282</v>
      </c>
      <c r="D187" s="9"/>
      <c r="F187" s="3">
        <v>174</v>
      </c>
      <c r="G187" s="27">
        <f>SMALL(③回報計算FX調整!$J$16:$J$265,174)</f>
        <v>18614.325017245697</v>
      </c>
      <c r="H187" s="9"/>
      <c r="I187" s="9"/>
    </row>
    <row r="188" spans="1:9" x14ac:dyDescent="0.25">
      <c r="A188" s="3">
        <v>175</v>
      </c>
      <c r="B188" s="3" t="s">
        <v>229</v>
      </c>
      <c r="C188" s="27">
        <f>③回報計算FX調整!J190</f>
        <v>34461.727527207695</v>
      </c>
      <c r="D188" s="9"/>
      <c r="F188" s="3">
        <v>175</v>
      </c>
      <c r="G188" s="27">
        <f>SMALL(③回報計算FX調整!$J$16:$J$265,175)</f>
        <v>18683.829756169642</v>
      </c>
      <c r="H188" s="9"/>
      <c r="I188" s="9"/>
    </row>
    <row r="189" spans="1:9" x14ac:dyDescent="0.25">
      <c r="A189" s="3">
        <v>176</v>
      </c>
      <c r="B189" s="3" t="s">
        <v>230</v>
      </c>
      <c r="C189" s="27">
        <f>③回報計算FX調整!J191</f>
        <v>41171.836895952278</v>
      </c>
      <c r="D189" s="9"/>
      <c r="F189" s="3">
        <v>176</v>
      </c>
      <c r="G189" s="27">
        <f>SMALL(③回報計算FX調整!$J$16:$J$265,176)</f>
        <v>18962.23990220419</v>
      </c>
      <c r="H189" s="9"/>
      <c r="I189" s="9"/>
    </row>
    <row r="190" spans="1:9" x14ac:dyDescent="0.25">
      <c r="A190" s="3">
        <v>177</v>
      </c>
      <c r="B190" s="3" t="s">
        <v>231</v>
      </c>
      <c r="C190" s="28">
        <f>③回報計算FX調整!J192</f>
        <v>-34966.558823742758</v>
      </c>
      <c r="D190" s="9"/>
      <c r="F190" s="3">
        <v>177</v>
      </c>
      <c r="G190" s="27">
        <f>SMALL(③回報計算FX調整!$J$16:$J$265,177)</f>
        <v>19565.951577762131</v>
      </c>
      <c r="H190" s="9"/>
      <c r="I190" s="9"/>
    </row>
    <row r="191" spans="1:9" x14ac:dyDescent="0.25">
      <c r="A191" s="3">
        <v>178</v>
      </c>
      <c r="B191" s="3" t="s">
        <v>232</v>
      </c>
      <c r="C191" s="27">
        <f>③回報計算FX調整!J193</f>
        <v>11842.698913983262</v>
      </c>
      <c r="D191" s="9"/>
      <c r="F191" s="3">
        <v>178</v>
      </c>
      <c r="G191" s="27">
        <f>SMALL(③回報計算FX調整!$J$16:$J$265,178)</f>
        <v>19932.363044969348</v>
      </c>
      <c r="H191" s="9"/>
      <c r="I191" s="9"/>
    </row>
    <row r="192" spans="1:9" x14ac:dyDescent="0.25">
      <c r="A192" s="3">
        <v>179</v>
      </c>
      <c r="B192" s="3" t="s">
        <v>233</v>
      </c>
      <c r="C192" s="27">
        <f>③回報計算FX調整!J194</f>
        <v>8397.5951890837587</v>
      </c>
      <c r="D192" s="9"/>
      <c r="F192" s="3">
        <v>179</v>
      </c>
      <c r="G192" s="27">
        <f>SMALL(③回報計算FX調整!$J$16:$J$265,179)</f>
        <v>21208.08952733516</v>
      </c>
      <c r="H192" s="9"/>
      <c r="I192" s="9"/>
    </row>
    <row r="193" spans="1:9" x14ac:dyDescent="0.25">
      <c r="A193" s="3">
        <v>180</v>
      </c>
      <c r="B193" s="3" t="s">
        <v>234</v>
      </c>
      <c r="C193" s="27">
        <f>③回報計算FX調整!J195</f>
        <v>13440.304334389824</v>
      </c>
      <c r="D193" s="9"/>
      <c r="F193" s="3">
        <v>180</v>
      </c>
      <c r="G193" s="27">
        <f>SMALL(③回報計算FX調整!$J$16:$J$265,180)</f>
        <v>22234.773074818771</v>
      </c>
      <c r="H193" s="9"/>
      <c r="I193" s="9"/>
    </row>
    <row r="194" spans="1:9" x14ac:dyDescent="0.25">
      <c r="A194" s="3">
        <v>181</v>
      </c>
      <c r="B194" s="3" t="s">
        <v>235</v>
      </c>
      <c r="C194" s="28">
        <f>③回報計算FX調整!J196</f>
        <v>-52728.707526576778</v>
      </c>
      <c r="D194" s="9"/>
      <c r="F194" s="3">
        <v>181</v>
      </c>
      <c r="G194" s="27">
        <f>SMALL(③回報計算FX調整!$J$16:$J$265,181)</f>
        <v>22235.418913653873</v>
      </c>
      <c r="H194" s="9"/>
      <c r="I194" s="9"/>
    </row>
    <row r="195" spans="1:9" x14ac:dyDescent="0.25">
      <c r="A195" s="3">
        <v>182</v>
      </c>
      <c r="B195" s="3" t="s">
        <v>236</v>
      </c>
      <c r="C195" s="27">
        <f>③回報計算FX調整!J197</f>
        <v>30549.950188718238</v>
      </c>
      <c r="D195" s="9"/>
      <c r="F195" s="3">
        <v>182</v>
      </c>
      <c r="G195" s="27">
        <f>SMALL(③回報計算FX調整!$J$16:$J$265,182)</f>
        <v>22301.809593797694</v>
      </c>
      <c r="H195" s="9"/>
      <c r="I195" s="9"/>
    </row>
    <row r="196" spans="1:9" x14ac:dyDescent="0.25">
      <c r="A196" s="3">
        <v>183</v>
      </c>
      <c r="B196" s="3" t="s">
        <v>237</v>
      </c>
      <c r="C196" s="27">
        <f>③回報計算FX調整!J198</f>
        <v>7940.8824966480597</v>
      </c>
      <c r="D196" s="9"/>
      <c r="F196" s="3">
        <v>183</v>
      </c>
      <c r="G196" s="27">
        <f>SMALL(③回報計算FX調整!$J$16:$J$265,183)</f>
        <v>22827.425917485012</v>
      </c>
      <c r="H196" s="9"/>
      <c r="I196" s="9"/>
    </row>
    <row r="197" spans="1:9" x14ac:dyDescent="0.25">
      <c r="A197" s="3">
        <v>184</v>
      </c>
      <c r="B197" s="3" t="s">
        <v>238</v>
      </c>
      <c r="C197" s="27">
        <f>③回報計算FX調整!J199</f>
        <v>19565.951577762131</v>
      </c>
      <c r="D197" s="9"/>
      <c r="F197" s="3">
        <v>184</v>
      </c>
      <c r="G197" s="27">
        <f>SMALL(③回報計算FX調整!$J$16:$J$265,184)</f>
        <v>23348.432786209738</v>
      </c>
      <c r="H197" s="9"/>
      <c r="I197" s="9"/>
    </row>
    <row r="198" spans="1:9" x14ac:dyDescent="0.25">
      <c r="A198" s="3">
        <v>185</v>
      </c>
      <c r="B198" s="3" t="s">
        <v>239</v>
      </c>
      <c r="C198" s="27">
        <f>③回報計算FX調整!J200</f>
        <v>14302.265603867956</v>
      </c>
      <c r="D198" s="9"/>
      <c r="F198" s="3">
        <v>185</v>
      </c>
      <c r="G198" s="27">
        <f>SMALL(③回報計算FX調整!$J$16:$J$265,185)</f>
        <v>23349.468174439418</v>
      </c>
      <c r="H198" s="9"/>
      <c r="I198" s="9"/>
    </row>
    <row r="199" spans="1:9" x14ac:dyDescent="0.25">
      <c r="A199" s="3">
        <v>186</v>
      </c>
      <c r="B199" s="3" t="s">
        <v>240</v>
      </c>
      <c r="C199" s="27">
        <f>③回報計算FX調整!J201</f>
        <v>44789.549219019005</v>
      </c>
      <c r="D199" s="9"/>
      <c r="F199" s="3">
        <v>186</v>
      </c>
      <c r="G199" s="27">
        <f>SMALL(③回報計算FX調整!$J$16:$J$265,186)</f>
        <v>23734.993130065573</v>
      </c>
      <c r="H199" s="9"/>
      <c r="I199" s="9"/>
    </row>
    <row r="200" spans="1:9" x14ac:dyDescent="0.25">
      <c r="A200" s="3">
        <v>187</v>
      </c>
      <c r="B200" s="3" t="s">
        <v>241</v>
      </c>
      <c r="C200" s="27">
        <f>③回報計算FX調整!J202</f>
        <v>770.77784919432963</v>
      </c>
      <c r="D200" s="9"/>
      <c r="F200" s="3">
        <v>187</v>
      </c>
      <c r="G200" s="27">
        <f>SMALL(③回報計算FX調整!$J$16:$J$265,187)</f>
        <v>23929.352196330921</v>
      </c>
      <c r="H200" s="9"/>
      <c r="I200" s="9"/>
    </row>
    <row r="201" spans="1:9" x14ac:dyDescent="0.25">
      <c r="A201" s="3">
        <v>188</v>
      </c>
      <c r="B201" s="3" t="s">
        <v>242</v>
      </c>
      <c r="C201" s="27">
        <f>③回報計算FX調整!J203</f>
        <v>39280.565767338361</v>
      </c>
      <c r="D201" s="9"/>
      <c r="F201" s="3">
        <v>188</v>
      </c>
      <c r="G201" s="27">
        <f>SMALL(③回報計算FX調整!$J$16:$J$265,188)</f>
        <v>24057.99042054814</v>
      </c>
      <c r="H201" s="9"/>
      <c r="I201" s="9"/>
    </row>
    <row r="202" spans="1:9" x14ac:dyDescent="0.25">
      <c r="A202" s="3">
        <v>189</v>
      </c>
      <c r="B202" s="3" t="s">
        <v>243</v>
      </c>
      <c r="C202" s="27">
        <f>③回報計算FX調整!J204</f>
        <v>8343.5125952161197</v>
      </c>
      <c r="D202" s="9"/>
      <c r="F202" s="3">
        <v>189</v>
      </c>
      <c r="G202" s="27">
        <f>SMALL(③回報計算FX調整!$J$16:$J$265,189)</f>
        <v>24393.250972881349</v>
      </c>
      <c r="H202" s="9"/>
      <c r="I202" s="9"/>
    </row>
    <row r="203" spans="1:9" x14ac:dyDescent="0.25">
      <c r="A203" s="3">
        <v>190</v>
      </c>
      <c r="B203" s="3" t="s">
        <v>244</v>
      </c>
      <c r="C203" s="27">
        <f>③回報計算FX調整!J205</f>
        <v>18118.498032722411</v>
      </c>
      <c r="D203" s="9"/>
      <c r="F203" s="3">
        <v>190</v>
      </c>
      <c r="G203" s="27">
        <f>SMALL(③回報計算FX調整!$J$16:$J$265,190)</f>
        <v>25164.479470611743</v>
      </c>
      <c r="H203" s="9"/>
      <c r="I203" s="9"/>
    </row>
    <row r="204" spans="1:9" x14ac:dyDescent="0.25">
      <c r="A204" s="3">
        <v>191</v>
      </c>
      <c r="B204" s="3" t="s">
        <v>245</v>
      </c>
      <c r="C204" s="27">
        <f>③回報計算FX調整!J206</f>
        <v>17937.860924941328</v>
      </c>
      <c r="D204" s="9"/>
      <c r="F204" s="3">
        <v>191</v>
      </c>
      <c r="G204" s="27">
        <f>SMALL(③回報計算FX調整!$J$16:$J$265,191)</f>
        <v>25205.371905238491</v>
      </c>
      <c r="H204" s="9"/>
      <c r="I204" s="9"/>
    </row>
    <row r="205" spans="1:9" x14ac:dyDescent="0.25">
      <c r="A205" s="3">
        <v>192</v>
      </c>
      <c r="B205" s="3" t="s">
        <v>246</v>
      </c>
      <c r="C205" s="28">
        <f>③回報計算FX調整!J207</f>
        <v>-38514.415932369011</v>
      </c>
      <c r="D205" s="9"/>
      <c r="F205" s="3">
        <v>192</v>
      </c>
      <c r="G205" s="27">
        <f>SMALL(③回報計算FX調整!$J$16:$J$265,192)</f>
        <v>25273.036748666567</v>
      </c>
      <c r="H205" s="9"/>
      <c r="I205" s="9"/>
    </row>
    <row r="206" spans="1:9" x14ac:dyDescent="0.25">
      <c r="A206" s="3">
        <v>193</v>
      </c>
      <c r="B206" s="3" t="s">
        <v>247</v>
      </c>
      <c r="C206" s="27">
        <f>③回報計算FX調整!J208</f>
        <v>11837.447510653627</v>
      </c>
      <c r="D206" s="9"/>
      <c r="F206" s="3">
        <v>193</v>
      </c>
      <c r="G206" s="27">
        <f>SMALL(③回報計算FX調整!$J$16:$J$265,193)</f>
        <v>26511.012514638212</v>
      </c>
      <c r="H206" s="9"/>
      <c r="I206" s="9"/>
    </row>
    <row r="207" spans="1:9" x14ac:dyDescent="0.25">
      <c r="A207" s="3">
        <v>194</v>
      </c>
      <c r="B207" s="3" t="s">
        <v>248</v>
      </c>
      <c r="C207" s="28">
        <f>③回報計算FX調整!J209</f>
        <v>-16329.901701532115</v>
      </c>
      <c r="D207" s="9"/>
      <c r="F207" s="3">
        <v>194</v>
      </c>
      <c r="G207" s="27">
        <f>SMALL(③回報計算FX調整!$J$16:$J$265,194)</f>
        <v>27085.485907513499</v>
      </c>
      <c r="H207" s="9"/>
      <c r="I207" s="9"/>
    </row>
    <row r="208" spans="1:9" x14ac:dyDescent="0.25">
      <c r="A208" s="3">
        <v>195</v>
      </c>
      <c r="B208" s="3" t="s">
        <v>249</v>
      </c>
      <c r="C208" s="27">
        <f>③回報計算FX調整!J210</f>
        <v>32729.050786995678</v>
      </c>
      <c r="D208" s="9"/>
      <c r="F208" s="3">
        <v>195</v>
      </c>
      <c r="G208" s="27">
        <f>SMALL(③回報計算FX調整!$J$16:$J$265,195)</f>
        <v>27736.210991343338</v>
      </c>
      <c r="H208" s="9"/>
      <c r="I208" s="9"/>
    </row>
    <row r="209" spans="1:9" x14ac:dyDescent="0.25">
      <c r="A209" s="3">
        <v>196</v>
      </c>
      <c r="B209" s="3" t="s">
        <v>250</v>
      </c>
      <c r="C209" s="28">
        <f>③回報計算FX調整!J211</f>
        <v>-29951.709277512124</v>
      </c>
      <c r="D209" s="9"/>
      <c r="F209" s="3">
        <v>196</v>
      </c>
      <c r="G209" s="27">
        <f>SMALL(③回報計算FX調整!$J$16:$J$265,196)</f>
        <v>27756.067239999455</v>
      </c>
      <c r="H209" s="9"/>
      <c r="I209" s="9"/>
    </row>
    <row r="210" spans="1:9" x14ac:dyDescent="0.25">
      <c r="A210" s="3">
        <v>197</v>
      </c>
      <c r="B210" s="3" t="s">
        <v>251</v>
      </c>
      <c r="C210" s="27">
        <f>③回報計算FX調整!J212</f>
        <v>24393.250972881349</v>
      </c>
      <c r="D210" s="9"/>
      <c r="F210" s="3">
        <v>197</v>
      </c>
      <c r="G210" s="27">
        <f>SMALL(③回報計算FX調整!$J$16:$J$265,197)</f>
        <v>27833.393777686149</v>
      </c>
      <c r="H210" s="9"/>
      <c r="I210" s="9"/>
    </row>
    <row r="211" spans="1:9" x14ac:dyDescent="0.25">
      <c r="A211" s="3">
        <v>198</v>
      </c>
      <c r="B211" s="3" t="s">
        <v>252</v>
      </c>
      <c r="C211" s="27">
        <f>③回報計算FX調整!J213</f>
        <v>23349.468174439418</v>
      </c>
      <c r="D211" s="9"/>
      <c r="F211" s="3">
        <v>198</v>
      </c>
      <c r="G211" s="27">
        <f>SMALL(③回報計算FX調整!$J$16:$J$265,198)</f>
        <v>27862.302700236985</v>
      </c>
      <c r="H211" s="9"/>
      <c r="I211" s="9"/>
    </row>
    <row r="212" spans="1:9" x14ac:dyDescent="0.25">
      <c r="A212" s="3">
        <v>199</v>
      </c>
      <c r="B212" s="3" t="s">
        <v>253</v>
      </c>
      <c r="C212" s="28">
        <f>③回報計算FX調整!J214</f>
        <v>-29986.029208095013</v>
      </c>
      <c r="D212" s="9"/>
      <c r="F212" s="3">
        <v>199</v>
      </c>
      <c r="G212" s="27">
        <f>SMALL(③回報計算FX調整!$J$16:$J$265,199)</f>
        <v>28572.15358378589</v>
      </c>
      <c r="H212" s="9"/>
      <c r="I212" s="9"/>
    </row>
    <row r="213" spans="1:9" x14ac:dyDescent="0.25">
      <c r="A213" s="3">
        <v>200</v>
      </c>
      <c r="B213" s="3" t="s">
        <v>254</v>
      </c>
      <c r="C213" s="28">
        <f>③回報計算FX調整!J215</f>
        <v>-8767.4568812257276</v>
      </c>
      <c r="D213" s="9"/>
      <c r="F213" s="3">
        <v>200</v>
      </c>
      <c r="G213" s="27">
        <f>SMALL(③回報計算FX調整!$J$16:$J$265,200)</f>
        <v>28737.563739833367</v>
      </c>
      <c r="H213" s="9"/>
      <c r="I213" s="9"/>
    </row>
    <row r="214" spans="1:9" x14ac:dyDescent="0.25">
      <c r="A214" s="3">
        <v>201</v>
      </c>
      <c r="B214" s="3" t="s">
        <v>255</v>
      </c>
      <c r="C214" s="27">
        <f>③回報計算FX調整!J216</f>
        <v>39718.314857864301</v>
      </c>
      <c r="D214" s="9"/>
      <c r="F214" s="3">
        <v>201</v>
      </c>
      <c r="G214" s="27">
        <f>SMALL(③回報計算FX調整!$J$16:$J$265,201)</f>
        <v>28900.265570618769</v>
      </c>
      <c r="H214" s="9"/>
      <c r="I214" s="9"/>
    </row>
    <row r="215" spans="1:9" x14ac:dyDescent="0.25">
      <c r="A215" s="3">
        <v>202</v>
      </c>
      <c r="B215" s="3" t="s">
        <v>256</v>
      </c>
      <c r="C215" s="28">
        <f>③回報計算FX調整!J217</f>
        <v>-29024.63759600238</v>
      </c>
      <c r="D215" s="9"/>
      <c r="F215" s="3">
        <v>202</v>
      </c>
      <c r="G215" s="27">
        <f>SMALL(③回報計算FX調整!$J$16:$J$265,202)</f>
        <v>29528.6922234593</v>
      </c>
      <c r="H215" s="9"/>
      <c r="I215" s="9"/>
    </row>
    <row r="216" spans="1:9" x14ac:dyDescent="0.25">
      <c r="A216" s="3">
        <v>203</v>
      </c>
      <c r="B216" s="3" t="s">
        <v>257</v>
      </c>
      <c r="C216" s="27">
        <f>③回報計算FX調整!J218</f>
        <v>17579.321061373532</v>
      </c>
      <c r="D216" s="9"/>
      <c r="F216" s="3">
        <v>203</v>
      </c>
      <c r="G216" s="27">
        <f>SMALL(③回報計算FX調整!$J$16:$J$265,203)</f>
        <v>29997.10211594588</v>
      </c>
      <c r="H216" s="9"/>
      <c r="I216" s="9"/>
    </row>
    <row r="217" spans="1:9" x14ac:dyDescent="0.25">
      <c r="A217" s="3">
        <v>204</v>
      </c>
      <c r="B217" s="3" t="s">
        <v>258</v>
      </c>
      <c r="C217" s="27">
        <f>③回報計算FX調整!J219</f>
        <v>33173.610834733321</v>
      </c>
      <c r="D217" s="9"/>
      <c r="F217" s="3">
        <v>204</v>
      </c>
      <c r="G217" s="27">
        <f>SMALL(③回報計算FX調整!$J$16:$J$265,204)</f>
        <v>30549.950188718238</v>
      </c>
      <c r="H217" s="9"/>
      <c r="I217" s="9"/>
    </row>
    <row r="218" spans="1:9" x14ac:dyDescent="0.25">
      <c r="A218" s="3">
        <v>205</v>
      </c>
      <c r="B218" s="3" t="s">
        <v>259</v>
      </c>
      <c r="C218" s="28">
        <f>③回報計算FX調整!J220</f>
        <v>-18898.636378948693</v>
      </c>
      <c r="D218" s="9"/>
      <c r="F218" s="3">
        <v>205</v>
      </c>
      <c r="G218" s="27">
        <f>SMALL(③回報計算FX調整!$J$16:$J$265,205)</f>
        <v>31197.487230332776</v>
      </c>
      <c r="H218" s="9"/>
      <c r="I218" s="9"/>
    </row>
    <row r="219" spans="1:9" x14ac:dyDescent="0.25">
      <c r="A219" s="3">
        <v>206</v>
      </c>
      <c r="B219" s="3" t="s">
        <v>260</v>
      </c>
      <c r="C219" s="27">
        <f>③回報計算FX調整!J221</f>
        <v>10306.562738128603</v>
      </c>
      <c r="D219" s="9"/>
      <c r="F219" s="3">
        <v>206</v>
      </c>
      <c r="G219" s="27">
        <f>SMALL(③回報計算FX調整!$J$16:$J$265,206)</f>
        <v>31316.655530537213</v>
      </c>
      <c r="H219" s="9"/>
      <c r="I219" s="9"/>
    </row>
    <row r="220" spans="1:9" x14ac:dyDescent="0.25">
      <c r="A220" s="3">
        <v>207</v>
      </c>
      <c r="B220" s="3" t="s">
        <v>261</v>
      </c>
      <c r="C220" s="27">
        <f>③回報計算FX調整!J222</f>
        <v>81002.013418321018</v>
      </c>
      <c r="D220" s="9"/>
      <c r="F220" s="3">
        <v>207</v>
      </c>
      <c r="G220" s="27">
        <f>SMALL(③回報計算FX調整!$J$16:$J$265,207)</f>
        <v>31598.340428987838</v>
      </c>
      <c r="H220" s="9"/>
      <c r="I220" s="9"/>
    </row>
    <row r="221" spans="1:9" x14ac:dyDescent="0.25">
      <c r="A221" s="3">
        <v>208</v>
      </c>
      <c r="B221" s="3" t="s">
        <v>262</v>
      </c>
      <c r="C221" s="28">
        <f>③回報計算FX調整!J223</f>
        <v>-52018.438472527836</v>
      </c>
      <c r="D221" s="9"/>
      <c r="F221" s="3">
        <v>208</v>
      </c>
      <c r="G221" s="27">
        <f>SMALL(③回報計算FX調整!$J$16:$J$265,208)</f>
        <v>32409.438297864173</v>
      </c>
      <c r="H221" s="9"/>
      <c r="I221" s="9"/>
    </row>
    <row r="222" spans="1:9" x14ac:dyDescent="0.25">
      <c r="A222" s="3">
        <v>209</v>
      </c>
      <c r="B222" s="3" t="s">
        <v>263</v>
      </c>
      <c r="C222" s="27">
        <f>③回報計算FX調整!J224</f>
        <v>2313.0910239882173</v>
      </c>
      <c r="D222" s="9"/>
      <c r="F222" s="3">
        <v>209</v>
      </c>
      <c r="G222" s="27">
        <f>SMALL(③回報計算FX調整!$J$16:$J$265,209)</f>
        <v>32729.050786995678</v>
      </c>
      <c r="H222" s="9"/>
      <c r="I222" s="9"/>
    </row>
    <row r="223" spans="1:9" x14ac:dyDescent="0.25">
      <c r="A223" s="3">
        <v>210</v>
      </c>
      <c r="B223" s="3" t="s">
        <v>264</v>
      </c>
      <c r="C223" s="28">
        <f>③回報計算FX調整!J225</f>
        <v>-14054.708791306175</v>
      </c>
      <c r="D223" s="9"/>
      <c r="F223" s="3">
        <v>210</v>
      </c>
      <c r="G223" s="27">
        <f>SMALL(③回報計算FX調整!$J$16:$J$265,210)</f>
        <v>33173.610834733321</v>
      </c>
      <c r="H223" s="9"/>
      <c r="I223" s="9"/>
    </row>
    <row r="224" spans="1:9" x14ac:dyDescent="0.25">
      <c r="A224" s="3">
        <v>211</v>
      </c>
      <c r="B224" s="3" t="s">
        <v>265</v>
      </c>
      <c r="C224" s="28">
        <f>③回報計算FX調整!J226</f>
        <v>-27204.01444488368</v>
      </c>
      <c r="D224" s="9"/>
      <c r="F224" s="3">
        <v>211</v>
      </c>
      <c r="G224" s="27">
        <f>SMALL(③回報計算FX調整!$J$16:$J$265,211)</f>
        <v>33773.656266793296</v>
      </c>
      <c r="H224" s="9"/>
      <c r="I224" s="9"/>
    </row>
    <row r="225" spans="1:9" x14ac:dyDescent="0.25">
      <c r="A225" s="3">
        <v>212</v>
      </c>
      <c r="B225" s="3" t="s">
        <v>266</v>
      </c>
      <c r="C225" s="27">
        <f>③回報計算FX調整!J227</f>
        <v>26511.012514638212</v>
      </c>
      <c r="D225" s="9"/>
      <c r="F225" s="3">
        <v>212</v>
      </c>
      <c r="G225" s="27">
        <f>SMALL(③回報計算FX調整!$J$16:$J$265,212)</f>
        <v>33991.669234410343</v>
      </c>
      <c r="H225" s="9"/>
      <c r="I225" s="9"/>
    </row>
    <row r="226" spans="1:9" x14ac:dyDescent="0.25">
      <c r="A226" s="3">
        <v>213</v>
      </c>
      <c r="B226" s="3" t="s">
        <v>267</v>
      </c>
      <c r="C226" s="28">
        <f>③回報計算FX調整!J228</f>
        <v>-22593.183086799134</v>
      </c>
      <c r="D226" s="9"/>
      <c r="F226" s="3">
        <v>213</v>
      </c>
      <c r="G226" s="27">
        <f>SMALL(③回報計算FX調整!$J$16:$J$265,213)</f>
        <v>34109.622920201247</v>
      </c>
      <c r="H226" s="9"/>
      <c r="I226" s="9"/>
    </row>
    <row r="227" spans="1:9" x14ac:dyDescent="0.25">
      <c r="A227" s="3">
        <v>214</v>
      </c>
      <c r="B227" s="3" t="s">
        <v>268</v>
      </c>
      <c r="C227" s="27">
        <f>③回報計算FX調整!J229</f>
        <v>27085.485907513499</v>
      </c>
      <c r="D227" s="9"/>
      <c r="F227" s="3">
        <v>214</v>
      </c>
      <c r="G227" s="27">
        <f>SMALL(③回報計算FX調整!$J$16:$J$265,214)</f>
        <v>34461.727527207695</v>
      </c>
      <c r="H227" s="9"/>
      <c r="I227" s="9"/>
    </row>
    <row r="228" spans="1:9" x14ac:dyDescent="0.25">
      <c r="A228" s="3">
        <v>215</v>
      </c>
      <c r="B228" s="3" t="s">
        <v>269</v>
      </c>
      <c r="C228" s="27">
        <f>③回報計算FX調整!J230</f>
        <v>2876.9918462572082</v>
      </c>
      <c r="D228" s="9"/>
      <c r="F228" s="3">
        <v>215</v>
      </c>
      <c r="G228" s="27">
        <f>SMALL(③回報計算FX調整!$J$16:$J$265,215)</f>
        <v>34733.775254734282</v>
      </c>
      <c r="H228" s="9"/>
      <c r="I228" s="9"/>
    </row>
    <row r="229" spans="1:9" x14ac:dyDescent="0.25">
      <c r="A229" s="3">
        <v>216</v>
      </c>
      <c r="B229" s="3" t="s">
        <v>270</v>
      </c>
      <c r="C229" s="28">
        <f>③回報計算FX調整!J231</f>
        <v>-13938.3695886314</v>
      </c>
      <c r="D229" s="9"/>
      <c r="F229" s="3">
        <v>216</v>
      </c>
      <c r="G229" s="27">
        <f>SMALL(③回報計算FX調整!$J$16:$J$265,216)</f>
        <v>34946.893389150369</v>
      </c>
      <c r="H229" s="9"/>
      <c r="I229" s="9"/>
    </row>
    <row r="230" spans="1:9" x14ac:dyDescent="0.25">
      <c r="A230" s="3">
        <v>217</v>
      </c>
      <c r="B230" s="3" t="s">
        <v>271</v>
      </c>
      <c r="C230" s="28">
        <f>③回報計算FX調整!J232</f>
        <v>-5926.634914005861</v>
      </c>
      <c r="D230" s="9"/>
      <c r="F230" s="3">
        <v>217</v>
      </c>
      <c r="G230" s="27">
        <f>SMALL(③回報計算FX調整!$J$16:$J$265,217)</f>
        <v>37233.508997704725</v>
      </c>
      <c r="H230" s="9"/>
      <c r="I230" s="9"/>
    </row>
    <row r="231" spans="1:9" x14ac:dyDescent="0.25">
      <c r="A231" s="3">
        <v>218</v>
      </c>
      <c r="B231" s="3" t="s">
        <v>272</v>
      </c>
      <c r="C231" s="27">
        <f>③回報計算FX調整!J233</f>
        <v>9366.5918514639943</v>
      </c>
      <c r="D231" s="9"/>
      <c r="F231" s="3">
        <v>218</v>
      </c>
      <c r="G231" s="27">
        <f>SMALL(③回報計算FX調整!$J$16:$J$265,218)</f>
        <v>37275.608773830354</v>
      </c>
      <c r="H231" s="9"/>
      <c r="I231" s="9"/>
    </row>
    <row r="232" spans="1:9" x14ac:dyDescent="0.25">
      <c r="A232" s="3">
        <v>219</v>
      </c>
      <c r="B232" s="3" t="s">
        <v>273</v>
      </c>
      <c r="C232" s="27">
        <f>③回報計算FX調整!J234</f>
        <v>29528.6922234593</v>
      </c>
      <c r="D232" s="9"/>
      <c r="F232" s="3">
        <v>219</v>
      </c>
      <c r="G232" s="27">
        <f>SMALL(③回報計算FX調整!$J$16:$J$265,219)</f>
        <v>37337.468979943136</v>
      </c>
      <c r="H232" s="9"/>
      <c r="I232" s="9"/>
    </row>
    <row r="233" spans="1:9" x14ac:dyDescent="0.25">
      <c r="A233" s="3">
        <v>220</v>
      </c>
      <c r="B233" s="3" t="s">
        <v>274</v>
      </c>
      <c r="C233" s="27">
        <f>③回報計算FX調整!J235</f>
        <v>27756.067239999455</v>
      </c>
      <c r="D233" s="9"/>
      <c r="F233" s="3">
        <v>220</v>
      </c>
      <c r="G233" s="27">
        <f>SMALL(③回報計算FX調整!$J$16:$J$265,220)</f>
        <v>38823.962010580282</v>
      </c>
      <c r="H233" s="9"/>
      <c r="I233" s="9"/>
    </row>
    <row r="234" spans="1:9" x14ac:dyDescent="0.25">
      <c r="A234" s="3">
        <v>221</v>
      </c>
      <c r="B234" s="3" t="s">
        <v>275</v>
      </c>
      <c r="C234" s="27">
        <f>③回報計算FX調整!J236</f>
        <v>64301.24983367791</v>
      </c>
      <c r="D234" s="9"/>
      <c r="F234" s="3">
        <v>221</v>
      </c>
      <c r="G234" s="27">
        <f>SMALL(③回報計算FX調整!$J$16:$J$265,221)</f>
        <v>39020.205671221614</v>
      </c>
      <c r="H234" s="9"/>
      <c r="I234" s="9"/>
    </row>
    <row r="235" spans="1:9" x14ac:dyDescent="0.25">
      <c r="A235" s="3">
        <v>222</v>
      </c>
      <c r="B235" s="3" t="s">
        <v>276</v>
      </c>
      <c r="C235" s="27">
        <f>③回報計算FX調整!J237</f>
        <v>37233.508997704725</v>
      </c>
      <c r="D235" s="9"/>
      <c r="F235" s="3">
        <v>222</v>
      </c>
      <c r="G235" s="27">
        <f>SMALL(③回報計算FX調整!$J$16:$J$265,222)</f>
        <v>39280.565767338361</v>
      </c>
      <c r="H235" s="9"/>
      <c r="I235" s="9"/>
    </row>
    <row r="236" spans="1:9" x14ac:dyDescent="0.25">
      <c r="A236" s="3">
        <v>223</v>
      </c>
      <c r="B236" s="3" t="s">
        <v>277</v>
      </c>
      <c r="C236" s="28">
        <f>③回報計算FX調整!J238</f>
        <v>-22606.114451343667</v>
      </c>
      <c r="D236" s="9"/>
      <c r="F236" s="3">
        <v>223</v>
      </c>
      <c r="G236" s="27">
        <f>SMALL(③回報計算FX調整!$J$16:$J$265,223)</f>
        <v>39718.314857864301</v>
      </c>
      <c r="H236" s="9"/>
      <c r="I236" s="9"/>
    </row>
    <row r="237" spans="1:9" x14ac:dyDescent="0.25">
      <c r="A237" s="3">
        <v>224</v>
      </c>
      <c r="B237" s="3" t="s">
        <v>278</v>
      </c>
      <c r="C237" s="28">
        <f>③回報計算FX調整!J239</f>
        <v>-43967.452537341509</v>
      </c>
      <c r="D237" s="9"/>
      <c r="F237" s="3">
        <v>224</v>
      </c>
      <c r="G237" s="27">
        <f>SMALL(③回報計算FX調整!$J$16:$J$265,224)</f>
        <v>41171.836895952278</v>
      </c>
      <c r="H237" s="9"/>
      <c r="I237" s="9"/>
    </row>
    <row r="238" spans="1:9" x14ac:dyDescent="0.25">
      <c r="A238" s="3">
        <v>225</v>
      </c>
      <c r="B238" s="3" t="s">
        <v>279</v>
      </c>
      <c r="C238" s="28">
        <f>③回報計算FX調整!J240</f>
        <v>-30860.056510902999</v>
      </c>
      <c r="D238" s="9"/>
      <c r="F238" s="3">
        <v>225</v>
      </c>
      <c r="G238" s="27">
        <f>SMALL(③回報計算FX調整!$J$16:$J$265,225)</f>
        <v>43373.019859041386</v>
      </c>
      <c r="H238" s="9"/>
      <c r="I238" s="9"/>
    </row>
    <row r="239" spans="1:9" x14ac:dyDescent="0.25">
      <c r="A239" s="3">
        <v>226</v>
      </c>
      <c r="B239" s="3" t="s">
        <v>280</v>
      </c>
      <c r="C239" s="28">
        <f>③回報計算FX調整!J241</f>
        <v>-24740.662127076339</v>
      </c>
      <c r="D239" s="9"/>
      <c r="F239" s="3">
        <v>226</v>
      </c>
      <c r="G239" s="27">
        <f>SMALL(③回報計算FX調整!$J$16:$J$265,226)</f>
        <v>44384.617990235412</v>
      </c>
      <c r="H239" s="9"/>
      <c r="I239" s="9"/>
    </row>
    <row r="240" spans="1:9" x14ac:dyDescent="0.25">
      <c r="A240" s="3">
        <v>227</v>
      </c>
      <c r="B240" s="3" t="s">
        <v>281</v>
      </c>
      <c r="C240" s="28">
        <f>③回報計算FX調整!J242</f>
        <v>-12526.185286682268</v>
      </c>
      <c r="D240" s="9"/>
      <c r="F240" s="3">
        <v>227</v>
      </c>
      <c r="G240" s="27">
        <f>SMALL(③回報計算FX調整!$J$16:$J$265,227)</f>
        <v>44711.554131064564</v>
      </c>
      <c r="H240" s="9"/>
      <c r="I240" s="9"/>
    </row>
    <row r="241" spans="1:9" x14ac:dyDescent="0.25">
      <c r="A241" s="3">
        <v>228</v>
      </c>
      <c r="B241" s="3" t="s">
        <v>282</v>
      </c>
      <c r="C241" s="27">
        <f>③回報計算FX調整!J243</f>
        <v>3296.8598210370901</v>
      </c>
      <c r="D241" s="9"/>
      <c r="F241" s="3">
        <v>228</v>
      </c>
      <c r="G241" s="27">
        <f>SMALL(③回報計算FX調整!$J$16:$J$265,228)</f>
        <v>44789.549219019005</v>
      </c>
      <c r="H241" s="9"/>
      <c r="I241" s="9"/>
    </row>
    <row r="242" spans="1:9" x14ac:dyDescent="0.25">
      <c r="A242" s="3">
        <v>229</v>
      </c>
      <c r="B242" s="3" t="s">
        <v>283</v>
      </c>
      <c r="C242" s="28">
        <f>③回報計算FX調整!J244</f>
        <v>-43878.52962884408</v>
      </c>
      <c r="D242" s="9"/>
      <c r="F242" s="3">
        <v>229</v>
      </c>
      <c r="G242" s="27">
        <f>SMALL(③回報計算FX調整!$J$16:$J$265,229)</f>
        <v>46084.059640394313</v>
      </c>
      <c r="H242" s="9"/>
      <c r="I242" s="9"/>
    </row>
    <row r="243" spans="1:9" x14ac:dyDescent="0.25">
      <c r="A243" s="3">
        <v>230</v>
      </c>
      <c r="B243" s="3" t="s">
        <v>284</v>
      </c>
      <c r="C243" s="28">
        <f>③回報計算FX調整!J245</f>
        <v>-33826.567395613107</v>
      </c>
      <c r="D243" s="9"/>
      <c r="F243" s="3">
        <v>230</v>
      </c>
      <c r="G243" s="27">
        <f>SMALL(③回報計算FX調整!$J$16:$J$265,230)</f>
        <v>46643.728769512258</v>
      </c>
      <c r="H243" s="9"/>
      <c r="I243" s="9"/>
    </row>
    <row r="244" spans="1:9" x14ac:dyDescent="0.25">
      <c r="A244" s="3">
        <v>231</v>
      </c>
      <c r="B244" s="3" t="s">
        <v>285</v>
      </c>
      <c r="C244" s="28">
        <f>③回報計算FX調整!J246</f>
        <v>-27914.363983200376</v>
      </c>
      <c r="D244" s="9"/>
      <c r="F244" s="3">
        <v>231</v>
      </c>
      <c r="G244" s="27">
        <f>SMALL(③回報計算FX調整!$J$16:$J$265,231)</f>
        <v>46825.611017164512</v>
      </c>
      <c r="H244" s="9"/>
      <c r="I244" s="9"/>
    </row>
    <row r="245" spans="1:9" x14ac:dyDescent="0.25">
      <c r="A245" s="3">
        <v>232</v>
      </c>
      <c r="B245" s="3" t="s">
        <v>286</v>
      </c>
      <c r="C245" s="28">
        <f>③回報計算FX調整!J247</f>
        <v>-13634.490232790135</v>
      </c>
      <c r="D245" s="9"/>
      <c r="F245" s="3">
        <v>232</v>
      </c>
      <c r="G245" s="27">
        <f>SMALL(③回報計算FX調整!$J$16:$J$265,232)</f>
        <v>46847.636917725671</v>
      </c>
      <c r="H245" s="9"/>
      <c r="I245" s="9"/>
    </row>
    <row r="246" spans="1:9" x14ac:dyDescent="0.25">
      <c r="A246" s="3">
        <v>233</v>
      </c>
      <c r="B246" s="3" t="s">
        <v>287</v>
      </c>
      <c r="C246" s="27">
        <f>③回報計算FX調整!J248</f>
        <v>5570.5800404606698</v>
      </c>
      <c r="D246" s="9"/>
      <c r="F246" s="3">
        <v>233</v>
      </c>
      <c r="G246" s="27">
        <f>SMALL(③回報計算FX調整!$J$16:$J$265,233)</f>
        <v>51914.935300557037</v>
      </c>
      <c r="H246" s="9"/>
      <c r="I246" s="9"/>
    </row>
    <row r="247" spans="1:9" x14ac:dyDescent="0.25">
      <c r="A247" s="3">
        <v>234</v>
      </c>
      <c r="B247" s="3" t="s">
        <v>288</v>
      </c>
      <c r="C247" s="28">
        <f>③回報計算FX調整!J249</f>
        <v>-18367.172295430162</v>
      </c>
      <c r="D247" s="9"/>
      <c r="F247" s="3">
        <v>234</v>
      </c>
      <c r="G247" s="27">
        <f>SMALL(③回報計算FX調整!$J$16:$J$265,234)</f>
        <v>52557.772457118277</v>
      </c>
      <c r="H247" s="9"/>
      <c r="I247" s="9"/>
    </row>
    <row r="248" spans="1:9" x14ac:dyDescent="0.25">
      <c r="A248" s="3">
        <v>235</v>
      </c>
      <c r="B248" s="3" t="s">
        <v>289</v>
      </c>
      <c r="C248" s="28">
        <f>③回報計算FX調整!J250</f>
        <v>-5976.6659593305203</v>
      </c>
      <c r="D248" s="9"/>
      <c r="F248" s="3">
        <v>235</v>
      </c>
      <c r="G248" s="27">
        <f>SMALL(③回報計算FX調整!$J$16:$J$265,235)</f>
        <v>52582.711095269085</v>
      </c>
      <c r="H248" s="9"/>
      <c r="I248" s="9"/>
    </row>
    <row r="249" spans="1:9" x14ac:dyDescent="0.25">
      <c r="A249" s="3">
        <v>236</v>
      </c>
      <c r="B249" s="3" t="s">
        <v>290</v>
      </c>
      <c r="C249" s="27">
        <f>③回報計算FX調整!J251</f>
        <v>33773.656266793296</v>
      </c>
      <c r="D249" s="9"/>
      <c r="F249" s="3">
        <v>236</v>
      </c>
      <c r="G249" s="27">
        <f>SMALL(③回報計算FX調整!$J$16:$J$265,236)</f>
        <v>52696.244470385725</v>
      </c>
      <c r="H249" s="9"/>
      <c r="I249" s="9"/>
    </row>
    <row r="250" spans="1:9" x14ac:dyDescent="0.25">
      <c r="A250" s="3">
        <v>237</v>
      </c>
      <c r="B250" s="3" t="s">
        <v>291</v>
      </c>
      <c r="C250" s="28">
        <f>③回報計算FX調整!J252</f>
        <v>-11756.545186691539</v>
      </c>
      <c r="D250" s="9"/>
      <c r="F250" s="3">
        <v>237</v>
      </c>
      <c r="G250" s="27">
        <f>SMALL(③回報計算FX調整!$J$16:$J$265,237)</f>
        <v>53129.518298961346</v>
      </c>
      <c r="H250" s="9"/>
      <c r="I250" s="9"/>
    </row>
    <row r="251" spans="1:9" x14ac:dyDescent="0.25">
      <c r="A251" s="3">
        <v>238</v>
      </c>
      <c r="B251" s="3" t="s">
        <v>292</v>
      </c>
      <c r="C251" s="28">
        <f>③回報計算FX調整!J253</f>
        <v>-46763.646236251188</v>
      </c>
      <c r="D251" s="9"/>
      <c r="F251" s="3">
        <v>238</v>
      </c>
      <c r="G251" s="27">
        <f>SMALL(③回報計算FX調整!$J$16:$J$265,238)</f>
        <v>57440.868891362799</v>
      </c>
      <c r="H251" s="9"/>
      <c r="I251" s="9"/>
    </row>
    <row r="252" spans="1:9" x14ac:dyDescent="0.25">
      <c r="A252" s="3">
        <v>239</v>
      </c>
      <c r="B252" s="3" t="s">
        <v>293</v>
      </c>
      <c r="C252" s="27">
        <f>③回報計算FX調整!J254</f>
        <v>27862.302700236985</v>
      </c>
      <c r="D252" s="9"/>
      <c r="F252" s="3">
        <v>239</v>
      </c>
      <c r="G252" s="27">
        <f>SMALL(③回報計算FX調整!$J$16:$J$265,239)</f>
        <v>58505.82601628112</v>
      </c>
      <c r="H252" s="9"/>
      <c r="I252" s="9"/>
    </row>
    <row r="253" spans="1:9" x14ac:dyDescent="0.25">
      <c r="A253" s="3">
        <v>240</v>
      </c>
      <c r="B253" s="3" t="s">
        <v>294</v>
      </c>
      <c r="C253" s="28">
        <f>③回報計算FX調整!J255</f>
        <v>-23100.581282355801</v>
      </c>
      <c r="D253" s="9"/>
      <c r="F253" s="3">
        <v>240</v>
      </c>
      <c r="G253" s="27">
        <f>SMALL(③回報計算FX調整!$J$16:$J$265,240)</f>
        <v>58888.723562220657</v>
      </c>
      <c r="H253" s="9"/>
      <c r="I253" s="9"/>
    </row>
    <row r="254" spans="1:9" x14ac:dyDescent="0.25">
      <c r="A254" s="3">
        <v>241</v>
      </c>
      <c r="B254" s="3" t="s">
        <v>295</v>
      </c>
      <c r="C254" s="28">
        <f>③回報計算FX調整!J256</f>
        <v>-18071.378521637998</v>
      </c>
      <c r="D254" s="9"/>
      <c r="F254" s="3">
        <v>241</v>
      </c>
      <c r="G254" s="27">
        <f>SMALL(③回報計算FX調整!$J$16:$J$265,241)</f>
        <v>60564.384541572013</v>
      </c>
      <c r="H254" s="9"/>
      <c r="I254" s="9"/>
    </row>
    <row r="255" spans="1:9" x14ac:dyDescent="0.25">
      <c r="A255" s="3">
        <v>242</v>
      </c>
      <c r="B255" s="3" t="s">
        <v>296</v>
      </c>
      <c r="C255" s="28">
        <f>③回報計算FX調整!J257</f>
        <v>-26710.816131287324</v>
      </c>
      <c r="D255" s="9"/>
      <c r="F255" s="3">
        <v>242</v>
      </c>
      <c r="G255" s="27">
        <f>SMALL(③回報計算FX調整!$J$16:$J$265,242)</f>
        <v>61129.763801909052</v>
      </c>
      <c r="H255" s="9"/>
      <c r="I255" s="9"/>
    </row>
    <row r="256" spans="1:9" x14ac:dyDescent="0.25">
      <c r="A256" s="3">
        <v>243</v>
      </c>
      <c r="B256" s="3" t="s">
        <v>297</v>
      </c>
      <c r="C256" s="28">
        <f>③回報計算FX調整!J258</f>
        <v>-32664.162835763043</v>
      </c>
      <c r="D256" s="9"/>
      <c r="F256" s="3">
        <v>243</v>
      </c>
      <c r="G256" s="27">
        <f>SMALL(③回報計算FX調整!$J$16:$J$265,243)</f>
        <v>61350.009865638436</v>
      </c>
      <c r="H256" s="9"/>
      <c r="I256" s="9"/>
    </row>
    <row r="257" spans="1:12" x14ac:dyDescent="0.25">
      <c r="A257" s="3">
        <v>244</v>
      </c>
      <c r="B257" s="3" t="s">
        <v>298</v>
      </c>
      <c r="C257" s="27">
        <f>③回報計算FX調整!J259</f>
        <v>22827.425917485012</v>
      </c>
      <c r="D257" s="9"/>
      <c r="F257" s="3">
        <v>244</v>
      </c>
      <c r="G257" s="27">
        <f>SMALL(③回報計算FX調整!$J$16:$J$265,244)</f>
        <v>61424.7584210606</v>
      </c>
      <c r="H257" s="9"/>
      <c r="I257" s="9"/>
    </row>
    <row r="258" spans="1:12" x14ac:dyDescent="0.25">
      <c r="A258" s="3">
        <v>245</v>
      </c>
      <c r="B258" s="3" t="s">
        <v>299</v>
      </c>
      <c r="C258" s="28">
        <f>③回報計算FX調整!J260</f>
        <v>-34110.939416154608</v>
      </c>
      <c r="D258" s="9"/>
      <c r="F258" s="3">
        <v>245</v>
      </c>
      <c r="G258" s="27">
        <f>SMALL(③回報計算FX調整!$J$16:$J$265,245)</f>
        <v>64301.24983367791</v>
      </c>
      <c r="H258" s="9"/>
      <c r="I258" s="9"/>
    </row>
    <row r="259" spans="1:12" x14ac:dyDescent="0.25">
      <c r="A259" s="3">
        <v>246</v>
      </c>
      <c r="B259" s="3" t="s">
        <v>300</v>
      </c>
      <c r="C259" s="27">
        <f>③回報計算FX調整!J261</f>
        <v>8619.9761012159452</v>
      </c>
      <c r="D259" s="9"/>
      <c r="F259" s="3">
        <v>246</v>
      </c>
      <c r="G259" s="27">
        <f>SMALL(③回報計算FX調整!$J$16:$J$265,246)</f>
        <v>65294.736135659266</v>
      </c>
      <c r="H259" s="9"/>
      <c r="I259" s="9"/>
    </row>
    <row r="260" spans="1:12" x14ac:dyDescent="0.25">
      <c r="A260" s="3">
        <v>247</v>
      </c>
      <c r="B260" s="3" t="s">
        <v>301</v>
      </c>
      <c r="C260" s="28">
        <f>③回報計算FX調整!J262</f>
        <v>-6004.9209785046132</v>
      </c>
      <c r="D260" s="9"/>
      <c r="F260" s="3">
        <v>247</v>
      </c>
      <c r="G260" s="27">
        <f>SMALL(③回報計算FX調整!$J$16:$J$265,247)</f>
        <v>71689.883197702307</v>
      </c>
      <c r="H260" s="9"/>
      <c r="I260" s="9"/>
    </row>
    <row r="261" spans="1:12" x14ac:dyDescent="0.25">
      <c r="A261" s="3">
        <v>248</v>
      </c>
      <c r="B261" s="3" t="s">
        <v>302</v>
      </c>
      <c r="C261" s="27">
        <f>③回報計算FX調整!J263</f>
        <v>18962.23990220419</v>
      </c>
      <c r="D261" s="9"/>
      <c r="F261" s="3">
        <v>248</v>
      </c>
      <c r="G261" s="27">
        <f>SMALL(③回報計算FX調整!$J$16:$J$265,248)</f>
        <v>72298.36314614852</v>
      </c>
      <c r="H261" s="9"/>
      <c r="I261" s="9"/>
    </row>
    <row r="262" spans="1:12" x14ac:dyDescent="0.25">
      <c r="A262" s="3">
        <v>249</v>
      </c>
      <c r="B262" s="3" t="s">
        <v>303</v>
      </c>
      <c r="C262" s="27">
        <f>③回報計算FX調整!J264</f>
        <v>2600.7665927763524</v>
      </c>
      <c r="D262" s="9"/>
      <c r="F262" s="3">
        <v>249</v>
      </c>
      <c r="G262" s="27">
        <f>SMALL(③回報計算FX調整!$J$16:$J$265,249)</f>
        <v>72826.166147315496</v>
      </c>
      <c r="H262" s="9"/>
      <c r="I262" s="9"/>
    </row>
    <row r="263" spans="1:12" x14ac:dyDescent="0.25">
      <c r="A263" s="3">
        <v>250</v>
      </c>
      <c r="B263" s="3" t="s">
        <v>304</v>
      </c>
      <c r="C263" s="28">
        <f>③回報計算FX調整!J265</f>
        <v>-44367.595781698023</v>
      </c>
      <c r="D263" s="9"/>
      <c r="F263" s="3">
        <v>250</v>
      </c>
      <c r="G263" s="27">
        <f>SMALL(③回報計算FX調整!$J$16:$J$265,250)</f>
        <v>81002.013418321018</v>
      </c>
      <c r="H263" s="9"/>
      <c r="I263" s="9"/>
    </row>
    <row r="266" spans="1:12" x14ac:dyDescent="0.25">
      <c r="A266" s="77" t="s">
        <v>354</v>
      </c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</row>
    <row r="267" spans="1:12" x14ac:dyDescent="0.25">
      <c r="A267" s="36" t="s">
        <v>355</v>
      </c>
      <c r="B267" s="37">
        <f>-SMALL(③回報計算FX調整!$J$16:$J$265,3)</f>
        <v>52728.707526576778</v>
      </c>
    </row>
    <row r="268" spans="1:12" x14ac:dyDescent="0.25">
      <c r="A268" s="36" t="s">
        <v>356</v>
      </c>
      <c r="B268" s="37">
        <f>-(SMALL(③回報計算FX調整!$J$16:$J$265,1)+SMALL(③回報計算FX調整!$J$16:$J$265,2))/2</f>
        <v>68726.794706076005</v>
      </c>
    </row>
    <row r="269" spans="1:12" x14ac:dyDescent="0.25">
      <c r="A269" s="36" t="s">
        <v>357</v>
      </c>
      <c r="B269" s="38">
        <f>B268/B267</f>
        <v>1.3034037420969542</v>
      </c>
    </row>
    <row r="270" spans="1:12" x14ac:dyDescent="0.25">
      <c r="A270" s="36" t="s">
        <v>358</v>
      </c>
      <c r="B270" s="39">
        <v>1909957</v>
      </c>
    </row>
    <row r="271" spans="1:12" x14ac:dyDescent="0.25">
      <c r="A271" s="36" t="s">
        <v>359</v>
      </c>
      <c r="B271" s="40">
        <f>B267/B270</f>
        <v>2.760727468030787E-2</v>
      </c>
    </row>
    <row r="274" spans="1:12" x14ac:dyDescent="0.25">
      <c r="A274" s="77" t="s">
        <v>360</v>
      </c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</row>
    <row r="275" spans="1:12" ht="28.5" x14ac:dyDescent="0.25">
      <c r="A275" s="41" t="s">
        <v>361</v>
      </c>
      <c r="B275" s="41" t="s">
        <v>362</v>
      </c>
      <c r="C275" s="41" t="s">
        <v>363</v>
      </c>
      <c r="D275" s="41" t="s">
        <v>364</v>
      </c>
    </row>
    <row r="276" spans="1:12" x14ac:dyDescent="0.25">
      <c r="A276" s="23" t="s">
        <v>10</v>
      </c>
      <c r="B276" s="42">
        <v>37369.67</v>
      </c>
      <c r="C276" s="42">
        <v>41571.69</v>
      </c>
      <c r="D276" s="43">
        <v>0.70860000000000001</v>
      </c>
    </row>
    <row r="277" spans="1:12" x14ac:dyDescent="0.25">
      <c r="A277" s="23" t="s">
        <v>13</v>
      </c>
      <c r="B277" s="42">
        <v>37181.89</v>
      </c>
      <c r="C277" s="42">
        <v>44118.91</v>
      </c>
      <c r="D277" s="43">
        <v>0.70509999999999995</v>
      </c>
    </row>
    <row r="278" spans="1:12" x14ac:dyDescent="0.25">
      <c r="A278" s="23" t="s">
        <v>16</v>
      </c>
      <c r="B278" s="42">
        <v>598.82000000000005</v>
      </c>
      <c r="C278" s="42">
        <v>677.31</v>
      </c>
      <c r="D278" s="43">
        <v>1.14E-2</v>
      </c>
    </row>
    <row r="280" spans="1:12" x14ac:dyDescent="0.25">
      <c r="A280" s="80" t="s">
        <v>365</v>
      </c>
      <c r="B280" s="78"/>
      <c r="C280" s="78"/>
      <c r="D280" s="78"/>
      <c r="E280" s="78"/>
      <c r="F280" s="78"/>
      <c r="G280" s="78"/>
      <c r="H280" s="78"/>
      <c r="I280" s="78"/>
      <c r="J280" s="78"/>
      <c r="K280" s="78"/>
    </row>
  </sheetData>
  <mergeCells count="14">
    <mergeCell ref="A280:K280"/>
    <mergeCell ref="F12:I12"/>
    <mergeCell ref="B5:I5"/>
    <mergeCell ref="A3:L3"/>
    <mergeCell ref="B8:I8"/>
    <mergeCell ref="B4:I4"/>
    <mergeCell ref="B9:I9"/>
    <mergeCell ref="A1:J1"/>
    <mergeCell ref="A266:L266"/>
    <mergeCell ref="A274:L274"/>
    <mergeCell ref="B7:I7"/>
    <mergeCell ref="B6:I6"/>
    <mergeCell ref="A11:L11"/>
    <mergeCell ref="A12:D1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8"/>
  <sheetViews>
    <sheetView workbookViewId="0">
      <selection activeCell="D18" sqref="D18"/>
    </sheetView>
  </sheetViews>
  <sheetFormatPr defaultRowHeight="15.75" x14ac:dyDescent="0.25"/>
  <cols>
    <col min="1" max="5" width="30" customWidth="1"/>
    <col min="6" max="6" width="15" customWidth="1"/>
    <col min="7" max="7" width="30" customWidth="1"/>
    <col min="8" max="12" width="8" customWidth="1"/>
  </cols>
  <sheetData>
    <row r="1" spans="1:12" x14ac:dyDescent="0.25">
      <c r="A1" s="79" t="s">
        <v>366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3" spans="1:12" x14ac:dyDescent="0.25">
      <c r="A3" s="77" t="s">
        <v>367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x14ac:dyDescent="0.25">
      <c r="A4" s="31" t="s">
        <v>334</v>
      </c>
      <c r="B4" s="81" t="s">
        <v>368</v>
      </c>
      <c r="C4" s="78"/>
      <c r="D4" s="78"/>
      <c r="E4" s="78"/>
      <c r="F4" s="78"/>
      <c r="G4" s="78"/>
      <c r="H4" s="78"/>
      <c r="I4" s="78"/>
      <c r="J4" s="78"/>
    </row>
    <row r="5" spans="1:12" x14ac:dyDescent="0.25">
      <c r="A5" s="31" t="s">
        <v>336</v>
      </c>
      <c r="B5" s="81" t="s">
        <v>369</v>
      </c>
      <c r="C5" s="78"/>
      <c r="D5" s="78"/>
      <c r="E5" s="78"/>
      <c r="F5" s="78"/>
      <c r="G5" s="78"/>
      <c r="H5" s="78"/>
      <c r="I5" s="78"/>
      <c r="J5" s="78"/>
    </row>
    <row r="6" spans="1:12" x14ac:dyDescent="0.25">
      <c r="A6" s="31" t="s">
        <v>338</v>
      </c>
      <c r="B6" s="81" t="s">
        <v>370</v>
      </c>
      <c r="C6" s="78"/>
      <c r="D6" s="78"/>
      <c r="E6" s="78"/>
      <c r="F6" s="78"/>
      <c r="G6" s="78"/>
      <c r="H6" s="78"/>
      <c r="I6" s="78"/>
      <c r="J6" s="78"/>
    </row>
    <row r="7" spans="1:12" x14ac:dyDescent="0.25">
      <c r="A7" s="31" t="s">
        <v>340</v>
      </c>
      <c r="B7" s="81" t="s">
        <v>371</v>
      </c>
      <c r="C7" s="78"/>
      <c r="D7" s="78"/>
      <c r="E7" s="78"/>
      <c r="F7" s="78"/>
      <c r="G7" s="78"/>
      <c r="H7" s="78"/>
      <c r="I7" s="78"/>
      <c r="J7" s="78"/>
    </row>
    <row r="8" spans="1:12" x14ac:dyDescent="0.25">
      <c r="A8" s="31" t="s">
        <v>342</v>
      </c>
      <c r="B8" s="81" t="s">
        <v>372</v>
      </c>
      <c r="C8" s="78"/>
      <c r="D8" s="78"/>
      <c r="E8" s="78"/>
      <c r="F8" s="78"/>
      <c r="G8" s="78"/>
      <c r="H8" s="78"/>
      <c r="I8" s="78"/>
      <c r="J8" s="78"/>
    </row>
    <row r="9" spans="1:12" x14ac:dyDescent="0.25">
      <c r="A9" s="31" t="s">
        <v>373</v>
      </c>
      <c r="B9" s="81" t="s">
        <v>374</v>
      </c>
      <c r="C9" s="78"/>
      <c r="D9" s="78"/>
      <c r="E9" s="78"/>
      <c r="F9" s="78"/>
      <c r="G9" s="78"/>
      <c r="H9" s="78"/>
      <c r="I9" s="78"/>
      <c r="J9" s="78"/>
    </row>
    <row r="10" spans="1:12" x14ac:dyDescent="0.25">
      <c r="A10" s="31" t="s">
        <v>375</v>
      </c>
      <c r="B10" s="81" t="s">
        <v>376</v>
      </c>
      <c r="C10" s="78"/>
      <c r="D10" s="78"/>
      <c r="E10" s="78"/>
      <c r="F10" s="78"/>
      <c r="G10" s="78"/>
      <c r="H10" s="78"/>
      <c r="I10" s="78"/>
      <c r="J10" s="78"/>
    </row>
    <row r="11" spans="1:12" x14ac:dyDescent="0.25">
      <c r="A11" s="31" t="s">
        <v>377</v>
      </c>
      <c r="B11" s="81" t="s">
        <v>378</v>
      </c>
      <c r="C11" s="78"/>
      <c r="D11" s="78"/>
      <c r="E11" s="78"/>
      <c r="F11" s="78"/>
      <c r="G11" s="78"/>
      <c r="H11" s="78"/>
      <c r="I11" s="78"/>
      <c r="J11" s="78"/>
    </row>
    <row r="12" spans="1:12" x14ac:dyDescent="0.25">
      <c r="A12" s="77" t="s">
        <v>379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</row>
    <row r="13" spans="1:12" x14ac:dyDescent="0.25">
      <c r="A13" s="80" t="s">
        <v>380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</row>
    <row r="14" spans="1:12" x14ac:dyDescent="0.25">
      <c r="A14" s="1"/>
      <c r="B14" s="1" t="s">
        <v>10</v>
      </c>
      <c r="C14" s="1" t="s">
        <v>13</v>
      </c>
      <c r="D14" s="1" t="s">
        <v>16</v>
      </c>
    </row>
    <row r="15" spans="1:12" x14ac:dyDescent="0.25">
      <c r="A15" s="44" t="s">
        <v>10</v>
      </c>
      <c r="B15" s="45">
        <f>_xlfn.SINGLE(_xlfn.COVARIANCE.S(③回報計算FX調整!$G$16:$G$265,③回報計算FX調整!$G$16:$G$265))</f>
        <v>3.8604862901428532E-4</v>
      </c>
      <c r="C15" s="46">
        <f>_xlfn.SINGLE(_xlfn.COVARIANCE.S(③回報計算FX調整!$G$16:$G$265,③回報計算FX調整!$H$16:$H$265))</f>
        <v>1.1111553379572111E-4</v>
      </c>
      <c r="D15" s="46">
        <f>_xlfn.SINGLE(_xlfn.COVARIANCE.S(③回報計算FX調整!$G$16:$G$265,③回報計算FX調整!$I$16:$I$265))</f>
        <v>5.3998708894264362E-5</v>
      </c>
    </row>
    <row r="16" spans="1:12" x14ac:dyDescent="0.25">
      <c r="A16" s="44" t="s">
        <v>13</v>
      </c>
      <c r="B16" s="46">
        <f>_xlfn.SINGLE(_xlfn.COVARIANCE.S(③回報計算FX調整!$H$16:$H$265,③回報計算FX調整!$G$16:$G$265))</f>
        <v>1.1111553379572111E-4</v>
      </c>
      <c r="C16" s="45">
        <f>_xlfn.SINGLE(_xlfn.COVARIANCE.S(③回報計算FX調整!$H$16:$H$265,③回報計算FX調整!$H$16:$H$265))</f>
        <v>3.6187982171360787E-4</v>
      </c>
      <c r="D16" s="46">
        <f>_xlfn.SINGLE(_xlfn.COVARIANCE.S(③回報計算FX調整!$H$16:$H$265,③回報計算FX調整!$I$16:$I$265))</f>
        <v>9.030082911638045E-5</v>
      </c>
    </row>
    <row r="17" spans="1:12" x14ac:dyDescent="0.25">
      <c r="A17" s="44" t="s">
        <v>16</v>
      </c>
      <c r="B17" s="46">
        <f>_xlfn.SINGLE(_xlfn.COVARIANCE.S(③回報計算FX調整!$I$16:$I$265,③回報計算FX調整!$G$16:$G$265))</f>
        <v>5.3998708894264362E-5</v>
      </c>
      <c r="C17" s="46">
        <f>_xlfn.SINGLE(_xlfn.COVARIANCE.S(③回報計算FX調整!$I$16:$I$265,③回報計算FX調整!$H$16:$H$265))</f>
        <v>9.030082911638045E-5</v>
      </c>
      <c r="D17" s="45">
        <f>_xlfn.SINGLE(_xlfn.COVARIANCE.S(③回報計算FX調整!$I$16:$I$265,③回報計算FX調整!$I$16:$I$265))</f>
        <v>4.8234941021809964E-4</v>
      </c>
    </row>
    <row r="19" spans="1:12" x14ac:dyDescent="0.25">
      <c r="A19" s="77" t="s">
        <v>381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</row>
    <row r="20" spans="1:12" x14ac:dyDescent="0.25">
      <c r="A20" s="1"/>
      <c r="B20" s="1" t="s">
        <v>10</v>
      </c>
      <c r="C20" s="1" t="s">
        <v>13</v>
      </c>
      <c r="D20" s="1" t="s">
        <v>16</v>
      </c>
    </row>
    <row r="21" spans="1:12" x14ac:dyDescent="0.25">
      <c r="A21" s="44" t="s">
        <v>10</v>
      </c>
      <c r="B21" s="47">
        <f>B15/SQRT($B$15*$B$15)</f>
        <v>1</v>
      </c>
      <c r="C21" s="48">
        <f>C15/SQRT($B$15*$C$16)</f>
        <v>0.29728403423907829</v>
      </c>
      <c r="D21" s="48">
        <f>D15/SQRT($B$15*$D$17)</f>
        <v>0.1251357764916515</v>
      </c>
    </row>
    <row r="22" spans="1:12" x14ac:dyDescent="0.25">
      <c r="A22" s="44" t="s">
        <v>13</v>
      </c>
      <c r="B22" s="48">
        <f>B16/SQRT($C$16*$B$15)</f>
        <v>0.29728403423907829</v>
      </c>
      <c r="C22" s="47">
        <f>C16/SQRT($C$16*$C$16)</f>
        <v>1</v>
      </c>
      <c r="D22" s="48">
        <f>D16/SQRT($C$16*$D$17)</f>
        <v>0.21613678053138216</v>
      </c>
    </row>
    <row r="23" spans="1:12" x14ac:dyDescent="0.25">
      <c r="A23" s="44" t="s">
        <v>16</v>
      </c>
      <c r="B23" s="48">
        <f>B17/SQRT($D$17*$B$15)</f>
        <v>0.1251357764916515</v>
      </c>
      <c r="C23" s="48">
        <f>C17/SQRT($D$17*$C$16)</f>
        <v>0.21613678053138216</v>
      </c>
      <c r="D23" s="47">
        <f>D17/SQRT($D$17*$D$17)</f>
        <v>1</v>
      </c>
    </row>
    <row r="25" spans="1:12" x14ac:dyDescent="0.25">
      <c r="A25" s="77" t="s">
        <v>382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</row>
    <row r="26" spans="1:12" x14ac:dyDescent="0.25">
      <c r="A26" s="1" t="s">
        <v>361</v>
      </c>
      <c r="B26" s="1" t="s">
        <v>383</v>
      </c>
      <c r="C26" s="1" t="s">
        <v>384</v>
      </c>
    </row>
    <row r="27" spans="1:12" x14ac:dyDescent="0.25">
      <c r="A27" s="2" t="s">
        <v>10</v>
      </c>
      <c r="B27" s="49">
        <f>①基本設定!$G$5</f>
        <v>858340</v>
      </c>
      <c r="C27" s="2"/>
    </row>
    <row r="28" spans="1:12" x14ac:dyDescent="0.25">
      <c r="A28" s="2" t="s">
        <v>13</v>
      </c>
      <c r="B28" s="49">
        <f>①基本設定!$G$6</f>
        <v>1040599</v>
      </c>
      <c r="C28" s="2"/>
    </row>
    <row r="29" spans="1:12" x14ac:dyDescent="0.25">
      <c r="A29" s="2" t="s">
        <v>16</v>
      </c>
      <c r="B29" s="49">
        <f>①基本設定!$G$7</f>
        <v>11018</v>
      </c>
      <c r="C29" s="2"/>
    </row>
    <row r="31" spans="1:12" x14ac:dyDescent="0.25">
      <c r="A31" s="77" t="s">
        <v>385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</row>
    <row r="32" spans="1:12" x14ac:dyDescent="0.25">
      <c r="A32" s="1" t="s">
        <v>361</v>
      </c>
      <c r="B32" s="1" t="s">
        <v>386</v>
      </c>
      <c r="C32" s="1" t="s">
        <v>387</v>
      </c>
    </row>
    <row r="33" spans="1:12" x14ac:dyDescent="0.25">
      <c r="A33" s="2" t="s">
        <v>10</v>
      </c>
      <c r="B33" s="50">
        <f>$B$15*$B$27+$C$15*$B$28+$D$15*$B$29</f>
        <v>447.58265135501222</v>
      </c>
      <c r="C33" s="51">
        <v>447.56408455000002</v>
      </c>
    </row>
    <row r="34" spans="1:12" x14ac:dyDescent="0.25">
      <c r="A34" s="2" t="s">
        <v>13</v>
      </c>
      <c r="B34" s="50">
        <f>$B$16*$B$27+$C$16*$B$28+$D$16*$B$29</f>
        <v>472.94162240878217</v>
      </c>
      <c r="C34" s="51">
        <v>473.03917332999998</v>
      </c>
    </row>
    <row r="35" spans="1:12" x14ac:dyDescent="0.25">
      <c r="A35" s="2" t="s">
        <v>16</v>
      </c>
      <c r="B35" s="50">
        <f>$B$17*$B$27+$C$17*$B$28+$D$17*$B$29</f>
        <v>145.63073007176229</v>
      </c>
      <c r="C35" s="51">
        <v>145.60340368000001</v>
      </c>
    </row>
    <row r="36" spans="1:12" x14ac:dyDescent="0.25">
      <c r="A36" s="77" t="s">
        <v>388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</row>
    <row r="37" spans="1:12" x14ac:dyDescent="0.25">
      <c r="A37" s="44" t="s">
        <v>389</v>
      </c>
      <c r="B37" s="52">
        <f>$B$27*$B$33+$B$28*$B$34+$B$29*$B$35</f>
        <v>877925231.68494821</v>
      </c>
      <c r="C37" s="51">
        <v>878010594.62948024</v>
      </c>
      <c r="D37" s="2" t="s">
        <v>390</v>
      </c>
    </row>
    <row r="38" spans="1:12" x14ac:dyDescent="0.25">
      <c r="A38" s="44" t="s">
        <v>391</v>
      </c>
      <c r="B38" s="53">
        <f>SQRT($B$37)</f>
        <v>29629.80309899052</v>
      </c>
      <c r="C38" s="54">
        <v>29631.243555230001</v>
      </c>
      <c r="D38" s="2" t="s">
        <v>390</v>
      </c>
    </row>
    <row r="40" spans="1:12" x14ac:dyDescent="0.25">
      <c r="A40" s="77" t="s">
        <v>392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</row>
    <row r="41" spans="1:12" x14ac:dyDescent="0.25">
      <c r="A41" s="1" t="s">
        <v>393</v>
      </c>
      <c r="B41" s="1" t="s">
        <v>394</v>
      </c>
      <c r="C41" s="1" t="s">
        <v>384</v>
      </c>
      <c r="D41" s="1" t="s">
        <v>395</v>
      </c>
    </row>
    <row r="42" spans="1:12" x14ac:dyDescent="0.25">
      <c r="A42" s="44" t="s">
        <v>374</v>
      </c>
      <c r="B42" s="55" t="e">
        <f ca="1">_xludf.NORM.S.INV(0.99)</f>
        <v>#NAME?</v>
      </c>
      <c r="C42" s="2" t="s">
        <v>396</v>
      </c>
      <c r="D42" s="56">
        <v>2.3263479999999999</v>
      </c>
    </row>
    <row r="43" spans="1:12" x14ac:dyDescent="0.25">
      <c r="A43" s="44" t="s">
        <v>397</v>
      </c>
      <c r="B43" s="53">
        <f>$B$38</f>
        <v>29629.80309899052</v>
      </c>
      <c r="C43" s="2" t="e">
        <f ca="1">σ_P(引用上方)</f>
        <v>#NAME?</v>
      </c>
      <c r="D43" s="54">
        <v>29631.243600000002</v>
      </c>
    </row>
    <row r="44" spans="1:12" x14ac:dyDescent="0.25">
      <c r="A44" s="44" t="s">
        <v>398</v>
      </c>
      <c r="B44" s="49" t="e">
        <f ca="1">$B$42*$B$38</f>
        <v>#NAME?</v>
      </c>
      <c r="C44" s="2" t="e">
        <f>z_α * σ_P</f>
        <v>#NAME?</v>
      </c>
      <c r="D44" s="57">
        <v>68932.58</v>
      </c>
    </row>
    <row r="45" spans="1:12" x14ac:dyDescent="0.25">
      <c r="A45" s="44" t="s">
        <v>399</v>
      </c>
      <c r="B45" s="49" t="e">
        <f ca="1">_xludf.NORM.DIST(-$B$42,0,1,FALSE)/0.01*$B$38</f>
        <v>#NAME?</v>
      </c>
      <c r="C45" s="2" t="e">
        <f ca="1">φ(z_α)/(1-α) * σ_P</f>
        <v>#NAME?</v>
      </c>
      <c r="D45" s="57">
        <v>78973.61</v>
      </c>
    </row>
    <row r="46" spans="1:12" x14ac:dyDescent="0.25">
      <c r="A46" s="44" t="s">
        <v>400</v>
      </c>
      <c r="B46" s="58" t="e">
        <f ca="1">$B$44/①基本設定!$G$8</f>
        <v>#NAME?</v>
      </c>
      <c r="C46" s="2" t="e">
        <f>VaR / 組合總市值</f>
        <v>#NAME?</v>
      </c>
      <c r="D46" s="59">
        <v>3.6090999999999998E-2</v>
      </c>
    </row>
    <row r="47" spans="1:12" x14ac:dyDescent="0.25">
      <c r="A47" s="44" t="s">
        <v>357</v>
      </c>
      <c r="B47" s="55" t="e">
        <f ca="1">$B$45/$B$44</f>
        <v>#NAME?</v>
      </c>
      <c r="C47" s="2" t="e">
        <f>CVaR / VAR(常態下≈1.29)</f>
        <v>#NAME?</v>
      </c>
      <c r="D47" s="56">
        <v>1.1456649999999999</v>
      </c>
    </row>
    <row r="49" spans="1:12" x14ac:dyDescent="0.25">
      <c r="A49" s="77" t="s">
        <v>401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</row>
    <row r="50" spans="1:12" ht="28.5" x14ac:dyDescent="0.25">
      <c r="A50" s="1" t="s">
        <v>361</v>
      </c>
      <c r="B50" s="1" t="s">
        <v>402</v>
      </c>
      <c r="C50" s="1" t="s">
        <v>403</v>
      </c>
      <c r="D50" s="1" t="s">
        <v>404</v>
      </c>
      <c r="E50" s="1" t="s">
        <v>405</v>
      </c>
      <c r="F50" s="1" t="s">
        <v>364</v>
      </c>
      <c r="G50" s="1" t="s">
        <v>406</v>
      </c>
    </row>
    <row r="51" spans="1:12" x14ac:dyDescent="0.25">
      <c r="A51" s="2" t="s">
        <v>10</v>
      </c>
      <c r="B51" s="15">
        <f>$B$27</f>
        <v>858340</v>
      </c>
      <c r="C51" s="60">
        <f>$B$33</f>
        <v>447.58265135501222</v>
      </c>
      <c r="D51" s="50" t="e">
        <f ca="1">$B$42*$C51/$B$38</f>
        <v>#NAME?</v>
      </c>
      <c r="E51" s="61" t="e">
        <f ca="1">$B51*$D51</f>
        <v>#NAME?</v>
      </c>
      <c r="F51" s="8" t="e">
        <f ca="1">$E51/$B$44</f>
        <v>#NAME?</v>
      </c>
      <c r="G51" s="57" t="e">
        <f ca="1">$E51*_xludf.NORM.DIST(-$B$42,0,1,FALSE)/0.01/$B$42</f>
        <v>#NAME?</v>
      </c>
    </row>
    <row r="52" spans="1:12" x14ac:dyDescent="0.25">
      <c r="A52" s="2" t="s">
        <v>13</v>
      </c>
      <c r="B52" s="15">
        <f>$B$28</f>
        <v>1040599</v>
      </c>
      <c r="C52" s="60">
        <f>$B$34</f>
        <v>472.94162240878217</v>
      </c>
      <c r="D52" s="50" t="e">
        <f ca="1">$B$42*$C52/$B$38</f>
        <v>#NAME?</v>
      </c>
      <c r="E52" s="61" t="e">
        <f ca="1">$B52*$D52</f>
        <v>#NAME?</v>
      </c>
      <c r="F52" s="8" t="e">
        <f ca="1">$E52/$B$44</f>
        <v>#NAME?</v>
      </c>
      <c r="G52" s="57" t="e">
        <f ca="1">$E52*_xludf.NORM.DIST(-$B$42,0,1,FALSE)/0.01/$B$42</f>
        <v>#NAME?</v>
      </c>
    </row>
    <row r="53" spans="1:12" x14ac:dyDescent="0.25">
      <c r="A53" s="2" t="s">
        <v>16</v>
      </c>
      <c r="B53" s="15">
        <f>$B$29</f>
        <v>11018</v>
      </c>
      <c r="C53" s="60">
        <f>$B$35</f>
        <v>145.63073007176229</v>
      </c>
      <c r="D53" s="50" t="e">
        <f ca="1">$B$42*$C53/$B$38</f>
        <v>#NAME?</v>
      </c>
      <c r="E53" s="61" t="e">
        <f ca="1">$B53*$D53</f>
        <v>#NAME?</v>
      </c>
      <c r="F53" s="8" t="e">
        <f ca="1">$E53/$B$44</f>
        <v>#NAME?</v>
      </c>
      <c r="G53" s="57" t="e">
        <f ca="1">$E53*_xludf.NORM.DIST(-$B$42,0,1,FALSE)/0.01/$B$42</f>
        <v>#NAME?</v>
      </c>
    </row>
    <row r="54" spans="1:12" x14ac:dyDescent="0.25">
      <c r="A54" s="44" t="s">
        <v>407</v>
      </c>
      <c r="B54" s="9"/>
      <c r="C54" s="9"/>
      <c r="D54" s="9"/>
      <c r="E54" s="61" t="e">
        <f ca="1">SUM(E51:E53)</f>
        <v>#NAME?</v>
      </c>
      <c r="F54" s="8" t="e">
        <f ca="1">SUM(F51:F53)</f>
        <v>#NAME?</v>
      </c>
      <c r="G54" s="9"/>
    </row>
    <row r="55" spans="1:12" x14ac:dyDescent="0.25">
      <c r="A55" s="44" t="s">
        <v>408</v>
      </c>
      <c r="B55" s="9"/>
      <c r="C55" s="9"/>
      <c r="D55" s="9"/>
      <c r="E55" s="49" t="e">
        <f ca="1">$B$44</f>
        <v>#NAME?</v>
      </c>
      <c r="F55" s="9"/>
      <c r="G55" s="9"/>
    </row>
    <row r="56" spans="1:12" x14ac:dyDescent="0.25">
      <c r="A56" s="44" t="s">
        <v>409</v>
      </c>
      <c r="B56" s="9"/>
      <c r="C56" s="9"/>
      <c r="D56" s="9"/>
      <c r="E56" s="62" t="e">
        <f ca="1">ABS(E54-E55)/E55</f>
        <v>#NAME?</v>
      </c>
      <c r="F56" s="2" t="s">
        <v>410</v>
      </c>
      <c r="G56" s="9"/>
    </row>
    <row r="58" spans="1:12" x14ac:dyDescent="0.25">
      <c r="A58" s="80" t="s">
        <v>411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</row>
  </sheetData>
  <mergeCells count="19">
    <mergeCell ref="A1:L1"/>
    <mergeCell ref="A36:L36"/>
    <mergeCell ref="A13:K13"/>
    <mergeCell ref="A58:K58"/>
    <mergeCell ref="B11:J11"/>
    <mergeCell ref="A25:L25"/>
    <mergeCell ref="B8:J8"/>
    <mergeCell ref="A3:L3"/>
    <mergeCell ref="A12:L12"/>
    <mergeCell ref="B10:J10"/>
    <mergeCell ref="B9:J9"/>
    <mergeCell ref="B6:J6"/>
    <mergeCell ref="B5:J5"/>
    <mergeCell ref="A19:L19"/>
    <mergeCell ref="A31:L31"/>
    <mergeCell ref="A40:L40"/>
    <mergeCell ref="B4:J4"/>
    <mergeCell ref="B7:J7"/>
    <mergeCell ref="A49:L49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49"/>
  <sheetViews>
    <sheetView tabSelected="1" workbookViewId="0">
      <selection activeCell="C547" sqref="C547:H547"/>
    </sheetView>
  </sheetViews>
  <sheetFormatPr defaultRowHeight="15.75" x14ac:dyDescent="0.25"/>
  <cols>
    <col min="1" max="8" width="30" customWidth="1"/>
    <col min="9" max="12" width="8" customWidth="1"/>
  </cols>
  <sheetData>
    <row r="1" spans="1:12" x14ac:dyDescent="0.25">
      <c r="A1" s="79" t="s">
        <v>412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3" spans="1:12" x14ac:dyDescent="0.25">
      <c r="A3" s="77" t="s">
        <v>413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x14ac:dyDescent="0.25">
      <c r="A4" s="31" t="s">
        <v>334</v>
      </c>
      <c r="B4" s="81" t="s">
        <v>414</v>
      </c>
      <c r="C4" s="78"/>
      <c r="D4" s="78"/>
      <c r="E4" s="78"/>
      <c r="F4" s="78"/>
      <c r="G4" s="78"/>
      <c r="H4" s="78"/>
      <c r="I4" s="78"/>
      <c r="J4" s="78"/>
    </row>
    <row r="5" spans="1:12" x14ac:dyDescent="0.25">
      <c r="A5" s="31" t="s">
        <v>336</v>
      </c>
      <c r="B5" s="81" t="s">
        <v>415</v>
      </c>
      <c r="C5" s="78"/>
      <c r="D5" s="78"/>
      <c r="E5" s="78"/>
      <c r="F5" s="78"/>
      <c r="G5" s="78"/>
      <c r="H5" s="78"/>
      <c r="I5" s="78"/>
      <c r="J5" s="78"/>
    </row>
    <row r="6" spans="1:12" x14ac:dyDescent="0.25">
      <c r="A6" s="31" t="s">
        <v>338</v>
      </c>
      <c r="B6" s="81" t="s">
        <v>416</v>
      </c>
      <c r="C6" s="78"/>
      <c r="D6" s="78"/>
      <c r="E6" s="78"/>
      <c r="F6" s="78"/>
      <c r="G6" s="78"/>
      <c r="H6" s="78"/>
      <c r="I6" s="78"/>
      <c r="J6" s="78"/>
    </row>
    <row r="7" spans="1:12" x14ac:dyDescent="0.25">
      <c r="A7" s="31" t="s">
        <v>340</v>
      </c>
      <c r="B7" s="81" t="s">
        <v>417</v>
      </c>
      <c r="C7" s="78"/>
      <c r="D7" s="78"/>
      <c r="E7" s="78"/>
      <c r="F7" s="78"/>
      <c r="G7" s="78"/>
      <c r="H7" s="78"/>
      <c r="I7" s="78"/>
      <c r="J7" s="78"/>
    </row>
    <row r="8" spans="1:12" x14ac:dyDescent="0.25">
      <c r="A8" s="31" t="s">
        <v>342</v>
      </c>
      <c r="B8" s="81" t="s">
        <v>418</v>
      </c>
      <c r="C8" s="78"/>
      <c r="D8" s="78"/>
      <c r="E8" s="78"/>
      <c r="F8" s="78"/>
      <c r="G8" s="78"/>
      <c r="H8" s="78"/>
      <c r="I8" s="78"/>
      <c r="J8" s="78"/>
    </row>
    <row r="9" spans="1:12" x14ac:dyDescent="0.25">
      <c r="A9" s="31" t="s">
        <v>373</v>
      </c>
      <c r="B9" s="81" t="s">
        <v>419</v>
      </c>
      <c r="C9" s="78"/>
      <c r="D9" s="78"/>
      <c r="E9" s="78"/>
      <c r="F9" s="78"/>
      <c r="G9" s="78"/>
      <c r="H9" s="78"/>
      <c r="I9" s="78"/>
      <c r="J9" s="78"/>
    </row>
    <row r="10" spans="1:12" x14ac:dyDescent="0.25">
      <c r="A10" s="31" t="s">
        <v>375</v>
      </c>
      <c r="B10" s="81" t="s">
        <v>420</v>
      </c>
      <c r="C10" s="78"/>
      <c r="D10" s="78"/>
      <c r="E10" s="78"/>
      <c r="F10" s="78"/>
      <c r="G10" s="78"/>
      <c r="H10" s="78"/>
      <c r="I10" s="78"/>
      <c r="J10" s="78"/>
    </row>
    <row r="11" spans="1:12" x14ac:dyDescent="0.25">
      <c r="A11" s="31" t="s">
        <v>377</v>
      </c>
      <c r="B11" s="81" t="s">
        <v>421</v>
      </c>
      <c r="C11" s="78"/>
      <c r="D11" s="78"/>
      <c r="E11" s="78"/>
      <c r="F11" s="78"/>
      <c r="G11" s="78"/>
      <c r="H11" s="78"/>
      <c r="I11" s="78"/>
      <c r="J11" s="78"/>
    </row>
    <row r="12" spans="1:12" x14ac:dyDescent="0.25">
      <c r="A12" s="77" t="s">
        <v>422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</row>
    <row r="13" spans="1:12" x14ac:dyDescent="0.25">
      <c r="A13" s="1"/>
      <c r="B13" s="1" t="s">
        <v>423</v>
      </c>
      <c r="C13" s="1" t="s">
        <v>424</v>
      </c>
      <c r="D13" s="1" t="s">
        <v>425</v>
      </c>
      <c r="E13" s="1" t="s">
        <v>426</v>
      </c>
    </row>
    <row r="14" spans="1:12" x14ac:dyDescent="0.25">
      <c r="A14" s="44" t="s">
        <v>10</v>
      </c>
      <c r="B14" s="63">
        <f>SQRT(⑤參數法Parametric!B15)</f>
        <v>1.9648120241241535E-2</v>
      </c>
      <c r="C14" s="64" t="s">
        <v>427</v>
      </c>
      <c r="D14" s="64" t="s">
        <v>427</v>
      </c>
      <c r="E14" s="75" t="s">
        <v>428</v>
      </c>
      <c r="F14" s="78"/>
      <c r="G14" s="78"/>
      <c r="H14" s="78"/>
      <c r="I14" s="78"/>
      <c r="J14" s="78"/>
    </row>
    <row r="15" spans="1:12" x14ac:dyDescent="0.25">
      <c r="A15" s="44" t="s">
        <v>13</v>
      </c>
      <c r="B15" s="63">
        <f>⑤參數法Parametric!B16/$B$14</f>
        <v>5.6552755394121039E-3</v>
      </c>
      <c r="C15" s="63">
        <f>SQRT(⑤參數法Parametric!C16-$B$15^2)</f>
        <v>1.8163085648835526E-2</v>
      </c>
      <c r="D15" s="64" t="s">
        <v>427</v>
      </c>
      <c r="E15" s="75" t="s">
        <v>429</v>
      </c>
      <c r="F15" s="78"/>
      <c r="G15" s="78"/>
      <c r="H15" s="78"/>
      <c r="I15" s="78"/>
      <c r="J15" s="78"/>
    </row>
    <row r="16" spans="1:12" x14ac:dyDescent="0.25">
      <c r="A16" s="44" t="s">
        <v>16</v>
      </c>
      <c r="B16" s="63">
        <f>⑤參數法Parametric!B17/$B$14</f>
        <v>2.7482888047947055E-3</v>
      </c>
      <c r="C16" s="63">
        <f>(⑤參數法Parametric!C17-$B$16*$B$15)/$C$15</f>
        <v>4.1159580540863529E-3</v>
      </c>
      <c r="D16" s="63">
        <f>SQRT(⑤參數法Parametric!D17-$B$16^2-$C$16^2)</f>
        <v>2.1397551452456923E-2</v>
      </c>
      <c r="E16" s="75" t="s">
        <v>430</v>
      </c>
      <c r="F16" s="78"/>
      <c r="G16" s="78"/>
      <c r="H16" s="78"/>
      <c r="I16" s="78"/>
      <c r="J16" s="78"/>
    </row>
    <row r="18" spans="1:12" x14ac:dyDescent="0.25">
      <c r="A18" s="77" t="s">
        <v>431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</row>
    <row r="19" spans="1:12" x14ac:dyDescent="0.25">
      <c r="A19" s="33"/>
      <c r="B19" s="33" t="s">
        <v>10</v>
      </c>
      <c r="C19" s="33" t="s">
        <v>13</v>
      </c>
      <c r="D19" s="33" t="s">
        <v>16</v>
      </c>
    </row>
    <row r="20" spans="1:12" x14ac:dyDescent="0.25">
      <c r="A20" s="44" t="s">
        <v>10</v>
      </c>
      <c r="B20" s="65">
        <f>$B$14^2</f>
        <v>3.8604862901428532E-4</v>
      </c>
      <c r="C20" s="65">
        <f>$B$14*$B$15</f>
        <v>1.1111553379572109E-4</v>
      </c>
      <c r="D20" s="65">
        <f>$B$14*$B$16</f>
        <v>5.3998708894264362E-5</v>
      </c>
    </row>
    <row r="21" spans="1:12" x14ac:dyDescent="0.25">
      <c r="A21" s="44" t="s">
        <v>13</v>
      </c>
      <c r="B21" s="65">
        <f>$B$15*$B$14</f>
        <v>1.1111553379572109E-4</v>
      </c>
      <c r="C21" s="65">
        <f>$B$15^2+$C$15^2</f>
        <v>3.6187982171360787E-4</v>
      </c>
      <c r="D21" s="65">
        <f>$B$15*$B$16+$C$15*$C$16</f>
        <v>9.030082911638045E-5</v>
      </c>
    </row>
    <row r="22" spans="1:12" x14ac:dyDescent="0.25">
      <c r="A22" s="44" t="s">
        <v>16</v>
      </c>
      <c r="B22" s="65">
        <f>$B$16*$B$14</f>
        <v>5.3998708894264362E-5</v>
      </c>
      <c r="C22" s="65">
        <f>$B$16*$B$15+$C$16*$C$15</f>
        <v>9.030082911638045E-5</v>
      </c>
      <c r="D22" s="65">
        <f>$B$16^2+$C$16^2+$D$16^2</f>
        <v>4.8234941021809959E-4</v>
      </c>
    </row>
    <row r="23" spans="1:12" x14ac:dyDescent="0.25">
      <c r="A23" s="80" t="s">
        <v>432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</row>
    <row r="24" spans="1:12" x14ac:dyDescent="0.25">
      <c r="A24" s="77" t="s">
        <v>433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</row>
    <row r="25" spans="1:12" x14ac:dyDescent="0.25">
      <c r="A25" s="1" t="s">
        <v>361</v>
      </c>
      <c r="B25" s="1" t="s">
        <v>434</v>
      </c>
      <c r="C25" s="1" t="s">
        <v>384</v>
      </c>
    </row>
    <row r="26" spans="1:12" x14ac:dyDescent="0.25">
      <c r="A26" s="2" t="s">
        <v>10</v>
      </c>
      <c r="B26" s="66">
        <f>AVERAGE(③回報計算FX調整!$G$16:$G$265)</f>
        <v>1.4322825446948361E-3</v>
      </c>
      <c r="C26" s="2"/>
    </row>
    <row r="27" spans="1:12" x14ac:dyDescent="0.25">
      <c r="A27" s="2" t="s">
        <v>13</v>
      </c>
      <c r="B27" s="66">
        <f>AVERAGE(③回報計算FX調整!$H$16:$H$265)</f>
        <v>2.1942088857774722E-3</v>
      </c>
      <c r="C27" s="2"/>
    </row>
    <row r="28" spans="1:12" x14ac:dyDescent="0.25">
      <c r="A28" s="2" t="s">
        <v>16</v>
      </c>
      <c r="B28" s="66">
        <f>AVERAGE(③回報計算FX調整!$I$16:$I$265)</f>
        <v>-1.6031697052161962E-3</v>
      </c>
      <c r="C28" s="2"/>
    </row>
    <row r="30" spans="1:12" x14ac:dyDescent="0.25">
      <c r="A30" s="77" t="s">
        <v>435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</row>
    <row r="31" spans="1:12" x14ac:dyDescent="0.25">
      <c r="A31" s="1" t="s">
        <v>361</v>
      </c>
      <c r="B31" s="1" t="s">
        <v>436</v>
      </c>
      <c r="C31" s="1" t="s">
        <v>384</v>
      </c>
    </row>
    <row r="32" spans="1:12" x14ac:dyDescent="0.25">
      <c r="A32" s="2" t="s">
        <v>10</v>
      </c>
      <c r="B32" s="49">
        <f>①基本設定!$G$5</f>
        <v>858340</v>
      </c>
      <c r="C32" s="2"/>
    </row>
    <row r="33" spans="1:12" x14ac:dyDescent="0.25">
      <c r="A33" s="2" t="s">
        <v>13</v>
      </c>
      <c r="B33" s="49">
        <f>①基本設定!$G$6</f>
        <v>1040599</v>
      </c>
      <c r="C33" s="2"/>
    </row>
    <row r="34" spans="1:12" x14ac:dyDescent="0.25">
      <c r="A34" s="2" t="s">
        <v>16</v>
      </c>
      <c r="B34" s="49">
        <f>①基本設定!$G$7</f>
        <v>11018</v>
      </c>
      <c r="C34" s="2"/>
    </row>
    <row r="36" spans="1:12" x14ac:dyDescent="0.25">
      <c r="A36" s="77" t="s">
        <v>437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</row>
    <row r="37" spans="1:12" x14ac:dyDescent="0.25">
      <c r="A37" s="80" t="s">
        <v>438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</row>
    <row r="38" spans="1:12" x14ac:dyDescent="0.25">
      <c r="A38" s="1" t="s">
        <v>439</v>
      </c>
      <c r="B38" s="1" t="s">
        <v>440</v>
      </c>
      <c r="C38" s="1" t="s">
        <v>441</v>
      </c>
      <c r="D38" s="1" t="s">
        <v>442</v>
      </c>
      <c r="E38" s="1" t="s">
        <v>443</v>
      </c>
      <c r="F38" s="1" t="s">
        <v>444</v>
      </c>
      <c r="G38" s="1" t="s">
        <v>445</v>
      </c>
      <c r="H38" s="1" t="s">
        <v>446</v>
      </c>
    </row>
    <row r="39" spans="1:12" x14ac:dyDescent="0.25">
      <c r="A39" s="3">
        <v>1</v>
      </c>
      <c r="B39" s="67">
        <v>0.30471707999999997</v>
      </c>
      <c r="C39" s="67">
        <v>-1.0399841059999999</v>
      </c>
      <c r="D39" s="67">
        <v>0.75045119599999999</v>
      </c>
      <c r="E39" s="68">
        <f t="shared" ref="E39:E102" si="0">$B$14*B39+$B$26</f>
        <v>7.4194003720948519E-3</v>
      </c>
      <c r="F39" s="68">
        <f t="shared" ref="F39:F102" si="1">$B$15*B39+$C$15*C39+$B$27</f>
        <v>-1.4971852455963091E-2</v>
      </c>
      <c r="G39" s="68">
        <f t="shared" ref="G39:G102" si="2">$B$16*B39+$C$16*C39+$D$16*D39+$B$28</f>
        <v>1.1011567956132874E-2</v>
      </c>
      <c r="H39" s="69">
        <f t="shared" ref="H39:H102" si="3">E39*$B$32+F39*$B$33+G39*$B$34</f>
        <v>-9090.0011226981678</v>
      </c>
    </row>
    <row r="40" spans="1:12" x14ac:dyDescent="0.25">
      <c r="A40" s="3">
        <v>2</v>
      </c>
      <c r="B40" s="67">
        <v>0.94056471600000002</v>
      </c>
      <c r="C40" s="67">
        <v>-1.9510351889999999</v>
      </c>
      <c r="D40" s="67">
        <v>-1.302179507</v>
      </c>
      <c r="E40" s="68">
        <f t="shared" si="0"/>
        <v>1.9912611179332032E-2</v>
      </c>
      <c r="F40" s="68">
        <f t="shared" si="1"/>
        <v>-2.7923457724292645E-2</v>
      </c>
      <c r="G40" s="68">
        <f t="shared" si="2"/>
        <v>-3.4912058227386418E-2</v>
      </c>
      <c r="H40" s="69">
        <f t="shared" si="3"/>
        <v>-12349.992562322688</v>
      </c>
    </row>
    <row r="41" spans="1:12" x14ac:dyDescent="0.25">
      <c r="A41" s="3">
        <v>3</v>
      </c>
      <c r="B41" s="67">
        <v>0.12784040299999999</v>
      </c>
      <c r="C41" s="67">
        <v>-0.31624259199999999</v>
      </c>
      <c r="D41" s="67">
        <v>-1.6801158E-2</v>
      </c>
      <c r="E41" s="68">
        <f t="shared" si="0"/>
        <v>3.9441061545276105E-3</v>
      </c>
      <c r="F41" s="68">
        <f t="shared" si="1"/>
        <v>-2.82675969449379E-3</v>
      </c>
      <c r="G41" s="68">
        <f t="shared" si="2"/>
        <v>-2.9129722432042551E-3</v>
      </c>
      <c r="H41" s="70">
        <f t="shared" si="3"/>
        <v>411.76563717106114</v>
      </c>
    </row>
    <row r="42" spans="1:12" x14ac:dyDescent="0.25">
      <c r="A42" s="3">
        <v>4</v>
      </c>
      <c r="B42" s="67">
        <v>-0.85304392799999995</v>
      </c>
      <c r="C42" s="67">
        <v>0.87939797500000005</v>
      </c>
      <c r="D42" s="67">
        <v>0.77779193499999999</v>
      </c>
      <c r="E42" s="68">
        <f t="shared" si="0"/>
        <v>-1.532842712371015E-2</v>
      </c>
      <c r="F42" s="68">
        <f t="shared" si="1"/>
        <v>1.3342591165052573E-2</v>
      </c>
      <c r="G42" s="68">
        <f t="shared" si="2"/>
        <v>1.6314827343880314E-2</v>
      </c>
      <c r="H42" s="70">
        <f t="shared" si="3"/>
        <v>907.0416540720455</v>
      </c>
    </row>
    <row r="43" spans="1:12" x14ac:dyDescent="0.25">
      <c r="A43" s="3">
        <v>5</v>
      </c>
      <c r="B43" s="67">
        <v>6.6030697999999999E-2</v>
      </c>
      <c r="C43" s="67">
        <v>1.127241207</v>
      </c>
      <c r="D43" s="67">
        <v>0.46750934199999999</v>
      </c>
      <c r="E43" s="68">
        <f t="shared" si="0"/>
        <v>2.7296616386119433E-3</v>
      </c>
      <c r="F43" s="68">
        <f t="shared" si="1"/>
        <v>2.3041809266664916E-2</v>
      </c>
      <c r="G43" s="68">
        <f t="shared" si="2"/>
        <v>1.3221534447668937E-2</v>
      </c>
      <c r="H43" s="70">
        <f t="shared" si="3"/>
        <v>26465.936318512839</v>
      </c>
    </row>
    <row r="44" spans="1:12" x14ac:dyDescent="0.25">
      <c r="A44" s="3">
        <v>6</v>
      </c>
      <c r="B44" s="67">
        <v>-0.85929246299999995</v>
      </c>
      <c r="C44" s="67">
        <v>0.368750784</v>
      </c>
      <c r="D44" s="67">
        <v>-0.958882601</v>
      </c>
      <c r="E44" s="68">
        <f t="shared" si="0"/>
        <v>-1.5451199090721757E-2</v>
      </c>
      <c r="F44" s="68">
        <f t="shared" si="1"/>
        <v>4.0323253114396412E-3</v>
      </c>
      <c r="G44" s="68">
        <f t="shared" si="2"/>
        <v>-2.2964730593731327E-2</v>
      </c>
      <c r="H44" s="69">
        <f t="shared" si="3"/>
        <v>-9319.3739424530668</v>
      </c>
    </row>
    <row r="45" spans="1:12" x14ac:dyDescent="0.25">
      <c r="A45" s="3">
        <v>7</v>
      </c>
      <c r="B45" s="67">
        <v>0.87845030099999999</v>
      </c>
      <c r="C45" s="67">
        <v>-4.9925911000000003E-2</v>
      </c>
      <c r="D45" s="67">
        <v>-0.184862364</v>
      </c>
      <c r="E45" s="68">
        <f t="shared" si="0"/>
        <v>1.8692179684697656E-2</v>
      </c>
      <c r="F45" s="68">
        <f t="shared" si="1"/>
        <v>6.2552787880228323E-3</v>
      </c>
      <c r="G45" s="68">
        <f t="shared" si="2"/>
        <v>-3.3500294782102258E-3</v>
      </c>
      <c r="H45" s="70">
        <f t="shared" si="3"/>
        <v>22516.571737310238</v>
      </c>
    </row>
    <row r="46" spans="1:12" x14ac:dyDescent="0.25">
      <c r="A46" s="3">
        <v>8</v>
      </c>
      <c r="B46" s="67">
        <v>-0.68092954400000005</v>
      </c>
      <c r="C46" s="67">
        <v>1.2225413389999999</v>
      </c>
      <c r="D46" s="67">
        <v>-0.154529482</v>
      </c>
      <c r="E46" s="68">
        <f t="shared" si="0"/>
        <v>-1.1946703011630934E-2</v>
      </c>
      <c r="F46" s="68">
        <f t="shared" si="1"/>
        <v>2.05484877410303E-2</v>
      </c>
      <c r="G46" s="68">
        <f t="shared" si="2"/>
        <v>-1.7491844191513119E-3</v>
      </c>
      <c r="H46" s="70">
        <f t="shared" si="3"/>
        <v>11109.130217894884</v>
      </c>
    </row>
    <row r="47" spans="1:12" x14ac:dyDescent="0.25">
      <c r="A47" s="3">
        <v>9</v>
      </c>
      <c r="B47" s="67">
        <v>-0.42832782200000002</v>
      </c>
      <c r="C47" s="67">
        <v>-0.35213355000000002</v>
      </c>
      <c r="D47" s="67">
        <v>0.53230918599999999</v>
      </c>
      <c r="E47" s="68">
        <f t="shared" si="0"/>
        <v>-6.9835540046302661E-3</v>
      </c>
      <c r="F47" s="68">
        <f t="shared" si="1"/>
        <v>-6.623934797307298E-3</v>
      </c>
      <c r="G47" s="68">
        <f t="shared" si="2"/>
        <v>7.1604080116130474E-3</v>
      </c>
      <c r="H47" s="69">
        <f t="shared" si="3"/>
        <v>-12808.230295005567</v>
      </c>
    </row>
    <row r="48" spans="1:12" x14ac:dyDescent="0.25">
      <c r="A48" s="3">
        <v>10</v>
      </c>
      <c r="B48" s="67">
        <v>0.36544406400000001</v>
      </c>
      <c r="C48" s="67">
        <v>0.412732612</v>
      </c>
      <c r="D48" s="67">
        <v>0.43082100299999998</v>
      </c>
      <c r="E48" s="68">
        <f t="shared" si="0"/>
        <v>8.6125714556148023E-3</v>
      </c>
      <c r="F48" s="68">
        <f t="shared" si="1"/>
        <v>1.1757393543763624E-2</v>
      </c>
      <c r="G48" s="68">
        <f t="shared" si="2"/>
        <v>1.0318480821690781E-2</v>
      </c>
      <c r="H48" s="70">
        <f t="shared" si="3"/>
        <v>19740.93556915268</v>
      </c>
    </row>
    <row r="49" spans="1:8" x14ac:dyDescent="0.25">
      <c r="A49" s="3">
        <v>11</v>
      </c>
      <c r="B49" s="67">
        <v>2.1416476009999998</v>
      </c>
      <c r="C49" s="67">
        <v>-0.40641501600000002</v>
      </c>
      <c r="D49" s="67">
        <v>-0.51224272900000001</v>
      </c>
      <c r="E49" s="68">
        <f t="shared" si="0"/>
        <v>4.3511632123509308E-2</v>
      </c>
      <c r="F49" s="68">
        <f t="shared" si="1"/>
        <v>6.924065433172524E-3</v>
      </c>
      <c r="G49" s="68">
        <f t="shared" si="2"/>
        <v>-8.3508308879037402E-3</v>
      </c>
      <c r="H49" s="70">
        <f t="shared" si="3"/>
        <v>44460.940427863956</v>
      </c>
    </row>
    <row r="50" spans="1:8" x14ac:dyDescent="0.25">
      <c r="A50" s="3">
        <v>12</v>
      </c>
      <c r="B50" s="67">
        <v>-0.813772728</v>
      </c>
      <c r="C50" s="67">
        <v>0.61597942299999997</v>
      </c>
      <c r="D50" s="67">
        <v>1.1289722929999999</v>
      </c>
      <c r="E50" s="68">
        <f t="shared" si="0"/>
        <v>-1.4556821864092307E-2</v>
      </c>
      <c r="F50" s="68">
        <f t="shared" si="1"/>
        <v>8.7801869003476998E-3</v>
      </c>
      <c r="G50" s="68">
        <f t="shared" si="2"/>
        <v>2.2852936011888241E-2</v>
      </c>
      <c r="H50" s="69">
        <f t="shared" si="3"/>
        <v>-3106.2551215310905</v>
      </c>
    </row>
    <row r="51" spans="1:8" x14ac:dyDescent="0.25">
      <c r="A51" s="3">
        <v>13</v>
      </c>
      <c r="B51" s="67">
        <v>-0.113947458</v>
      </c>
      <c r="C51" s="67">
        <v>-0.84015647699999996</v>
      </c>
      <c r="D51" s="67">
        <v>-0.82448121600000002</v>
      </c>
      <c r="E51" s="68">
        <f t="shared" si="0"/>
        <v>-8.0657081127298363E-4</v>
      </c>
      <c r="F51" s="68">
        <f t="shared" si="1"/>
        <v>-1.371002943640303E-2</v>
      </c>
      <c r="G51" s="68">
        <f t="shared" si="2"/>
        <v>-2.3016258287517626E-2</v>
      </c>
      <c r="H51" s="69">
        <f t="shared" si="3"/>
        <v>-15212.54804545148</v>
      </c>
    </row>
    <row r="52" spans="1:8" x14ac:dyDescent="0.25">
      <c r="A52" s="3">
        <v>14</v>
      </c>
      <c r="B52" s="67">
        <v>0.65059278799999998</v>
      </c>
      <c r="C52" s="67">
        <v>0.74325417100000002</v>
      </c>
      <c r="D52" s="67">
        <v>0.543154268</v>
      </c>
      <c r="E52" s="68">
        <f t="shared" si="0"/>
        <v>1.4215207871403398E-2</v>
      </c>
      <c r="F52" s="68">
        <f t="shared" si="1"/>
        <v>1.9373279532599041E-2</v>
      </c>
      <c r="G52" s="68">
        <f t="shared" si="2"/>
        <v>1.4866221558036682E-2</v>
      </c>
      <c r="H52" s="70">
        <f t="shared" si="3"/>
        <v>32525.092861809873</v>
      </c>
    </row>
    <row r="53" spans="1:8" x14ac:dyDescent="0.25">
      <c r="A53" s="3">
        <v>15</v>
      </c>
      <c r="B53" s="67">
        <v>-0.66550970700000001</v>
      </c>
      <c r="C53" s="67">
        <v>0.232161323</v>
      </c>
      <c r="D53" s="67">
        <v>0.116685809</v>
      </c>
      <c r="E53" s="68">
        <f t="shared" si="0"/>
        <v>-1.1643732200154588E-2</v>
      </c>
      <c r="F53" s="68">
        <f t="shared" si="1"/>
        <v>2.6473341125350246E-3</v>
      </c>
      <c r="G53" s="68">
        <f t="shared" si="2"/>
        <v>2.0174286651753305E-5</v>
      </c>
      <c r="H53" s="69">
        <f t="shared" si="3"/>
        <v>-7239.2455862205252</v>
      </c>
    </row>
    <row r="54" spans="1:8" x14ac:dyDescent="0.25">
      <c r="A54" s="3">
        <v>16</v>
      </c>
      <c r="B54" s="67">
        <v>0.21868859700000001</v>
      </c>
      <c r="C54" s="67">
        <v>0.87142877799999996</v>
      </c>
      <c r="D54" s="67">
        <v>0.223595549</v>
      </c>
      <c r="E54" s="68">
        <f t="shared" si="0"/>
        <v>5.7291023939392491E-3</v>
      </c>
      <c r="F54" s="68">
        <f t="shared" si="1"/>
        <v>1.9258788690814002E-2</v>
      </c>
      <c r="G54" s="68">
        <f t="shared" si="2"/>
        <v>7.3690112792947453E-3</v>
      </c>
      <c r="H54" s="70">
        <f t="shared" si="3"/>
        <v>25039.385767961445</v>
      </c>
    </row>
    <row r="55" spans="1:8" x14ac:dyDescent="0.25">
      <c r="A55" s="3">
        <v>17</v>
      </c>
      <c r="B55" s="67">
        <v>0.67891356300000005</v>
      </c>
      <c r="C55" s="67">
        <v>6.7579069000000005E-2</v>
      </c>
      <c r="D55" s="67">
        <v>0.289119399</v>
      </c>
      <c r="E55" s="68">
        <f t="shared" si="0"/>
        <v>1.4771657863928547E-2</v>
      </c>
      <c r="F55" s="68">
        <f t="shared" si="1"/>
        <v>7.2610965703020572E-3</v>
      </c>
      <c r="G55" s="68">
        <f t="shared" si="2"/>
        <v>6.7272806687441195E-3</v>
      </c>
      <c r="H55" s="70">
        <f t="shared" si="3"/>
        <v>20309.115819292401</v>
      </c>
    </row>
    <row r="56" spans="1:8" x14ac:dyDescent="0.25">
      <c r="A56" s="3">
        <v>18</v>
      </c>
      <c r="B56" s="67">
        <v>0.63128822600000001</v>
      </c>
      <c r="C56" s="67">
        <v>-1.4571558200000001</v>
      </c>
      <c r="D56" s="67">
        <v>-0.31967121599999998</v>
      </c>
      <c r="E56" s="68">
        <f t="shared" si="0"/>
        <v>1.3835909516022897E-2</v>
      </c>
      <c r="F56" s="68">
        <f t="shared" si="1"/>
        <v>-2.0702128213765034E-2</v>
      </c>
      <c r="G56" s="68">
        <f t="shared" si="2"/>
        <v>-1.2705980866718961E-2</v>
      </c>
      <c r="H56" s="69">
        <f t="shared" si="3"/>
        <v>-9806.6938403220956</v>
      </c>
    </row>
    <row r="57" spans="1:8" x14ac:dyDescent="0.25">
      <c r="A57" s="3">
        <v>19</v>
      </c>
      <c r="B57" s="67">
        <v>-0.470372654</v>
      </c>
      <c r="C57" s="67">
        <v>-0.63887784800000003</v>
      </c>
      <c r="D57" s="67">
        <v>-0.275142251</v>
      </c>
      <c r="E57" s="68">
        <f t="shared" si="0"/>
        <v>-7.8096559192890654E-3</v>
      </c>
      <c r="F57" s="68">
        <f t="shared" si="1"/>
        <v>-1.2069871151164806E-2</v>
      </c>
      <c r="G57" s="68">
        <f t="shared" si="2"/>
        <v>-1.1412854500856244E-2</v>
      </c>
      <c r="H57" s="69">
        <f t="shared" si="3"/>
        <v>-19388.982742683958</v>
      </c>
    </row>
    <row r="58" spans="1:8" x14ac:dyDescent="0.25">
      <c r="A58" s="3">
        <v>20</v>
      </c>
      <c r="B58" s="67">
        <v>1.4949413110000001</v>
      </c>
      <c r="C58" s="67">
        <v>-0.86583111599999996</v>
      </c>
      <c r="D58" s="67">
        <v>0.96827835500000003</v>
      </c>
      <c r="E58" s="68">
        <f t="shared" si="0"/>
        <v>3.0805069176822096E-2</v>
      </c>
      <c r="F58" s="68">
        <f t="shared" si="1"/>
        <v>-5.0776508026024094E-3</v>
      </c>
      <c r="G58" s="68">
        <f t="shared" si="2"/>
        <v>1.96604221296643E-2</v>
      </c>
      <c r="H58" s="70">
        <f t="shared" si="3"/>
        <v>21374.043260720853</v>
      </c>
    </row>
    <row r="59" spans="1:8" x14ac:dyDescent="0.25">
      <c r="A59" s="3">
        <v>21</v>
      </c>
      <c r="B59" s="67">
        <v>-1.6828697720000001</v>
      </c>
      <c r="C59" s="67">
        <v>-0.33488502999999997</v>
      </c>
      <c r="D59" s="67">
        <v>0.162753065</v>
      </c>
      <c r="E59" s="68">
        <f t="shared" si="0"/>
        <v>-3.1632945085911891E-2</v>
      </c>
      <c r="F59" s="68">
        <f t="shared" si="1"/>
        <v>-1.3405428854233008E-2</v>
      </c>
      <c r="G59" s="68">
        <f t="shared" si="2"/>
        <v>-4.1240375135700984E-3</v>
      </c>
      <c r="H59" s="69">
        <f t="shared" si="3"/>
        <v>-41146.936590652142</v>
      </c>
    </row>
    <row r="60" spans="1:8" x14ac:dyDescent="0.25">
      <c r="A60" s="3">
        <v>22</v>
      </c>
      <c r="B60" s="67">
        <v>0.58622233099999999</v>
      </c>
      <c r="C60" s="67">
        <v>0.71122658000000005</v>
      </c>
      <c r="D60" s="67">
        <v>0.79334723500000004</v>
      </c>
      <c r="E60" s="68">
        <f t="shared" si="0"/>
        <v>1.2950449392283731E-2</v>
      </c>
      <c r="F60" s="68">
        <f t="shared" si="1"/>
        <v>1.842752698320729E-2</v>
      </c>
      <c r="G60" s="68">
        <f t="shared" si="2"/>
        <v>1.9911005614999987E-2</v>
      </c>
      <c r="H60" s="70">
        <f t="shared" si="3"/>
        <v>30510.934342437413</v>
      </c>
    </row>
    <row r="61" spans="1:8" x14ac:dyDescent="0.25">
      <c r="A61" s="3">
        <v>23</v>
      </c>
      <c r="B61" s="67">
        <v>-0.34872507200000002</v>
      </c>
      <c r="C61" s="67">
        <v>-0.46235179300000001</v>
      </c>
      <c r="D61" s="67">
        <v>0.857975881</v>
      </c>
      <c r="E61" s="68">
        <f t="shared" si="0"/>
        <v>-5.419509601096776E-3</v>
      </c>
      <c r="F61" s="68">
        <f t="shared" si="1"/>
        <v>-8.175662700035528E-3</v>
      </c>
      <c r="G61" s="68">
        <f t="shared" si="2"/>
        <v>1.3893995555899917E-2</v>
      </c>
      <c r="H61" s="69">
        <f t="shared" si="3"/>
        <v>-13006.284257964771</v>
      </c>
    </row>
    <row r="62" spans="1:8" x14ac:dyDescent="0.25">
      <c r="A62" s="3">
        <v>24</v>
      </c>
      <c r="B62" s="67">
        <v>-0.191304325</v>
      </c>
      <c r="C62" s="67">
        <v>-1.275686323</v>
      </c>
      <c r="D62" s="67">
        <v>-1.1332872140000001</v>
      </c>
      <c r="E62" s="68">
        <f t="shared" si="0"/>
        <v>-2.3264878355747131E-3</v>
      </c>
      <c r="F62" s="68">
        <f t="shared" si="1"/>
        <v>-2.2058069729675833E-2</v>
      </c>
      <c r="G62" s="68">
        <f t="shared" si="2"/>
        <v>-3.1629172107538725E-2</v>
      </c>
      <c r="H62" s="69">
        <f t="shared" si="3"/>
        <v>-25299.013089699001</v>
      </c>
    </row>
    <row r="63" spans="1:8" x14ac:dyDescent="0.25">
      <c r="A63" s="3">
        <v>25</v>
      </c>
      <c r="B63" s="67">
        <v>-0.91945228599999995</v>
      </c>
      <c r="C63" s="67">
        <v>0.49716074399999999</v>
      </c>
      <c r="D63" s="67">
        <v>0.142425736</v>
      </c>
      <c r="E63" s="68">
        <f t="shared" si="0"/>
        <v>-1.6633226526717566E-2</v>
      </c>
      <c r="F63" s="68">
        <f t="shared" si="1"/>
        <v>6.0244260376159237E-3</v>
      </c>
      <c r="G63" s="68">
        <f t="shared" si="2"/>
        <v>9.6376465328351407E-4</v>
      </c>
      <c r="H63" s="69">
        <f t="shared" si="3"/>
        <v>-7997.3331876757866</v>
      </c>
    </row>
    <row r="64" spans="1:8" x14ac:dyDescent="0.25">
      <c r="A64" s="3">
        <v>26</v>
      </c>
      <c r="B64" s="67">
        <v>0.690485354</v>
      </c>
      <c r="C64" s="67">
        <v>-0.42725264600000001</v>
      </c>
      <c r="D64" s="67">
        <v>0.15853969100000001</v>
      </c>
      <c r="E64" s="68">
        <f t="shared" si="0"/>
        <v>1.4999021804903062E-2</v>
      </c>
      <c r="F64" s="68">
        <f t="shared" si="1"/>
        <v>-1.6611325844136256E-3</v>
      </c>
      <c r="G64" s="68">
        <f t="shared" si="2"/>
        <v>1.9282906890524295E-3</v>
      </c>
      <c r="H64" s="70">
        <f t="shared" si="3"/>
        <v>11166.93337662424</v>
      </c>
    </row>
    <row r="65" spans="1:8" x14ac:dyDescent="0.25">
      <c r="A65" s="3">
        <v>27</v>
      </c>
      <c r="B65" s="67">
        <v>0.62559039400000005</v>
      </c>
      <c r="C65" s="67">
        <v>-0.30934654</v>
      </c>
      <c r="D65" s="67">
        <v>0.45677523799999997</v>
      </c>
      <c r="E65" s="68">
        <f t="shared" si="0"/>
        <v>1.3723957827772503E-2</v>
      </c>
      <c r="F65" s="68">
        <f t="shared" si="1"/>
        <v>1.1340723746592783E-4</v>
      </c>
      <c r="G65" s="68">
        <f t="shared" si="2"/>
        <v>8.6167476454976234E-3</v>
      </c>
      <c r="H65" s="70">
        <f t="shared" si="3"/>
        <v>11992.772745348151</v>
      </c>
    </row>
    <row r="66" spans="1:8" x14ac:dyDescent="0.25">
      <c r="A66" s="3">
        <v>28</v>
      </c>
      <c r="B66" s="67">
        <v>-0.66192594100000002</v>
      </c>
      <c r="C66" s="67">
        <v>-0.36305384699999999</v>
      </c>
      <c r="D66" s="67">
        <v>-0.38173789400000002</v>
      </c>
      <c r="E66" s="68">
        <f t="shared" si="0"/>
        <v>-1.1573317934870115E-2</v>
      </c>
      <c r="F66" s="68">
        <f t="shared" si="1"/>
        <v>-8.1433428154623969E-3</v>
      </c>
      <c r="G66" s="68">
        <f t="shared" si="2"/>
        <v>-1.3084903992313929E-2</v>
      </c>
      <c r="H66" s="69">
        <f t="shared" si="3"/>
        <v>-18551.965578831085</v>
      </c>
    </row>
    <row r="67" spans="1:8" x14ac:dyDescent="0.25">
      <c r="A67" s="3">
        <v>29</v>
      </c>
      <c r="B67" s="67">
        <v>-1.195839646</v>
      </c>
      <c r="C67" s="67">
        <v>0.48697248100000001</v>
      </c>
      <c r="D67" s="67">
        <v>-0.46940233999999997</v>
      </c>
      <c r="E67" s="68">
        <f t="shared" si="0"/>
        <v>-2.2063718609156874E-2</v>
      </c>
      <c r="F67" s="68">
        <f t="shared" si="1"/>
        <v>4.2763290677233726E-3</v>
      </c>
      <c r="G67" s="68">
        <f t="shared" si="2"/>
        <v>-1.2929384833410974E-2</v>
      </c>
      <c r="H67" s="69">
        <f t="shared" si="3"/>
        <v>-14630.684441534358</v>
      </c>
    </row>
    <row r="68" spans="1:8" x14ac:dyDescent="0.25">
      <c r="A68" s="3">
        <v>30</v>
      </c>
      <c r="B68" s="67">
        <v>1.2494119E-2</v>
      </c>
      <c r="C68" s="67">
        <v>0.48074665900000002</v>
      </c>
      <c r="D68" s="67">
        <v>0.44653117599999997</v>
      </c>
      <c r="E68" s="68">
        <f t="shared" si="0"/>
        <v>1.6777684971152167E-3</v>
      </c>
      <c r="F68" s="68">
        <f t="shared" si="1"/>
        <v>1.0996709314153202E-2</v>
      </c>
      <c r="G68" s="68">
        <f t="shared" si="2"/>
        <v>9.9645746388295296E-3</v>
      </c>
      <c r="H68" s="70">
        <f t="shared" si="3"/>
        <v>12993.050210783007</v>
      </c>
    </row>
    <row r="69" spans="1:8" x14ac:dyDescent="0.25">
      <c r="A69" s="3">
        <v>31</v>
      </c>
      <c r="B69" s="67">
        <v>0.66538510900000003</v>
      </c>
      <c r="C69" s="67">
        <v>-9.8485484999999998E-2</v>
      </c>
      <c r="D69" s="67">
        <v>-0.42329831200000001</v>
      </c>
      <c r="E69" s="68">
        <f t="shared" si="0"/>
        <v>1.4505849173058442E-2</v>
      </c>
      <c r="F69" s="68">
        <f t="shared" si="1"/>
        <v>4.1683447177721222E-3</v>
      </c>
      <c r="G69" s="68">
        <f t="shared" si="2"/>
        <v>-9.2374087952289061E-3</v>
      </c>
      <c r="H69" s="70">
        <f t="shared" si="3"/>
        <v>16686.748154066103</v>
      </c>
    </row>
    <row r="70" spans="1:8" x14ac:dyDescent="0.25">
      <c r="A70" s="3">
        <v>32</v>
      </c>
      <c r="B70" s="67">
        <v>-7.9718210999999997E-2</v>
      </c>
      <c r="C70" s="67">
        <v>-1.687334434</v>
      </c>
      <c r="D70" s="67">
        <v>-1.4471124719999999</v>
      </c>
      <c r="E70" s="68">
        <f t="shared" si="0"/>
        <v>-1.3403045044982744E-4</v>
      </c>
      <c r="F70" s="68">
        <f t="shared" si="1"/>
        <v>-2.8903819405907936E-2</v>
      </c>
      <c r="G70" s="68">
        <f t="shared" si="2"/>
        <v>-3.973191970271743E-2</v>
      </c>
      <c r="H70" s="69">
        <f t="shared" si="3"/>
        <v>-30630.095558092038</v>
      </c>
    </row>
    <row r="71" spans="1:8" x14ac:dyDescent="0.25">
      <c r="A71" s="3">
        <v>33</v>
      </c>
      <c r="B71" s="67">
        <v>-1.3226996120000001</v>
      </c>
      <c r="C71" s="67">
        <v>-0.99724682799999997</v>
      </c>
      <c r="D71" s="67">
        <v>0.39977422699999998</v>
      </c>
      <c r="E71" s="68">
        <f t="shared" si="0"/>
        <v>-2.4556278474924691E-2</v>
      </c>
      <c r="F71" s="68">
        <f t="shared" si="1"/>
        <v>-2.3399101425949562E-2</v>
      </c>
      <c r="G71" s="68">
        <f t="shared" si="2"/>
        <v>-7.8876676300207124E-4</v>
      </c>
      <c r="H71" s="69">
        <f t="shared" si="3"/>
        <v>-45435.408243103302</v>
      </c>
    </row>
    <row r="72" spans="1:8" x14ac:dyDescent="0.25">
      <c r="A72" s="3">
        <v>34</v>
      </c>
      <c r="B72" s="67">
        <v>-0.90547905500000003</v>
      </c>
      <c r="C72" s="67">
        <v>-0.37816255399999998</v>
      </c>
      <c r="D72" s="67">
        <v>1.2992282980000001</v>
      </c>
      <c r="E72" s="68">
        <f t="shared" si="0"/>
        <v>-1.6358678803870923E-2</v>
      </c>
      <c r="F72" s="68">
        <f t="shared" si="1"/>
        <v>-9.7951235228984045E-3</v>
      </c>
      <c r="G72" s="68">
        <f t="shared" si="2"/>
        <v>2.2152115490004089E-2</v>
      </c>
      <c r="H72" s="69">
        <f t="shared" si="3"/>
        <v>-23990.032098850257</v>
      </c>
    </row>
    <row r="73" spans="1:8" x14ac:dyDescent="0.25">
      <c r="A73" s="3">
        <v>35</v>
      </c>
      <c r="B73" s="67">
        <v>-0.35626397100000001</v>
      </c>
      <c r="C73" s="67">
        <v>0.73751556799999995</v>
      </c>
      <c r="D73" s="67">
        <v>-0.93361768000000001</v>
      </c>
      <c r="E73" s="68">
        <f t="shared" si="0"/>
        <v>-5.5676347951353518E-3</v>
      </c>
      <c r="F73" s="68">
        <f t="shared" si="1"/>
        <v>1.3574996393940931E-2</v>
      </c>
      <c r="G73" s="68">
        <f t="shared" si="2"/>
        <v>-1.9523835190866996E-2</v>
      </c>
      <c r="H73" s="70">
        <f t="shared" si="3"/>
        <v>9132.0904063490871</v>
      </c>
    </row>
    <row r="74" spans="1:8" x14ac:dyDescent="0.25">
      <c r="A74" s="3">
        <v>36</v>
      </c>
      <c r="B74" s="67">
        <v>-0.20543755799999999</v>
      </c>
      <c r="C74" s="67">
        <v>-0.95002205500000003</v>
      </c>
      <c r="D74" s="67">
        <v>-0.33903307599999999</v>
      </c>
      <c r="E74" s="68">
        <f t="shared" si="0"/>
        <v>-2.6041792969561956E-3</v>
      </c>
      <c r="F74" s="68">
        <f t="shared" si="1"/>
        <v>-1.6222929064104219E-2</v>
      </c>
      <c r="G74" s="68">
        <f t="shared" si="2"/>
        <v>-1.3332500062583616E-2</v>
      </c>
      <c r="H74" s="69">
        <f t="shared" si="3"/>
        <v>-19263.732504616713</v>
      </c>
    </row>
    <row r="75" spans="1:8" x14ac:dyDescent="0.25">
      <c r="A75" s="3">
        <v>37</v>
      </c>
      <c r="B75" s="67">
        <v>0.84030813699999996</v>
      </c>
      <c r="C75" s="67">
        <v>-1.7273204230000001</v>
      </c>
      <c r="D75" s="67">
        <v>0.434423644</v>
      </c>
      <c r="E75" s="68">
        <f t="shared" si="0"/>
        <v>1.7942757860164499E-2</v>
      </c>
      <c r="F75" s="68">
        <f t="shared" si="1"/>
        <v>-2.4427085847409286E-2</v>
      </c>
      <c r="G75" s="68">
        <f t="shared" si="2"/>
        <v>2.8922636078979325E-3</v>
      </c>
      <c r="H75" s="69">
        <f t="shared" si="3"/>
        <v>-9985.9473636028397</v>
      </c>
    </row>
    <row r="76" spans="1:8" x14ac:dyDescent="0.25">
      <c r="A76" s="3">
        <v>38</v>
      </c>
      <c r="B76" s="67">
        <v>0.23773560199999999</v>
      </c>
      <c r="C76" s="67">
        <v>-0.59414995599999998</v>
      </c>
      <c r="D76" s="67">
        <v>-1.446057854</v>
      </c>
      <c r="E76" s="68">
        <f t="shared" si="0"/>
        <v>6.1033402384147771E-3</v>
      </c>
      <c r="F76" s="68">
        <f t="shared" si="1"/>
        <v>-7.2529273184643757E-3</v>
      </c>
      <c r="G76" s="68">
        <f t="shared" si="2"/>
        <v>-3.4337397242666164E-2</v>
      </c>
      <c r="H76" s="69">
        <f t="shared" si="3"/>
        <v>-2686.9772972454666</v>
      </c>
    </row>
    <row r="77" spans="1:8" x14ac:dyDescent="0.25">
      <c r="A77" s="3">
        <v>39</v>
      </c>
      <c r="B77" s="67">
        <v>7.2129507999999995E-2</v>
      </c>
      <c r="C77" s="67">
        <v>-0.52949270900000001</v>
      </c>
      <c r="D77" s="67">
        <v>0.23267621099999999</v>
      </c>
      <c r="E77" s="68">
        <f t="shared" si="0"/>
        <v>2.8494917908204291E-3</v>
      </c>
      <c r="F77" s="68">
        <f t="shared" si="1"/>
        <v>-7.0151002959612449E-3</v>
      </c>
      <c r="G77" s="68">
        <f t="shared" si="2"/>
        <v>1.3943944305622256E-3</v>
      </c>
      <c r="H77" s="69">
        <f t="shared" si="3"/>
        <v>-4838.7101313082339</v>
      </c>
    </row>
    <row r="78" spans="1:8" x14ac:dyDescent="0.25">
      <c r="A78" s="3">
        <v>40</v>
      </c>
      <c r="B78" s="67">
        <v>2.1852145999999999E-2</v>
      </c>
      <c r="C78" s="67">
        <v>1.6017788909999999</v>
      </c>
      <c r="D78" s="67">
        <v>-0.23935562699999999</v>
      </c>
      <c r="E78" s="68">
        <f t="shared" si="0"/>
        <v>1.8616361368320013E-3</v>
      </c>
      <c r="F78" s="68">
        <f t="shared" si="1"/>
        <v>3.141103598026472E-2</v>
      </c>
      <c r="G78" s="68">
        <f t="shared" si="2"/>
        <v>-7.1883313894288399E-5</v>
      </c>
      <c r="H78" s="70">
        <f t="shared" si="3"/>
        <v>34283.417381363382</v>
      </c>
    </row>
    <row r="79" spans="1:8" x14ac:dyDescent="0.25">
      <c r="A79" s="3">
        <v>41</v>
      </c>
      <c r="B79" s="67">
        <v>-1.023497493</v>
      </c>
      <c r="C79" s="67">
        <v>0.17927563499999999</v>
      </c>
      <c r="D79" s="67">
        <v>0.219996684</v>
      </c>
      <c r="E79" s="68">
        <f t="shared" si="0"/>
        <v>-1.8677519264378432E-2</v>
      </c>
      <c r="F79" s="68">
        <f t="shared" si="1"/>
        <v>-3.3775273778066358E-4</v>
      </c>
      <c r="G79" s="68">
        <f t="shared" si="2"/>
        <v>1.0292449520760587E-3</v>
      </c>
      <c r="H79" s="69">
        <f t="shared" si="3"/>
        <v>-16371.786825686431</v>
      </c>
    </row>
    <row r="80" spans="1:8" x14ac:dyDescent="0.25">
      <c r="A80" s="3">
        <v>42</v>
      </c>
      <c r="B80" s="67">
        <v>1.359187575</v>
      </c>
      <c r="C80" s="67">
        <v>0.83511124599999997</v>
      </c>
      <c r="D80" s="67">
        <v>0.35687105899999999</v>
      </c>
      <c r="E80" s="68">
        <f t="shared" si="0"/>
        <v>2.8137763448696333E-2</v>
      </c>
      <c r="F80" s="68">
        <f t="shared" si="1"/>
        <v>2.5048986219551581E-2</v>
      </c>
      <c r="G80" s="68">
        <f t="shared" si="2"/>
        <v>1.3205719996649448E-2</v>
      </c>
      <c r="H80" s="70">
        <f t="shared" si="3"/>
        <v>50363.218512556254</v>
      </c>
    </row>
    <row r="81" spans="1:8" x14ac:dyDescent="0.25">
      <c r="A81" s="3">
        <v>43</v>
      </c>
      <c r="B81" s="67">
        <v>1.4633028910000001</v>
      </c>
      <c r="C81" s="67">
        <v>-1.188763054</v>
      </c>
      <c r="D81" s="67">
        <v>-0.63975153299999998</v>
      </c>
      <c r="E81" s="68">
        <f t="shared" si="0"/>
        <v>3.0183433696419196E-2</v>
      </c>
      <c r="F81" s="68">
        <f t="shared" si="1"/>
        <v>-1.1122015233972502E-2</v>
      </c>
      <c r="G81" s="68">
        <f t="shared" si="2"/>
        <v>-1.6163605962524454E-2</v>
      </c>
      <c r="H81" s="70">
        <f t="shared" si="3"/>
        <v>14155.999938032806</v>
      </c>
    </row>
    <row r="82" spans="1:8" x14ac:dyDescent="0.25">
      <c r="A82" s="3">
        <v>44</v>
      </c>
      <c r="B82" s="67">
        <v>-0.92657594099999996</v>
      </c>
      <c r="C82" s="67">
        <v>-0.38980980300000001</v>
      </c>
      <c r="D82" s="67">
        <v>-1.3766861480000001</v>
      </c>
      <c r="E82" s="68">
        <f t="shared" si="0"/>
        <v>-1.6773192956714686E-2</v>
      </c>
      <c r="F82" s="68">
        <f t="shared" si="1"/>
        <v>-1.0125982207412284E-2</v>
      </c>
      <c r="G82" s="68">
        <f t="shared" si="2"/>
        <v>-3.5211821474593015E-2</v>
      </c>
      <c r="H82" s="69">
        <f t="shared" si="3"/>
        <v>-25322.153250524563</v>
      </c>
    </row>
    <row r="83" spans="1:8" x14ac:dyDescent="0.25">
      <c r="A83" s="3">
        <v>45</v>
      </c>
      <c r="B83" s="67">
        <v>0.63515094699999997</v>
      </c>
      <c r="C83" s="67">
        <v>-0.222222697</v>
      </c>
      <c r="D83" s="67">
        <v>-1.470806295</v>
      </c>
      <c r="E83" s="68">
        <f t="shared" si="0"/>
        <v>1.3911804722689264E-2</v>
      </c>
      <c r="F83" s="68">
        <f t="shared" si="1"/>
        <v>1.7499126214547806E-3</v>
      </c>
      <c r="G83" s="68">
        <f t="shared" si="2"/>
        <v>-3.2243904141599319E-2</v>
      </c>
      <c r="H83" s="70">
        <f t="shared" si="3"/>
        <v>13406.752453814184</v>
      </c>
    </row>
    <row r="84" spans="1:8" x14ac:dyDescent="0.25">
      <c r="A84" s="3">
        <v>46</v>
      </c>
      <c r="B84" s="67">
        <v>-1.0155790810000001</v>
      </c>
      <c r="C84" s="67">
        <v>0.31351384700000001</v>
      </c>
      <c r="D84" s="67">
        <v>0.83812656799999996</v>
      </c>
      <c r="E84" s="68">
        <f t="shared" si="0"/>
        <v>-1.8521937353282739E-2</v>
      </c>
      <c r="F84" s="68">
        <f t="shared" si="1"/>
        <v>2.1452082058164659E-3</v>
      </c>
      <c r="G84" s="68">
        <f t="shared" si="2"/>
        <v>1.4829991882166191E-2</v>
      </c>
      <c r="H84" s="69">
        <f t="shared" si="3"/>
        <v>-13502.42134349459</v>
      </c>
    </row>
    <row r="85" spans="1:8" x14ac:dyDescent="0.25">
      <c r="A85" s="3">
        <v>47</v>
      </c>
      <c r="B85" s="67">
        <v>1.996730892</v>
      </c>
      <c r="C85" s="67">
        <v>2.9138624659999999</v>
      </c>
      <c r="D85" s="67">
        <v>0.41440943299999999</v>
      </c>
      <c r="E85" s="68">
        <f t="shared" si="0"/>
        <v>4.06642912001123E-2</v>
      </c>
      <c r="F85" s="68">
        <f t="shared" si="1"/>
        <v>6.6411005796978673E-2</v>
      </c>
      <c r="G85" s="68">
        <f t="shared" si="2"/>
        <v>2.474510630188877E-2</v>
      </c>
      <c r="H85" s="70">
        <f t="shared" si="3"/>
        <v>104283.65551126882</v>
      </c>
    </row>
    <row r="86" spans="1:8" x14ac:dyDescent="0.25">
      <c r="A86" s="3">
        <v>48</v>
      </c>
      <c r="B86" s="67">
        <v>-0.98953811999999997</v>
      </c>
      <c r="C86" s="67">
        <v>-2.132046281</v>
      </c>
      <c r="D86" s="67">
        <v>0.26771146200000001</v>
      </c>
      <c r="E86" s="68">
        <f t="shared" si="0"/>
        <v>-1.8010281420357259E-2</v>
      </c>
      <c r="F86" s="68">
        <f t="shared" si="1"/>
        <v>-4.2126441048658626E-2</v>
      </c>
      <c r="G86" s="68">
        <f t="shared" si="2"/>
        <v>-7.3697495217391355E-3</v>
      </c>
      <c r="H86" s="69">
        <f t="shared" si="3"/>
        <v>-59376.877283373091</v>
      </c>
    </row>
    <row r="87" spans="1:8" x14ac:dyDescent="0.25">
      <c r="A87" s="3">
        <v>49</v>
      </c>
      <c r="B87" s="67">
        <v>-0.812941095</v>
      </c>
      <c r="C87" s="67">
        <v>-0.41535726000000001</v>
      </c>
      <c r="D87" s="67">
        <v>-0.61209679900000002</v>
      </c>
      <c r="E87" s="68">
        <f t="shared" si="0"/>
        <v>-1.4540481838911721E-2</v>
      </c>
      <c r="F87" s="68">
        <f t="shared" si="1"/>
        <v>-9.9473664920045647E-3</v>
      </c>
      <c r="G87" s="68">
        <f t="shared" si="2"/>
        <v>-1.864433242566917E-2</v>
      </c>
      <c r="H87" s="69">
        <f t="shared" si="3"/>
        <v>-23037.320060490969</v>
      </c>
    </row>
    <row r="88" spans="1:8" x14ac:dyDescent="0.25">
      <c r="A88" s="3">
        <v>50</v>
      </c>
      <c r="B88" s="67">
        <v>-0.140790886</v>
      </c>
      <c r="C88" s="67">
        <v>1.0659802309999999</v>
      </c>
      <c r="D88" s="67">
        <v>0.157048567</v>
      </c>
      <c r="E88" s="68">
        <f t="shared" si="0"/>
        <v>-1.3339937123040936E-3</v>
      </c>
      <c r="F88" s="68">
        <f t="shared" si="1"/>
        <v>2.075948786762799E-2</v>
      </c>
      <c r="G88" s="68">
        <f t="shared" si="2"/>
        <v>5.7578809891712856E-3</v>
      </c>
      <c r="H88" s="70">
        <f t="shared" si="3"/>
        <v>20520.722485285412</v>
      </c>
    </row>
    <row r="89" spans="1:8" x14ac:dyDescent="0.25">
      <c r="A89" s="3">
        <v>51</v>
      </c>
      <c r="B89" s="67">
        <v>-0.158634837</v>
      </c>
      <c r="C89" s="67">
        <v>-1.0356537530000001</v>
      </c>
      <c r="D89" s="67">
        <v>-1.674682945</v>
      </c>
      <c r="E89" s="68">
        <f t="shared" si="0"/>
        <v>-1.6845938071309153E-3</v>
      </c>
      <c r="F89" s="68">
        <f t="shared" si="1"/>
        <v>-1.7513582645884207E-2</v>
      </c>
      <c r="G89" s="68">
        <f t="shared" si="2"/>
        <v>-4.2135965939888428E-2</v>
      </c>
      <c r="H89" s="69">
        <f t="shared" si="3"/>
        <v>-20134.824908862898</v>
      </c>
    </row>
    <row r="90" spans="1:8" x14ac:dyDescent="0.25">
      <c r="A90" s="3">
        <v>52</v>
      </c>
      <c r="B90" s="67">
        <v>-0.48630790899999998</v>
      </c>
      <c r="C90" s="67">
        <v>-5.3782550999999998E-2</v>
      </c>
      <c r="D90" s="67">
        <v>1.767929914</v>
      </c>
      <c r="E90" s="68">
        <f t="shared" si="0"/>
        <v>-8.1227537256039102E-3</v>
      </c>
      <c r="F90" s="68">
        <f t="shared" si="1"/>
        <v>-1.53285341683874E-3</v>
      </c>
      <c r="G90" s="68">
        <f t="shared" si="2"/>
        <v>3.466832028799096E-2</v>
      </c>
      <c r="H90" s="69">
        <f t="shared" si="3"/>
        <v>-8185.1946126107514</v>
      </c>
    </row>
    <row r="91" spans="1:8" x14ac:dyDescent="0.25">
      <c r="A91" s="3">
        <v>53</v>
      </c>
      <c r="B91" s="67">
        <v>0.130274521</v>
      </c>
      <c r="C91" s="67">
        <v>0.98273951100000001</v>
      </c>
      <c r="D91" s="67">
        <v>-0.49929559899999998</v>
      </c>
      <c r="E91" s="68">
        <f t="shared" si="0"/>
        <v>3.9919319976729813E-3</v>
      </c>
      <c r="F91" s="68">
        <f t="shared" si="1"/>
        <v>2.0780529106585142E-2</v>
      </c>
      <c r="G91" s="68">
        <f t="shared" si="2"/>
        <v>-7.8839263618203682E-3</v>
      </c>
      <c r="H91" s="70">
        <f t="shared" si="3"/>
        <v>24963.767618011483</v>
      </c>
    </row>
    <row r="92" spans="1:8" x14ac:dyDescent="0.25">
      <c r="A92" s="3">
        <v>54</v>
      </c>
      <c r="B92" s="67">
        <v>-1.184943766</v>
      </c>
      <c r="C92" s="67">
        <v>-0.96511676199999996</v>
      </c>
      <c r="D92" s="67">
        <v>-0.72522606499999998</v>
      </c>
      <c r="E92" s="68">
        <f t="shared" si="0"/>
        <v>-2.1849635048782734E-2</v>
      </c>
      <c r="F92" s="68">
        <f t="shared" si="1"/>
        <v>-2.2036473018993998E-2</v>
      </c>
      <c r="G92" s="68">
        <f t="shared" si="2"/>
        <v>-2.4350179541813285E-2</v>
      </c>
      <c r="H92" s="69">
        <f t="shared" si="3"/>
        <v>-41953.837813056009</v>
      </c>
    </row>
    <row r="93" spans="1:8" x14ac:dyDescent="0.25">
      <c r="A93" s="3">
        <v>55</v>
      </c>
      <c r="B93" s="67">
        <v>2.1284697320000001</v>
      </c>
      <c r="C93" s="67">
        <v>-0.82138667899999995</v>
      </c>
      <c r="D93" s="67">
        <v>0.83848920400000004</v>
      </c>
      <c r="E93" s="68">
        <f t="shared" si="0"/>
        <v>4.3252711768873985E-2</v>
      </c>
      <c r="F93" s="68">
        <f t="shared" si="1"/>
        <v>-6.8762490395346326E-4</v>
      </c>
      <c r="G93" s="68">
        <f t="shared" si="2"/>
        <v>1.8807302598554149E-2</v>
      </c>
      <c r="H93" s="70">
        <f t="shared" si="3"/>
        <v>36617.209692297096</v>
      </c>
    </row>
    <row r="94" spans="1:8" x14ac:dyDescent="0.25">
      <c r="A94" s="3">
        <v>56</v>
      </c>
      <c r="B94" s="67">
        <v>-0.902927178</v>
      </c>
      <c r="C94" s="67">
        <v>0.93157301299999995</v>
      </c>
      <c r="D94" s="67">
        <v>0.38495096600000001</v>
      </c>
      <c r="E94" s="68">
        <f t="shared" si="0"/>
        <v>-1.6308539217734064E-2</v>
      </c>
      <c r="F94" s="68">
        <f t="shared" si="1"/>
        <v>1.4008147325426445E-2</v>
      </c>
      <c r="G94" s="68">
        <f t="shared" si="2"/>
        <v>7.9866491874263628E-3</v>
      </c>
      <c r="H94" s="70">
        <f t="shared" si="3"/>
        <v>666.58944728864037</v>
      </c>
    </row>
    <row r="95" spans="1:8" x14ac:dyDescent="0.25">
      <c r="A95" s="3">
        <v>57</v>
      </c>
      <c r="B95" s="67">
        <v>-0.156637898</v>
      </c>
      <c r="C95" s="67">
        <v>-4.0762526E-2</v>
      </c>
      <c r="D95" s="67">
        <v>-0.654787695</v>
      </c>
      <c r="E95" s="68">
        <f t="shared" si="0"/>
        <v>-1.6453577095444909E-3</v>
      </c>
      <c r="F95" s="68">
        <f t="shared" si="1"/>
        <v>5.6800516167225925E-4</v>
      </c>
      <c r="G95" s="68">
        <f t="shared" si="2"/>
        <v>-1.6212286128088949E-2</v>
      </c>
      <c r="H95" s="69">
        <f t="shared" si="3"/>
        <v>-999.83770173871096</v>
      </c>
    </row>
    <row r="96" spans="1:8" x14ac:dyDescent="0.25">
      <c r="A96" s="3">
        <v>58</v>
      </c>
      <c r="B96" s="67">
        <v>0.446072201</v>
      </c>
      <c r="C96" s="67">
        <v>-0.45498348</v>
      </c>
      <c r="D96" s="67">
        <v>-1.225605764</v>
      </c>
      <c r="E96" s="68">
        <f t="shared" si="0"/>
        <v>1.0196762786218099E-2</v>
      </c>
      <c r="F96" s="68">
        <f t="shared" si="1"/>
        <v>-3.5470338231407546E-3</v>
      </c>
      <c r="G96" s="68">
        <f t="shared" si="2"/>
        <v>-2.8474889783677775E-2</v>
      </c>
      <c r="H96" s="70">
        <f t="shared" si="3"/>
        <v>4747.5131849594354</v>
      </c>
    </row>
    <row r="97" spans="1:8" x14ac:dyDescent="0.25">
      <c r="A97" s="3">
        <v>59</v>
      </c>
      <c r="B97" s="67">
        <v>-1.2779375740000001</v>
      </c>
      <c r="C97" s="67">
        <v>0.17258791800000001</v>
      </c>
      <c r="D97" s="67">
        <v>1.5790912560000001</v>
      </c>
      <c r="E97" s="68">
        <f t="shared" si="0"/>
        <v>-2.3676788570057665E-2</v>
      </c>
      <c r="F97" s="68">
        <f t="shared" si="1"/>
        <v>-1.8981510807721713E-3</v>
      </c>
      <c r="G97" s="68">
        <f t="shared" si="2"/>
        <v>2.9383739796448025E-2</v>
      </c>
      <c r="H97" s="69">
        <f t="shared" si="3"/>
        <v>-21974.198772646472</v>
      </c>
    </row>
    <row r="98" spans="1:8" x14ac:dyDescent="0.25">
      <c r="A98" s="3">
        <v>60</v>
      </c>
      <c r="B98" s="67">
        <v>0.159991614</v>
      </c>
      <c r="C98" s="67">
        <v>-0.118638326</v>
      </c>
      <c r="D98" s="67">
        <v>0.28582614000000001</v>
      </c>
      <c r="E98" s="68">
        <f t="shared" si="0"/>
        <v>4.5758170141571384E-3</v>
      </c>
      <c r="F98" s="68">
        <f t="shared" si="1"/>
        <v>9.4416747057026493E-4</v>
      </c>
      <c r="G98" s="68">
        <f t="shared" si="2"/>
        <v>4.4642026200851738E-3</v>
      </c>
      <c r="H98" s="70">
        <f t="shared" si="3"/>
        <v>4959.2930861076848</v>
      </c>
    </row>
    <row r="99" spans="1:8" x14ac:dyDescent="0.25">
      <c r="A99" s="3">
        <v>61</v>
      </c>
      <c r="B99" s="67">
        <v>1.3060017420000001</v>
      </c>
      <c r="C99" s="67">
        <v>0.21938250100000001</v>
      </c>
      <c r="D99" s="67">
        <v>-0.410927231</v>
      </c>
      <c r="E99" s="68">
        <f t="shared" si="0"/>
        <v>2.7092761806781746E-2</v>
      </c>
      <c r="F99" s="68">
        <f t="shared" si="1"/>
        <v>1.3564671747258415E-2</v>
      </c>
      <c r="G99" s="68">
        <f t="shared" si="2"/>
        <v>-5.9037671352568074E-3</v>
      </c>
      <c r="H99" s="70">
        <f t="shared" si="3"/>
        <v>37305.137318462141</v>
      </c>
    </row>
    <row r="100" spans="1:8" x14ac:dyDescent="0.25">
      <c r="A100" s="3">
        <v>62</v>
      </c>
      <c r="B100" s="67">
        <v>1.1062887100000001</v>
      </c>
      <c r="C100" s="67">
        <v>0.42875643800000002</v>
      </c>
      <c r="D100" s="67">
        <v>1.5357559919999999</v>
      </c>
      <c r="E100" s="68">
        <f t="shared" si="0"/>
        <v>2.3168776140302827E-2</v>
      </c>
      <c r="F100" s="68">
        <f t="shared" si="1"/>
        <v>1.6238116272851884E-2</v>
      </c>
      <c r="G100" s="68">
        <f t="shared" si="2"/>
        <v>3.6063392542814071E-2</v>
      </c>
      <c r="H100" s="70">
        <f t="shared" si="3"/>
        <v>37181.401326717649</v>
      </c>
    </row>
    <row r="101" spans="1:8" x14ac:dyDescent="0.25">
      <c r="A101" s="3">
        <v>63</v>
      </c>
      <c r="B101" s="67">
        <v>0.183234437</v>
      </c>
      <c r="C101" s="67">
        <v>-1.224469032</v>
      </c>
      <c r="D101" s="67">
        <v>-1.3681591989999999</v>
      </c>
      <c r="E101" s="68">
        <f t="shared" si="0"/>
        <v>5.0324947952070324E-3</v>
      </c>
      <c r="F101" s="68">
        <f t="shared" si="1"/>
        <v>-1.9009685787241208E-2</v>
      </c>
      <c r="G101" s="68">
        <f t="shared" si="2"/>
        <v>-3.5414708583350704E-2</v>
      </c>
      <c r="H101" s="69">
        <f t="shared" si="3"/>
        <v>-15852.067697170767</v>
      </c>
    </row>
    <row r="102" spans="1:8" x14ac:dyDescent="0.25">
      <c r="A102" s="3">
        <v>64</v>
      </c>
      <c r="B102" s="67">
        <v>1.6509279320000001</v>
      </c>
      <c r="C102" s="67">
        <v>1.7236657209999999</v>
      </c>
      <c r="D102" s="67">
        <v>-0.17951921300000001</v>
      </c>
      <c r="E102" s="68">
        <f t="shared" si="0"/>
        <v>3.3869913062255071E-2</v>
      </c>
      <c r="F102" s="68">
        <f t="shared" si="1"/>
        <v>4.2837749357434125E-2</v>
      </c>
      <c r="G102" s="68">
        <f t="shared" si="2"/>
        <v>6.1873212578527157E-3</v>
      </c>
      <c r="H102" s="70">
        <f t="shared" si="3"/>
        <v>73716.99222707162</v>
      </c>
    </row>
    <row r="103" spans="1:8" x14ac:dyDescent="0.25">
      <c r="A103" s="3">
        <v>65</v>
      </c>
      <c r="B103" s="67">
        <v>-0.38318732100000003</v>
      </c>
      <c r="C103" s="67">
        <v>1.4614442919999999</v>
      </c>
      <c r="D103" s="67">
        <v>-1.1070456820000001</v>
      </c>
      <c r="E103" s="68">
        <f t="shared" ref="E103:E166" si="4">$B$14*B103+$B$26</f>
        <v>-6.096628013232382E-3</v>
      </c>
      <c r="F103" s="68">
        <f t="shared" ref="F103:F166" si="5">$B$15*B103+$C$15*C103+$B$27</f>
        <v>2.6571516848911111E-2</v>
      </c>
      <c r="G103" s="68">
        <f t="shared" ref="G103:G166" si="6">$B$16*B103+$C$16*C103+$D$16*D103+$B$28</f>
        <v>-2.0329102666219109E-2</v>
      </c>
      <c r="H103" s="70">
        <f t="shared" ref="H103:H166" si="7">E103*$B$32+F103*$B$33+G103*$B$34</f>
        <v>22193.328119405767</v>
      </c>
    </row>
    <row r="104" spans="1:8" x14ac:dyDescent="0.25">
      <c r="A104" s="3">
        <v>66</v>
      </c>
      <c r="B104" s="67">
        <v>-0.89472701899999996</v>
      </c>
      <c r="C104" s="67">
        <v>0.64332679500000001</v>
      </c>
      <c r="D104" s="67">
        <v>-0.394605123</v>
      </c>
      <c r="E104" s="68">
        <f t="shared" si="4"/>
        <v>-1.6147421507704762E-2</v>
      </c>
      <c r="F104" s="68">
        <f t="shared" si="5"/>
        <v>8.8190807385515168E-3</v>
      </c>
      <c r="G104" s="68">
        <f t="shared" si="6"/>
        <v>-9.857815274387019E-3</v>
      </c>
      <c r="H104" s="69">
        <f t="shared" si="7"/>
        <v>-4791.464588160532</v>
      </c>
    </row>
    <row r="105" spans="1:8" x14ac:dyDescent="0.25">
      <c r="A105" s="3">
        <v>67</v>
      </c>
      <c r="B105" s="67">
        <v>-5.1218670000000004E-3</v>
      </c>
      <c r="C105" s="67">
        <v>-0.163442899</v>
      </c>
      <c r="D105" s="67">
        <v>0.337574549</v>
      </c>
      <c r="E105" s="68">
        <f t="shared" si="4"/>
        <v>1.3316474860191891E-3</v>
      </c>
      <c r="F105" s="68">
        <f t="shared" si="5"/>
        <v>-8.033840566147245E-4</v>
      </c>
      <c r="G105" s="68">
        <f t="shared" si="6"/>
        <v>4.9332985897932256E-3</v>
      </c>
      <c r="H105" s="70">
        <f t="shared" si="7"/>
        <v>361.36074108282696</v>
      </c>
    </row>
    <row r="106" spans="1:8" x14ac:dyDescent="0.25">
      <c r="A106" s="3">
        <v>68</v>
      </c>
      <c r="B106" s="67">
        <v>1.4074818609999999</v>
      </c>
      <c r="C106" s="67">
        <v>9.0584907000000006E-2</v>
      </c>
      <c r="D106" s="67">
        <v>0.64393879300000001</v>
      </c>
      <c r="E106" s="68">
        <f t="shared" si="4"/>
        <v>2.9086655386989242E-2</v>
      </c>
      <c r="F106" s="68">
        <f t="shared" si="5"/>
        <v>1.17992080507898E-2</v>
      </c>
      <c r="G106" s="68">
        <f t="shared" si="6"/>
        <v>1.6416554069317545E-2</v>
      </c>
      <c r="H106" s="70">
        <f t="shared" si="7"/>
        <v>37425.361476047903</v>
      </c>
    </row>
    <row r="107" spans="1:8" x14ac:dyDescent="0.25">
      <c r="A107" s="3">
        <v>69</v>
      </c>
      <c r="B107" s="67">
        <v>-2.0501721009999998</v>
      </c>
      <c r="C107" s="67">
        <v>-4.8718402000000001E-2</v>
      </c>
      <c r="D107" s="67">
        <v>-0.84323026999999995</v>
      </c>
      <c r="E107" s="68">
        <f t="shared" si="4"/>
        <v>-3.8849745410991947E-2</v>
      </c>
      <c r="F107" s="68">
        <f t="shared" si="5"/>
        <v>-1.0284955756793349E-2</v>
      </c>
      <c r="G107" s="68">
        <f t="shared" si="6"/>
        <v>-2.5481220725985198E-2</v>
      </c>
      <c r="H107" s="69">
        <f t="shared" si="7"/>
        <v>-44329.557241593131</v>
      </c>
    </row>
    <row r="108" spans="1:8" x14ac:dyDescent="0.25">
      <c r="A108" s="3">
        <v>70</v>
      </c>
      <c r="B108" s="67">
        <v>-1.21881306</v>
      </c>
      <c r="C108" s="67">
        <v>-0.87815236699999999</v>
      </c>
      <c r="D108" s="67">
        <v>-0.33412344100000002</v>
      </c>
      <c r="E108" s="68">
        <f t="shared" si="4"/>
        <v>-2.2515103009780699E-2</v>
      </c>
      <c r="F108" s="68">
        <f t="shared" si="5"/>
        <v>-2.0648471454105196E-2</v>
      </c>
      <c r="G108" s="68">
        <f t="shared" si="6"/>
        <v>-1.5716681821089873E-2</v>
      </c>
      <c r="H108" s="69">
        <f t="shared" si="7"/>
        <v>-40985.558664390344</v>
      </c>
    </row>
    <row r="109" spans="1:8" x14ac:dyDescent="0.25">
      <c r="A109" s="3">
        <v>71</v>
      </c>
      <c r="B109" s="67">
        <v>0.91590254199999999</v>
      </c>
      <c r="C109" s="67">
        <v>-1.3263927179999999</v>
      </c>
      <c r="D109" s="67">
        <v>3.0631492999999999E-2</v>
      </c>
      <c r="E109" s="68">
        <f t="shared" si="4"/>
        <v>1.9428045819169612E-2</v>
      </c>
      <c r="F109" s="68">
        <f t="shared" si="5"/>
        <v>-1.6717494412990305E-2</v>
      </c>
      <c r="G109" s="68">
        <f t="shared" si="6"/>
        <v>-3.8899428457550983E-3</v>
      </c>
      <c r="H109" s="69">
        <f t="shared" si="7"/>
        <v>-763.19851051178102</v>
      </c>
    </row>
    <row r="110" spans="1:8" x14ac:dyDescent="0.25">
      <c r="A110" s="3">
        <v>72</v>
      </c>
      <c r="B110" s="67">
        <v>-0.48416943299999998</v>
      </c>
      <c r="C110" s="67">
        <v>-0.327673094</v>
      </c>
      <c r="D110" s="67">
        <v>1.002757825</v>
      </c>
      <c r="E110" s="68">
        <f t="shared" si="4"/>
        <v>-8.0807366920229006E-3</v>
      </c>
      <c r="F110" s="68">
        <f t="shared" si="5"/>
        <v>-6.4954571367393903E-3</v>
      </c>
      <c r="G110" s="68">
        <f t="shared" si="6"/>
        <v>1.7174066306880707E-2</v>
      </c>
      <c r="H110" s="69">
        <f t="shared" si="7"/>
        <v>-13505.961870695599</v>
      </c>
    </row>
    <row r="111" spans="1:8" x14ac:dyDescent="0.25">
      <c r="A111" s="3">
        <v>73</v>
      </c>
      <c r="B111" s="67">
        <v>0.53811543699999997</v>
      </c>
      <c r="C111" s="67">
        <v>1.3373981070000001</v>
      </c>
      <c r="D111" s="67">
        <v>-0.15450567900000001</v>
      </c>
      <c r="E111" s="68">
        <f t="shared" si="4"/>
        <v>1.2005239354539069E-2</v>
      </c>
      <c r="F111" s="68">
        <f t="shared" si="5"/>
        <v>2.9528676318055128E-2</v>
      </c>
      <c r="G111" s="68">
        <f t="shared" si="6"/>
        <v>2.0743582199053137E-3</v>
      </c>
      <c r="H111" s="70">
        <f t="shared" si="7"/>
        <v>41054.943474333828</v>
      </c>
    </row>
    <row r="112" spans="1:8" x14ac:dyDescent="0.25">
      <c r="A112" s="3">
        <v>74</v>
      </c>
      <c r="B112" s="67">
        <v>-0.69594261199999996</v>
      </c>
      <c r="C112" s="67">
        <v>-0.22385881699999999</v>
      </c>
      <c r="D112" s="67">
        <v>0.24249679099999999</v>
      </c>
      <c r="E112" s="68">
        <f t="shared" si="4"/>
        <v>-1.2241681576884867E-2</v>
      </c>
      <c r="F112" s="68">
        <f t="shared" si="5"/>
        <v>-5.8075052111186947E-3</v>
      </c>
      <c r="G112" s="68">
        <f t="shared" si="6"/>
        <v>7.5162306711341778E-4</v>
      </c>
      <c r="H112" s="69">
        <f t="shared" si="7"/>
        <v>-16542.527696934801</v>
      </c>
    </row>
    <row r="113" spans="1:8" x14ac:dyDescent="0.25">
      <c r="A113" s="3">
        <v>75</v>
      </c>
      <c r="B113" s="67">
        <v>0.17657335800000001</v>
      </c>
      <c r="C113" s="67">
        <v>-1.0843880720000001</v>
      </c>
      <c r="D113" s="67">
        <v>9.0489782000000005E-2</v>
      </c>
      <c r="E113" s="68">
        <f t="shared" si="4"/>
        <v>4.9016171140786238E-3</v>
      </c>
      <c r="F113" s="68">
        <f t="shared" si="5"/>
        <v>-1.6503053550124897E-2</v>
      </c>
      <c r="G113" s="68">
        <f t="shared" si="6"/>
        <v>-3.6449311746367501E-3</v>
      </c>
      <c r="H113" s="69">
        <f t="shared" si="7"/>
        <v>-13005.966839190318</v>
      </c>
    </row>
    <row r="114" spans="1:8" x14ac:dyDescent="0.25">
      <c r="A114" s="3">
        <v>76</v>
      </c>
      <c r="B114" s="67">
        <v>0.22822833000000001</v>
      </c>
      <c r="C114" s="67">
        <v>2.517474038</v>
      </c>
      <c r="D114" s="67">
        <v>1.8768446110000001</v>
      </c>
      <c r="E114" s="68">
        <f t="shared" si="4"/>
        <v>5.9165402149925893E-3</v>
      </c>
      <c r="F114" s="68">
        <f t="shared" si="5"/>
        <v>4.9209999548741175E-2</v>
      </c>
      <c r="G114" s="68">
        <f t="shared" si="6"/>
        <v>4.954576433385819E-2</v>
      </c>
      <c r="H114" s="70">
        <f t="shared" si="7"/>
        <v>56832.1746799877</v>
      </c>
    </row>
    <row r="115" spans="1:8" x14ac:dyDescent="0.25">
      <c r="A115" s="3">
        <v>77</v>
      </c>
      <c r="B115" s="67">
        <v>-0.85324335100000004</v>
      </c>
      <c r="C115" s="67">
        <v>-0.28738336199999998</v>
      </c>
      <c r="D115" s="67">
        <v>-1.4634420020000001</v>
      </c>
      <c r="E115" s="68">
        <f t="shared" si="4"/>
        <v>-1.533234541079302E-2</v>
      </c>
      <c r="F115" s="68">
        <f t="shared" si="5"/>
        <v>-7.8508859843551479E-3</v>
      </c>
      <c r="G115" s="68">
        <f t="shared" si="6"/>
        <v>-3.6445062253450906E-2</v>
      </c>
      <c r="H115" s="69">
        <f t="shared" si="7"/>
        <v>-21731.541160242585</v>
      </c>
    </row>
    <row r="116" spans="1:8" x14ac:dyDescent="0.25">
      <c r="A116" s="3">
        <v>78</v>
      </c>
      <c r="B116" s="67">
        <v>-0.59070701400000003</v>
      </c>
      <c r="C116" s="67">
        <v>0.31560500400000002</v>
      </c>
      <c r="D116" s="67">
        <v>1.2058536209999999</v>
      </c>
      <c r="E116" s="68">
        <f t="shared" si="4"/>
        <v>-1.0173999893721912E-2</v>
      </c>
      <c r="F116" s="68">
        <f t="shared" si="5"/>
        <v>4.585958677397188E-3</v>
      </c>
      <c r="G116" s="68">
        <f t="shared" si="6"/>
        <v>2.3874728678896638E-2</v>
      </c>
      <c r="H116" s="69">
        <f t="shared" si="7"/>
        <v>-3697.555294452347</v>
      </c>
    </row>
    <row r="117" spans="1:8" x14ac:dyDescent="0.25">
      <c r="A117" s="3">
        <v>79</v>
      </c>
      <c r="B117" s="67">
        <v>-0.72908383799999998</v>
      </c>
      <c r="C117" s="67">
        <v>-0.65414644</v>
      </c>
      <c r="D117" s="67">
        <v>-2.14728903</v>
      </c>
      <c r="E117" s="68">
        <f t="shared" si="4"/>
        <v>-1.2892844370275028E-2</v>
      </c>
      <c r="F117" s="68">
        <f t="shared" si="5"/>
        <v>-1.3810278926045475E-2</v>
      </c>
      <c r="G117" s="68">
        <f t="shared" si="6"/>
        <v>-5.2246069465939585E-2</v>
      </c>
      <c r="H117" s="69">
        <f t="shared" si="7"/>
        <v>-26013.053670321588</v>
      </c>
    </row>
    <row r="118" spans="1:8" x14ac:dyDescent="0.25">
      <c r="A118" s="3">
        <v>80</v>
      </c>
      <c r="B118" s="67">
        <v>-0.16266592099999999</v>
      </c>
      <c r="C118" s="67">
        <v>-1.0624144120000001</v>
      </c>
      <c r="D118" s="67">
        <v>-0.52943942700000002</v>
      </c>
      <c r="E118" s="68">
        <f t="shared" si="4"/>
        <v>-1.7637970302654604E-3</v>
      </c>
      <c r="F118" s="68">
        <f t="shared" si="5"/>
        <v>-1.8022435678063005E-2</v>
      </c>
      <c r="G118" s="68">
        <f t="shared" si="6"/>
        <v>-1.7751783170862744E-2</v>
      </c>
      <c r="H118" s="69">
        <f t="shared" si="7"/>
        <v>-20463.655234091304</v>
      </c>
    </row>
    <row r="119" spans="1:8" x14ac:dyDescent="0.25">
      <c r="A119" s="3">
        <v>81</v>
      </c>
      <c r="B119" s="67">
        <v>-0.87686077799999995</v>
      </c>
      <c r="C119" s="67">
        <v>-9.4262553999999998E-2</v>
      </c>
      <c r="D119" s="67">
        <v>-1.7577283909999999</v>
      </c>
      <c r="E119" s="68">
        <f t="shared" si="4"/>
        <v>-1.5796383456277763E-2</v>
      </c>
      <c r="F119" s="68">
        <f t="shared" si="5"/>
        <v>-4.4767792652957786E-3</v>
      </c>
      <c r="G119" s="68">
        <f t="shared" si="6"/>
        <v>-4.2012100768959046E-2</v>
      </c>
      <c r="H119" s="69">
        <f t="shared" si="7"/>
        <v>-18680.089128821368</v>
      </c>
    </row>
    <row r="120" spans="1:8" x14ac:dyDescent="0.25">
      <c r="A120" s="3">
        <v>82</v>
      </c>
      <c r="B120" s="67">
        <v>-1.467045245</v>
      </c>
      <c r="C120" s="67">
        <v>2.1292471119999998</v>
      </c>
      <c r="D120" s="67">
        <v>-1.287422581</v>
      </c>
      <c r="E120" s="68">
        <f t="shared" si="4"/>
        <v>-2.7392398828406814E-2</v>
      </c>
      <c r="F120" s="68">
        <f t="shared" si="5"/>
        <v>3.2571361459309826E-2</v>
      </c>
      <c r="G120" s="68">
        <f t="shared" si="6"/>
        <v>-2.4418832846402883E-2</v>
      </c>
      <c r="H120" s="70">
        <f t="shared" si="7"/>
        <v>10112.687852519975</v>
      </c>
    </row>
    <row r="121" spans="1:8" x14ac:dyDescent="0.25">
      <c r="A121" s="3">
        <v>83</v>
      </c>
      <c r="B121" s="67">
        <v>-1.096785578</v>
      </c>
      <c r="C121" s="67">
        <v>1.836913528</v>
      </c>
      <c r="D121" s="67">
        <v>2.9050671690000001</v>
      </c>
      <c r="E121" s="68">
        <f t="shared" si="4"/>
        <v>-2.0117492370708763E-2</v>
      </c>
      <c r="F121" s="68">
        <f t="shared" si="5"/>
        <v>2.9355601973102739E-2</v>
      </c>
      <c r="G121" s="68">
        <f t="shared" si="6"/>
        <v>6.5104530021258766E-2</v>
      </c>
      <c r="H121" s="70">
        <f t="shared" si="7"/>
        <v>13997.083367908808</v>
      </c>
    </row>
    <row r="122" spans="1:8" x14ac:dyDescent="0.25">
      <c r="A122" s="3">
        <v>84</v>
      </c>
      <c r="B122" s="67">
        <v>-1.171566629</v>
      </c>
      <c r="C122" s="67">
        <v>-0.36824895699999999</v>
      </c>
      <c r="D122" s="67">
        <v>0.34155555100000001</v>
      </c>
      <c r="E122" s="68">
        <f t="shared" si="4"/>
        <v>-2.1586799452523175E-2</v>
      </c>
      <c r="F122" s="68">
        <f t="shared" si="5"/>
        <v>-1.1119860560083072E-2</v>
      </c>
      <c r="G122" s="68">
        <f t="shared" si="6"/>
        <v>9.6978206015375826E-4</v>
      </c>
      <c r="H122" s="69">
        <f t="shared" si="7"/>
        <v>-30089.444162301854</v>
      </c>
    </row>
    <row r="123" spans="1:8" x14ac:dyDescent="0.25">
      <c r="A123" s="3">
        <v>85</v>
      </c>
      <c r="B123" s="67">
        <v>1.7286976439999999</v>
      </c>
      <c r="C123" s="67">
        <v>-0.986857078</v>
      </c>
      <c r="D123" s="67">
        <v>-0.24527784599999999</v>
      </c>
      <c r="E123" s="68">
        <f t="shared" si="4"/>
        <v>3.539794171475779E-2</v>
      </c>
      <c r="F123" s="68">
        <f t="shared" si="5"/>
        <v>-5.9538992439435567E-3</v>
      </c>
      <c r="G123" s="68">
        <f t="shared" si="6"/>
        <v>-6.1624169916950425E-3</v>
      </c>
      <c r="H123" s="70">
        <f t="shared" si="7"/>
        <v>24119.950181682285</v>
      </c>
    </row>
    <row r="124" spans="1:8" x14ac:dyDescent="0.25">
      <c r="A124" s="3">
        <v>86</v>
      </c>
      <c r="B124" s="67">
        <v>0.77733757599999997</v>
      </c>
      <c r="C124" s="67">
        <v>0.434766074</v>
      </c>
      <c r="D124" s="67">
        <v>-0.37615607099999998</v>
      </c>
      <c r="E124" s="68">
        <f t="shared" si="4"/>
        <v>1.6705504705978064E-2</v>
      </c>
      <c r="F124" s="68">
        <f t="shared" si="5"/>
        <v>1.4486960504466132E-2</v>
      </c>
      <c r="G124" s="68">
        <f t="shared" si="6"/>
        <v>-5.7261615070018784E-3</v>
      </c>
      <c r="H124" s="70">
        <f t="shared" si="7"/>
        <v>29351.028675832018</v>
      </c>
    </row>
    <row r="125" spans="1:8" x14ac:dyDescent="0.25">
      <c r="A125" s="3">
        <v>87</v>
      </c>
      <c r="B125" s="67">
        <v>-0.13382296499999999</v>
      </c>
      <c r="C125" s="67">
        <v>-1.374895808</v>
      </c>
      <c r="D125" s="67">
        <v>-0.23817374399999999</v>
      </c>
      <c r="E125" s="68">
        <f t="shared" si="4"/>
        <v>-1.1970871626646212E-3</v>
      </c>
      <c r="F125" s="68">
        <f t="shared" si="5"/>
        <v>-2.3534947173727557E-2</v>
      </c>
      <c r="G125" s="68">
        <f t="shared" si="6"/>
        <v>-1.2726302278081598E-2</v>
      </c>
      <c r="H125" s="69">
        <f t="shared" si="7"/>
        <v>-25658.168687735179</v>
      </c>
    </row>
    <row r="126" spans="1:8" x14ac:dyDescent="0.25">
      <c r="A126" s="3">
        <v>88</v>
      </c>
      <c r="B126" s="67">
        <v>-0.26638749</v>
      </c>
      <c r="C126" s="67">
        <v>0.23216988999999999</v>
      </c>
      <c r="D126" s="67">
        <v>-0.55532721900000004</v>
      </c>
      <c r="E126" s="68">
        <f t="shared" si="4"/>
        <v>-3.8017308895876914E-3</v>
      </c>
      <c r="F126" s="68">
        <f t="shared" si="5"/>
        <v>4.9046358267258085E-3</v>
      </c>
      <c r="G126" s="68">
        <f t="shared" si="6"/>
        <v>-1.326232067456103E-2</v>
      </c>
      <c r="H126" s="70">
        <f t="shared" si="7"/>
        <v>1694.4571956940372</v>
      </c>
    </row>
    <row r="127" spans="1:8" x14ac:dyDescent="0.25">
      <c r="A127" s="3">
        <v>89</v>
      </c>
      <c r="B127" s="67">
        <v>0.47153852299999999</v>
      </c>
      <c r="C127" s="67">
        <v>1.012715818</v>
      </c>
      <c r="D127" s="67">
        <v>0.15542932800000001</v>
      </c>
      <c r="E127" s="68">
        <f t="shared" si="4"/>
        <v>1.0697128142976273E-2</v>
      </c>
      <c r="F127" s="68">
        <f t="shared" si="5"/>
        <v>2.3254933301054413E-2</v>
      </c>
      <c r="G127" s="68">
        <f t="shared" si="6"/>
        <v>7.1868572092726873E-3</v>
      </c>
      <c r="H127" s="70">
        <f t="shared" si="7"/>
        <v>33460.018101117945</v>
      </c>
    </row>
    <row r="128" spans="1:8" x14ac:dyDescent="0.25">
      <c r="A128" s="3">
        <v>90</v>
      </c>
      <c r="B128" s="67">
        <v>0.35175640800000002</v>
      </c>
      <c r="C128" s="67">
        <v>5.3155347999999998E-2</v>
      </c>
      <c r="D128" s="67">
        <v>8.4393000000000003E-5</v>
      </c>
      <c r="E128" s="68">
        <f t="shared" si="4"/>
        <v>8.3436347447060528E-3</v>
      </c>
      <c r="F128" s="68">
        <f t="shared" si="5"/>
        <v>5.148953434188995E-3</v>
      </c>
      <c r="G128" s="68">
        <f t="shared" si="6"/>
        <v>-4.1585052081690734E-4</v>
      </c>
      <c r="H128" s="70">
        <f t="shared" si="7"/>
        <v>12515.089400396268</v>
      </c>
    </row>
    <row r="129" spans="1:8" x14ac:dyDescent="0.25">
      <c r="A129" s="3">
        <v>91</v>
      </c>
      <c r="B129" s="67">
        <v>-0.72155803399999996</v>
      </c>
      <c r="C129" s="67">
        <v>0.31649426200000003</v>
      </c>
      <c r="D129" s="67">
        <v>-9.7286598000000002E-2</v>
      </c>
      <c r="E129" s="68">
        <f t="shared" si="4"/>
        <v>-1.274497646837101E-2</v>
      </c>
      <c r="F129" s="68">
        <f t="shared" si="5"/>
        <v>3.8621117739019765E-3</v>
      </c>
      <c r="G129" s="68">
        <f t="shared" si="6"/>
        <v>-4.3652374516565499E-3</v>
      </c>
      <c r="H129" s="69">
        <f t="shared" si="7"/>
        <v>-6968.7096382933014</v>
      </c>
    </row>
    <row r="130" spans="1:8" x14ac:dyDescent="0.25">
      <c r="A130" s="3">
        <v>92</v>
      </c>
      <c r="B130" s="67">
        <v>2.0931683090000002</v>
      </c>
      <c r="C130" s="67">
        <v>1.5733549019999999</v>
      </c>
      <c r="D130" s="67">
        <v>0.38584655299999998</v>
      </c>
      <c r="E130" s="68">
        <f t="shared" si="4"/>
        <v>4.2559105165083058E-2</v>
      </c>
      <c r="F130" s="68">
        <f t="shared" si="5"/>
        <v>4.2608632264578998E-2</v>
      </c>
      <c r="G130" s="68">
        <f t="shared" si="6"/>
        <v>1.8881495576353362E-2</v>
      </c>
      <c r="H130" s="70">
        <f t="shared" si="7"/>
        <v>81076.718771546293</v>
      </c>
    </row>
    <row r="131" spans="1:8" x14ac:dyDescent="0.25">
      <c r="A131" s="3">
        <v>93</v>
      </c>
      <c r="B131" s="67">
        <v>-0.76305721000000004</v>
      </c>
      <c r="C131" s="67">
        <v>-1.112411472</v>
      </c>
      <c r="D131" s="67">
        <v>1.1911429529999999</v>
      </c>
      <c r="E131" s="68">
        <f t="shared" si="4"/>
        <v>-1.3560357268331458E-2</v>
      </c>
      <c r="F131" s="68">
        <f t="shared" si="5"/>
        <v>-2.232591473179078E-2</v>
      </c>
      <c r="G131" s="68">
        <f t="shared" si="6"/>
        <v>1.7208632373535444E-2</v>
      </c>
      <c r="H131" s="69">
        <f t="shared" si="7"/>
        <v>-34682.11689019476</v>
      </c>
    </row>
    <row r="132" spans="1:8" x14ac:dyDescent="0.25">
      <c r="A132" s="3">
        <v>94</v>
      </c>
      <c r="B132" s="67">
        <v>0.26274922499999998</v>
      </c>
      <c r="C132" s="67">
        <v>0.48014340300000002</v>
      </c>
      <c r="D132" s="67">
        <v>-1.744585987</v>
      </c>
      <c r="E132" s="68">
        <f t="shared" si="4"/>
        <v>6.5948109107878622E-3</v>
      </c>
      <c r="F132" s="68">
        <f t="shared" si="5"/>
        <v>1.2401013903331811E-2</v>
      </c>
      <c r="G132" s="68">
        <f t="shared" si="6"/>
        <v>-3.6234677265053777E-2</v>
      </c>
      <c r="H132" s="70">
        <f t="shared" si="7"/>
        <v>18165.838989852469</v>
      </c>
    </row>
    <row r="133" spans="1:8" x14ac:dyDescent="0.25">
      <c r="A133" s="3">
        <v>95</v>
      </c>
      <c r="B133" s="67">
        <v>0.92743848200000001</v>
      </c>
      <c r="C133" s="67">
        <v>0.45442033799999998</v>
      </c>
      <c r="D133" s="67">
        <v>-1.110430684</v>
      </c>
      <c r="E133" s="68">
        <f t="shared" si="4"/>
        <v>1.9654705355385362E-2</v>
      </c>
      <c r="F133" s="68">
        <f t="shared" si="5"/>
        <v>1.5692804567008355E-2</v>
      </c>
      <c r="G133" s="68">
        <f t="shared" si="6"/>
        <v>-2.0944423553144992E-2</v>
      </c>
      <c r="H133" s="70">
        <f t="shared" si="7"/>
        <v>32969.570875657249</v>
      </c>
    </row>
    <row r="134" spans="1:8" x14ac:dyDescent="0.25">
      <c r="A134" s="3">
        <v>96</v>
      </c>
      <c r="B134" s="67">
        <v>-0.47152480699999999</v>
      </c>
      <c r="C134" s="67">
        <v>0.26371720399999998</v>
      </c>
      <c r="D134" s="67">
        <v>5.2466798000000002E-2</v>
      </c>
      <c r="E134" s="68">
        <f t="shared" si="4"/>
        <v>-7.8322935599693718E-3</v>
      </c>
      <c r="F134" s="68">
        <f t="shared" si="5"/>
        <v>4.3175243418477893E-3</v>
      </c>
      <c r="G134" s="68">
        <f t="shared" si="6"/>
        <v>-6.9094609392168272E-4</v>
      </c>
      <c r="H134" s="69">
        <f t="shared" si="7"/>
        <v>-2237.5721857244716</v>
      </c>
    </row>
    <row r="135" spans="1:8" x14ac:dyDescent="0.25">
      <c r="A135" s="3">
        <v>97</v>
      </c>
      <c r="B135" s="67">
        <v>-0.29217118600000003</v>
      </c>
      <c r="C135" s="67">
        <v>-0.10348826799999999</v>
      </c>
      <c r="D135" s="67">
        <v>-0.25197737799999997</v>
      </c>
      <c r="E135" s="68">
        <f t="shared" si="4"/>
        <v>-4.3083320488593096E-3</v>
      </c>
      <c r="F135" s="68">
        <f t="shared" si="5"/>
        <v>-1.3377659510629965E-3</v>
      </c>
      <c r="G135" s="68">
        <f t="shared" si="6"/>
        <v>-8.2237927855718217E-3</v>
      </c>
      <c r="H135" s="69">
        <f t="shared" si="7"/>
        <v>-5180.7013906395323</v>
      </c>
    </row>
    <row r="136" spans="1:8" x14ac:dyDescent="0.25">
      <c r="A136" s="3">
        <v>98</v>
      </c>
      <c r="B136" s="67">
        <v>0.15256251200000001</v>
      </c>
      <c r="C136" s="67">
        <v>1.471491973</v>
      </c>
      <c r="D136" s="67">
        <v>-2.566658441</v>
      </c>
      <c r="E136" s="68">
        <f t="shared" si="4"/>
        <v>4.4298491247766903E-3</v>
      </c>
      <c r="F136" s="68">
        <f t="shared" si="5"/>
        <v>2.9783826665295311E-2</v>
      </c>
      <c r="G136" s="68">
        <f t="shared" si="6"/>
        <v>-5.0047490675842847E-2</v>
      </c>
      <c r="H136" s="70">
        <f t="shared" si="7"/>
        <v>34243.913689574023</v>
      </c>
    </row>
    <row r="137" spans="1:8" x14ac:dyDescent="0.25">
      <c r="A137" s="3">
        <v>99</v>
      </c>
      <c r="B137" s="67">
        <v>-0.236850265</v>
      </c>
      <c r="C137" s="67">
        <v>0.176512421</v>
      </c>
      <c r="D137" s="67">
        <v>0.29599398999999998</v>
      </c>
      <c r="E137" s="68">
        <f t="shared" si="4"/>
        <v>-3.2213799411950853E-3</v>
      </c>
      <c r="F137" s="68">
        <f t="shared" si="5"/>
        <v>4.060765596326012E-3</v>
      </c>
      <c r="G137" s="68">
        <f t="shared" si="6"/>
        <v>4.8059617145758951E-3</v>
      </c>
      <c r="H137" s="70">
        <f t="shared" si="7"/>
        <v>1513.5414462170597</v>
      </c>
    </row>
    <row r="138" spans="1:8" x14ac:dyDescent="0.25">
      <c r="A138" s="3">
        <v>100</v>
      </c>
      <c r="B138" s="67">
        <v>-0.37191458100000002</v>
      </c>
      <c r="C138" s="67">
        <v>-1.7567217820000001</v>
      </c>
      <c r="D138" s="67">
        <v>0.327995484</v>
      </c>
      <c r="E138" s="68">
        <f t="shared" si="4"/>
        <v>-5.8751398622641287E-3</v>
      </c>
      <c r="F138" s="68">
        <f t="shared" si="5"/>
        <v>-3.1816558734543497E-2</v>
      </c>
      <c r="G138" s="68">
        <f t="shared" si="6"/>
        <v>-2.8375913068667278E-3</v>
      </c>
      <c r="H138" s="69">
        <f t="shared" si="7"/>
        <v>-38182.411333002077</v>
      </c>
    </row>
    <row r="139" spans="1:8" x14ac:dyDescent="0.25">
      <c r="A139" s="3">
        <v>101</v>
      </c>
      <c r="B139" s="67">
        <v>1.7273502140000001</v>
      </c>
      <c r="C139" s="67">
        <v>-1.5338614049999999</v>
      </c>
      <c r="D139" s="67">
        <v>0.86382801399999998</v>
      </c>
      <c r="E139" s="68">
        <f t="shared" si="4"/>
        <v>3.5371467248101141E-2</v>
      </c>
      <c r="F139" s="68">
        <f t="shared" si="5"/>
        <v>-1.589680577344826E-2</v>
      </c>
      <c r="G139" s="68">
        <f t="shared" si="6"/>
        <v>1.5314582721756464E-2</v>
      </c>
      <c r="H139" s="70">
        <f t="shared" si="7"/>
        <v>13987.281079118962</v>
      </c>
    </row>
    <row r="140" spans="1:8" x14ac:dyDescent="0.25">
      <c r="A140" s="3">
        <v>102</v>
      </c>
      <c r="B140" s="67">
        <v>-0.32852522299999998</v>
      </c>
      <c r="C140" s="67">
        <v>-6.1324346000000002E-2</v>
      </c>
      <c r="D140" s="67">
        <v>-1.052898511</v>
      </c>
      <c r="E140" s="68">
        <f t="shared" si="4"/>
        <v>-5.0226205390898528E-3</v>
      </c>
      <c r="F140" s="68">
        <f t="shared" si="5"/>
        <v>-7.775311206911586E-4</v>
      </c>
      <c r="G140" s="68">
        <f t="shared" si="6"/>
        <v>-2.528791039684784E-2</v>
      </c>
      <c r="H140" s="69">
        <f t="shared" si="7"/>
        <v>-5398.8364169349534</v>
      </c>
    </row>
    <row r="141" spans="1:8" x14ac:dyDescent="0.25">
      <c r="A141" s="3">
        <v>103</v>
      </c>
      <c r="B141" s="67">
        <v>-0.334456172</v>
      </c>
      <c r="C141" s="67">
        <v>1.3000445949999999</v>
      </c>
      <c r="D141" s="67">
        <v>0.58265524199999996</v>
      </c>
      <c r="E141" s="68">
        <f t="shared" si="4"/>
        <v>-5.1391525381865241E-3</v>
      </c>
      <c r="F141" s="68">
        <f t="shared" si="5"/>
        <v>2.3915588403551156E-2</v>
      </c>
      <c r="G141" s="68">
        <f t="shared" si="6"/>
        <v>1.5295972682782131E-2</v>
      </c>
      <c r="H141" s="70">
        <f t="shared" si="7"/>
        <v>20643.928214538799</v>
      </c>
    </row>
    <row r="142" spans="1:8" x14ac:dyDescent="0.25">
      <c r="A142" s="3">
        <v>104</v>
      </c>
      <c r="B142" s="67">
        <v>1.732311605</v>
      </c>
      <c r="C142" s="67">
        <v>1.177411889</v>
      </c>
      <c r="D142" s="67">
        <v>0.43908667899999998</v>
      </c>
      <c r="E142" s="68">
        <f t="shared" si="4"/>
        <v>3.5468949255032953E-2</v>
      </c>
      <c r="F142" s="68">
        <f t="shared" si="5"/>
        <v>3.3376341316037929E-2</v>
      </c>
      <c r="G142" s="68">
        <f t="shared" si="6"/>
        <v>1.7399280638718765E-2</v>
      </c>
      <c r="H142" s="70">
        <f t="shared" si="7"/>
        <v>65367.510574770138</v>
      </c>
    </row>
    <row r="143" spans="1:8" x14ac:dyDescent="0.25">
      <c r="A143" s="3">
        <v>105</v>
      </c>
      <c r="B143" s="67">
        <v>1.7439345260000001</v>
      </c>
      <c r="C143" s="67">
        <v>0.43899315900000002</v>
      </c>
      <c r="D143" s="67">
        <v>0.82798817700000005</v>
      </c>
      <c r="E143" s="68">
        <f t="shared" si="4"/>
        <v>3.5697317804395404E-2</v>
      </c>
      <c r="F143" s="68">
        <f t="shared" si="5"/>
        <v>2.0030109499171386E-2</v>
      </c>
      <c r="G143" s="68">
        <f t="shared" si="6"/>
        <v>2.2713463076742938E-2</v>
      </c>
      <c r="H143" s="70">
        <f t="shared" si="7"/>
        <v>51734.004615132551</v>
      </c>
    </row>
    <row r="144" spans="1:8" x14ac:dyDescent="0.25">
      <c r="A144" s="3">
        <v>106</v>
      </c>
      <c r="B144" s="67">
        <v>-0.296570954</v>
      </c>
      <c r="C144" s="67">
        <v>6.6545815999999994E-2</v>
      </c>
      <c r="D144" s="67">
        <v>-0.69742382300000005</v>
      </c>
      <c r="E144" s="68">
        <f t="shared" si="4"/>
        <v>-4.3947792195568759E-3</v>
      </c>
      <c r="F144" s="68">
        <f t="shared" si="5"/>
        <v>1.7256957795008096E-3</v>
      </c>
      <c r="G144" s="68">
        <f t="shared" si="6"/>
        <v>-1.7067494687402446E-2</v>
      </c>
      <c r="H144" s="69">
        <f t="shared" si="7"/>
        <v>-2164.5071493274863</v>
      </c>
    </row>
    <row r="145" spans="1:8" x14ac:dyDescent="0.25">
      <c r="A145" s="3">
        <v>107</v>
      </c>
      <c r="B145" s="67">
        <v>0.98958393499999997</v>
      </c>
      <c r="C145" s="67">
        <v>-1.1783036229999999</v>
      </c>
      <c r="D145" s="67">
        <v>0.78235034199999998</v>
      </c>
      <c r="E145" s="68">
        <f t="shared" si="4"/>
        <v>2.0875746688375781E-2</v>
      </c>
      <c r="F145" s="68">
        <f t="shared" si="5"/>
        <v>-1.3611050917304055E-2</v>
      </c>
      <c r="G145" s="68">
        <f t="shared" si="6"/>
        <v>1.3007026154295288E-2</v>
      </c>
      <c r="H145" s="70">
        <f t="shared" si="7"/>
        <v>3898.1538531728111</v>
      </c>
    </row>
    <row r="146" spans="1:8" x14ac:dyDescent="0.25">
      <c r="A146" s="3">
        <v>108</v>
      </c>
      <c r="B146" s="67">
        <v>-0.19065105800000001</v>
      </c>
      <c r="C146" s="67">
        <v>1.1712470930000001</v>
      </c>
      <c r="D146" s="67">
        <v>0.75086898899999999</v>
      </c>
      <c r="E146" s="68">
        <f t="shared" si="4"/>
        <v>-2.3136523670090779E-3</v>
      </c>
      <c r="F146" s="68">
        <f t="shared" si="5"/>
        <v>2.2389485887015663E-2</v>
      </c>
      <c r="G146" s="68">
        <f t="shared" si="6"/>
        <v>1.8760427858400527E-2</v>
      </c>
      <c r="H146" s="70">
        <f t="shared" si="7"/>
        <v>21519.278645987895</v>
      </c>
    </row>
    <row r="147" spans="1:8" x14ac:dyDescent="0.25">
      <c r="A147" s="3">
        <v>109</v>
      </c>
      <c r="B147" s="67">
        <v>1.820646158</v>
      </c>
      <c r="C147" s="67">
        <v>0.73077469100000003</v>
      </c>
      <c r="D147" s="67">
        <v>-1.572040256</v>
      </c>
      <c r="E147" s="68">
        <f t="shared" si="4"/>
        <v>3.7204557173833273E-2</v>
      </c>
      <c r="F147" s="68">
        <f t="shared" si="5"/>
        <v>2.5763587871673811E-2</v>
      </c>
      <c r="G147" s="68">
        <f t="shared" si="6"/>
        <v>-2.7229482539641938E-2</v>
      </c>
      <c r="H147" s="70">
        <f t="shared" si="7"/>
        <v>58443.708941642173</v>
      </c>
    </row>
    <row r="148" spans="1:8" x14ac:dyDescent="0.25">
      <c r="A148" s="3">
        <v>110</v>
      </c>
      <c r="B148" s="67">
        <v>-6.6953173000000005E-2</v>
      </c>
      <c r="C148" s="67">
        <v>-1.172007193</v>
      </c>
      <c r="D148" s="67">
        <v>-0.51827984199999999</v>
      </c>
      <c r="E148" s="68">
        <f t="shared" si="4"/>
        <v>1.1677855105818986E-4</v>
      </c>
      <c r="F148" s="68">
        <f t="shared" si="5"/>
        <v>-1.9471696783285763E-2</v>
      </c>
      <c r="G148" s="68">
        <f t="shared" si="6"/>
        <v>-1.7701028392459312E-2</v>
      </c>
      <c r="H148" s="69">
        <f t="shared" si="7"/>
        <v>-20357.022430303212</v>
      </c>
    </row>
    <row r="149" spans="1:8" x14ac:dyDescent="0.25">
      <c r="A149" s="3">
        <v>111</v>
      </c>
      <c r="B149" s="67">
        <v>1.5112284330000001</v>
      </c>
      <c r="C149" s="67">
        <v>0.63753381099999995</v>
      </c>
      <c r="D149" s="67">
        <v>-0.69893042900000002</v>
      </c>
      <c r="E149" s="68">
        <f t="shared" si="4"/>
        <v>3.1125080508261863E-2</v>
      </c>
      <c r="F149" s="68">
        <f t="shared" si="5"/>
        <v>2.2320203290607975E-2</v>
      </c>
      <c r="G149" s="68">
        <f t="shared" si="6"/>
        <v>-9.7812149133923252E-3</v>
      </c>
      <c r="H149" s="70">
        <f t="shared" si="7"/>
        <v>49834.513401549098</v>
      </c>
    </row>
    <row r="150" spans="1:8" x14ac:dyDescent="0.25">
      <c r="A150" s="3">
        <v>112</v>
      </c>
      <c r="B150" s="67">
        <v>-1.0137173660000001</v>
      </c>
      <c r="C150" s="67">
        <v>3.2782092999999998E-2</v>
      </c>
      <c r="D150" s="67">
        <v>-1.216560149</v>
      </c>
      <c r="E150" s="68">
        <f t="shared" si="4"/>
        <v>-1.8485358153107818E-2</v>
      </c>
      <c r="F150" s="68">
        <f t="shared" si="5"/>
        <v>-2.9432181751325045E-3</v>
      </c>
      <c r="G150" s="68">
        <f t="shared" si="6"/>
        <v>-3.0285636456942978E-2</v>
      </c>
      <c r="H150" s="69">
        <f t="shared" si="7"/>
        <v>-19263.119349445871</v>
      </c>
    </row>
    <row r="151" spans="1:8" x14ac:dyDescent="0.25">
      <c r="A151" s="3">
        <v>113</v>
      </c>
      <c r="B151" s="67">
        <v>-0.67114027700000001</v>
      </c>
      <c r="C151" s="67">
        <v>0.31200947200000001</v>
      </c>
      <c r="D151" s="67">
        <v>1.155312036</v>
      </c>
      <c r="E151" s="68">
        <f t="shared" si="4"/>
        <v>-1.1754362316541315E-2</v>
      </c>
      <c r="F151" s="68">
        <f t="shared" si="5"/>
        <v>4.0657804569290586E-3</v>
      </c>
      <c r="G151" s="68">
        <f t="shared" si="6"/>
        <v>2.2557409618240282E-2</v>
      </c>
      <c r="H151" s="69">
        <f t="shared" si="7"/>
        <v>-5609.8547339063789</v>
      </c>
    </row>
    <row r="152" spans="1:8" x14ac:dyDescent="0.25">
      <c r="A152" s="3">
        <v>114</v>
      </c>
      <c r="B152" s="67">
        <v>0.60876147199999997</v>
      </c>
      <c r="C152" s="67">
        <v>-2.2912895089999998</v>
      </c>
      <c r="D152" s="67">
        <v>0.304366729</v>
      </c>
      <c r="E152" s="68">
        <f t="shared" si="4"/>
        <v>1.3393301144786028E-2</v>
      </c>
      <c r="F152" s="68">
        <f t="shared" si="5"/>
        <v>-3.5979964850529719E-2</v>
      </c>
      <c r="G152" s="68">
        <f t="shared" si="6"/>
        <v>-2.8482661315468519E-3</v>
      </c>
      <c r="H152" s="69">
        <f t="shared" si="7"/>
        <v>-25976.091535118117</v>
      </c>
    </row>
    <row r="153" spans="1:8" x14ac:dyDescent="0.25">
      <c r="A153" s="3">
        <v>115</v>
      </c>
      <c r="B153" s="67">
        <v>7.2033573000000004E-2</v>
      </c>
      <c r="C153" s="67">
        <v>0.41389028500000002</v>
      </c>
      <c r="D153" s="67">
        <v>1.616209682</v>
      </c>
      <c r="E153" s="68">
        <f t="shared" si="4"/>
        <v>2.8476068484050857E-3</v>
      </c>
      <c r="F153" s="68">
        <f t="shared" si="5"/>
        <v>1.0119103284856774E-2</v>
      </c>
      <c r="G153" s="68">
        <f t="shared" si="6"/>
        <v>3.488128423763695E-2</v>
      </c>
      <c r="H153" s="70">
        <f t="shared" si="7"/>
        <v>13358.465611108981</v>
      </c>
    </row>
    <row r="154" spans="1:8" x14ac:dyDescent="0.25">
      <c r="A154" s="3">
        <v>116</v>
      </c>
      <c r="B154" s="67">
        <v>-2.063238277</v>
      </c>
      <c r="C154" s="67">
        <v>-0.59110342500000002</v>
      </c>
      <c r="D154" s="67">
        <v>0.59090632300000001</v>
      </c>
      <c r="E154" s="68">
        <f t="shared" si="4"/>
        <v>-3.9106471208133174E-2</v>
      </c>
      <c r="F154" s="68">
        <f t="shared" si="5"/>
        <v>-2.021023420971443E-2</v>
      </c>
      <c r="G154" s="68">
        <f t="shared" si="6"/>
        <v>2.9374471835286377E-3</v>
      </c>
      <c r="H154" s="69">
        <f t="shared" si="7"/>
        <v>-54565.033212115537</v>
      </c>
    </row>
    <row r="155" spans="1:8" x14ac:dyDescent="0.25">
      <c r="A155" s="3">
        <v>117</v>
      </c>
      <c r="B155" s="67">
        <v>-1.5815943990000001</v>
      </c>
      <c r="C155" s="67">
        <v>1.4759490479999999</v>
      </c>
      <c r="D155" s="67">
        <v>0.368356613</v>
      </c>
      <c r="E155" s="68">
        <f t="shared" si="4"/>
        <v>-2.9643074379731307E-2</v>
      </c>
      <c r="F155" s="68">
        <f t="shared" si="5"/>
        <v>2.0057645739982841E-2</v>
      </c>
      <c r="G155" s="68">
        <f t="shared" si="6"/>
        <v>8.0070260653430404E-3</v>
      </c>
      <c r="H155" s="69">
        <f t="shared" si="7"/>
        <v>-4483.6489505302143</v>
      </c>
    </row>
    <row r="156" spans="1:8" x14ac:dyDescent="0.25">
      <c r="A156" s="3">
        <v>118</v>
      </c>
      <c r="B156" s="67">
        <v>0.84658398599999996</v>
      </c>
      <c r="C156" s="67">
        <v>-0.57094366200000002</v>
      </c>
      <c r="D156" s="67">
        <v>0.81376369000000004</v>
      </c>
      <c r="E156" s="68">
        <f t="shared" si="4"/>
        <v>1.8066066495932377E-2</v>
      </c>
      <c r="F156" s="68">
        <f t="shared" si="5"/>
        <v>-3.3882240397045305E-3</v>
      </c>
      <c r="G156" s="68">
        <f t="shared" si="6"/>
        <v>1.5786057848703832E-2</v>
      </c>
      <c r="H156" s="70">
        <f t="shared" si="7"/>
        <v>12154.975754003121</v>
      </c>
    </row>
    <row r="157" spans="1:8" x14ac:dyDescent="0.25">
      <c r="A157" s="3">
        <v>119</v>
      </c>
      <c r="B157" s="67">
        <v>1.068471556</v>
      </c>
      <c r="C157" s="67">
        <v>0.23287801999999999</v>
      </c>
      <c r="D157" s="67">
        <v>0.234400893</v>
      </c>
      <c r="E157" s="68">
        <f t="shared" si="4"/>
        <v>2.2425740151329275E-2</v>
      </c>
      <c r="F157" s="68">
        <f t="shared" si="5"/>
        <v>1.2466493363973093E-2</v>
      </c>
      <c r="G157" s="68">
        <f t="shared" si="6"/>
        <v>7.3074200408882149E-3</v>
      </c>
      <c r="H157" s="70">
        <f t="shared" si="7"/>
        <v>32302.043483559515</v>
      </c>
    </row>
    <row r="158" spans="1:8" x14ac:dyDescent="0.25">
      <c r="A158" s="3">
        <v>120</v>
      </c>
      <c r="B158" s="67">
        <v>0.27034323900000001</v>
      </c>
      <c r="C158" s="67">
        <v>-0.86334526499999997</v>
      </c>
      <c r="D158" s="67">
        <v>-0.14752868</v>
      </c>
      <c r="E158" s="68">
        <f t="shared" si="4"/>
        <v>6.7440190109735341E-3</v>
      </c>
      <c r="F158" s="68">
        <f t="shared" si="5"/>
        <v>-1.1957939600171993E-2</v>
      </c>
      <c r="G158" s="68">
        <f t="shared" si="6"/>
        <v>-7.5704338259676759E-3</v>
      </c>
      <c r="H158" s="69">
        <f t="shared" si="7"/>
        <v>-6738.1697520148637</v>
      </c>
    </row>
    <row r="159" spans="1:8" x14ac:dyDescent="0.25">
      <c r="A159" s="3">
        <v>121</v>
      </c>
      <c r="B159" s="67">
        <v>-0.15252253199999999</v>
      </c>
      <c r="C159" s="67">
        <v>0.38339386399999997</v>
      </c>
      <c r="D159" s="67">
        <v>0.99982424700000005</v>
      </c>
      <c r="E159" s="68">
        <f t="shared" si="4"/>
        <v>-1.5644985035397733E-3</v>
      </c>
      <c r="F159" s="68">
        <f t="shared" si="5"/>
        <v>8.2952675304186711E-3</v>
      </c>
      <c r="G159" s="68">
        <f t="shared" si="6"/>
        <v>2.0949478158623851E-2</v>
      </c>
      <c r="H159" s="70">
        <f t="shared" si="7"/>
        <v>7519.9968017095271</v>
      </c>
    </row>
    <row r="160" spans="1:8" x14ac:dyDescent="0.25">
      <c r="A160" s="3">
        <v>122</v>
      </c>
      <c r="B160" s="67">
        <v>-1.058536082</v>
      </c>
      <c r="C160" s="67">
        <v>-0.12500902999999999</v>
      </c>
      <c r="D160" s="67">
        <v>1.481455548</v>
      </c>
      <c r="E160" s="68">
        <f t="shared" si="4"/>
        <v>-1.9365961674133875E-2</v>
      </c>
      <c r="F160" s="68">
        <f t="shared" si="5"/>
        <v>-6.0626540451101038E-3</v>
      </c>
      <c r="G160" s="68">
        <f t="shared" si="6"/>
        <v>2.6672656820147699E-2</v>
      </c>
      <c r="H160" s="69">
        <f t="shared" si="7"/>
        <v>-22637.491947219212</v>
      </c>
    </row>
    <row r="161" spans="1:8" x14ac:dyDescent="0.25">
      <c r="A161" s="3">
        <v>123</v>
      </c>
      <c r="B161" s="67">
        <v>-0.74358822899999999</v>
      </c>
      <c r="C161" s="67">
        <v>-0.822250017</v>
      </c>
      <c r="D161" s="67">
        <v>0.202306192</v>
      </c>
      <c r="E161" s="68">
        <f t="shared" si="4"/>
        <v>-1.3177828388669009E-2</v>
      </c>
      <c r="F161" s="68">
        <f t="shared" si="5"/>
        <v>-1.6945584920608461E-2</v>
      </c>
      <c r="G161" s="68">
        <f t="shared" si="6"/>
        <v>-2.7022543378271788E-3</v>
      </c>
      <c r="H161" s="69">
        <f t="shared" si="7"/>
        <v>-28974.38938022458</v>
      </c>
    </row>
    <row r="162" spans="1:8" x14ac:dyDescent="0.25">
      <c r="A162" s="3">
        <v>124</v>
      </c>
      <c r="B162" s="67">
        <v>0.84438519000000001</v>
      </c>
      <c r="C162" s="67">
        <v>1.1426056E-2</v>
      </c>
      <c r="D162" s="67">
        <v>1.3289605900000001</v>
      </c>
      <c r="E162" s="68">
        <f t="shared" si="4"/>
        <v>1.8022864287738416E-2</v>
      </c>
      <c r="F162" s="68">
        <f t="shared" si="5"/>
        <v>7.1769722303827044E-3</v>
      </c>
      <c r="G162" s="68">
        <f t="shared" si="6"/>
        <v>2.9200976429427407E-2</v>
      </c>
      <c r="H162" s="70">
        <f t="shared" si="7"/>
        <v>23259.831817000832</v>
      </c>
    </row>
    <row r="163" spans="1:8" x14ac:dyDescent="0.25">
      <c r="A163" s="3">
        <v>125</v>
      </c>
      <c r="B163" s="67">
        <v>0.85679398299999998</v>
      </c>
      <c r="C163" s="67">
        <v>0.84182006700000001</v>
      </c>
      <c r="D163" s="67">
        <v>0.55411650099999998</v>
      </c>
      <c r="E163" s="68">
        <f t="shared" si="4"/>
        <v>1.8266673744651095E-2</v>
      </c>
      <c r="F163" s="68">
        <f t="shared" si="5"/>
        <v>2.2329664917982304E-2</v>
      </c>
      <c r="G163" s="68">
        <f t="shared" si="6"/>
        <v>1.607318003194123E-2</v>
      </c>
      <c r="H163" s="70">
        <f t="shared" si="7"/>
        <v>39092.338023563221</v>
      </c>
    </row>
    <row r="164" spans="1:8" x14ac:dyDescent="0.25">
      <c r="A164" s="3">
        <v>126</v>
      </c>
      <c r="B164" s="67">
        <v>2.3276531</v>
      </c>
      <c r="C164" s="67">
        <v>-0.20516168900000001</v>
      </c>
      <c r="D164" s="67">
        <v>-2.003522292</v>
      </c>
      <c r="E164" s="68">
        <f t="shared" si="4"/>
        <v>4.7166290533393447E-2</v>
      </c>
      <c r="F164" s="68">
        <f t="shared" si="5"/>
        <v>1.163135919727747E-2</v>
      </c>
      <c r="G164" s="68">
        <f t="shared" si="6"/>
        <v>-3.8921014984484442E-2</v>
      </c>
      <c r="H164" s="70">
        <f t="shared" si="7"/>
        <v>52159.462822661619</v>
      </c>
    </row>
    <row r="165" spans="1:8" x14ac:dyDescent="0.25">
      <c r="A165" s="3">
        <v>127</v>
      </c>
      <c r="B165" s="67">
        <v>1.604254362</v>
      </c>
      <c r="C165" s="67">
        <v>-0.45769943099999999</v>
      </c>
      <c r="D165" s="67">
        <v>0.10788044400000001</v>
      </c>
      <c r="E165" s="68">
        <f t="shared" si="4"/>
        <v>3.2952865146807064E-2</v>
      </c>
      <c r="F165" s="68">
        <f t="shared" si="5"/>
        <v>2.9534753715149569E-3</v>
      </c>
      <c r="G165" s="68">
        <f t="shared" si="6"/>
        <v>3.2302902897401835E-3</v>
      </c>
      <c r="H165" s="70">
        <f t="shared" si="7"/>
        <v>31393.737126645825</v>
      </c>
    </row>
    <row r="166" spans="1:8" x14ac:dyDescent="0.25">
      <c r="A166" s="3">
        <v>128</v>
      </c>
      <c r="B166" s="67">
        <v>1.309550685</v>
      </c>
      <c r="C166" s="67">
        <v>-1.602259541</v>
      </c>
      <c r="D166" s="67">
        <v>-1.2516472139999999</v>
      </c>
      <c r="E166" s="68">
        <f t="shared" si="4"/>
        <v>2.7162491865575053E-2</v>
      </c>
      <c r="F166" s="68">
        <f t="shared" si="5"/>
        <v>-1.9501898432568558E-2</v>
      </c>
      <c r="G166" s="68">
        <f t="shared" si="6"/>
        <v>-3.1381164942724471E-2</v>
      </c>
      <c r="H166" s="70">
        <f t="shared" si="7"/>
        <v>2675.2395855263444</v>
      </c>
    </row>
    <row r="167" spans="1:8" x14ac:dyDescent="0.25">
      <c r="A167" s="3">
        <v>129</v>
      </c>
      <c r="B167" s="67">
        <v>-1.6012779370000001</v>
      </c>
      <c r="C167" s="67">
        <v>-0.79413628999999997</v>
      </c>
      <c r="D167" s="67">
        <v>0.43963660599999999</v>
      </c>
      <c r="E167" s="68">
        <f t="shared" ref="E167:E230" si="8">$B$14*B167+$B$26</f>
        <v>-3.0029818901128352E-2</v>
      </c>
      <c r="F167" s="68">
        <f t="shared" ref="F167:F230" si="9">$B$15*B167+$C$15*C167+$B$27</f>
        <v>-2.1285424515257393E-2</v>
      </c>
      <c r="G167" s="68">
        <f t="shared" ref="G167:G230" si="10">$B$16*B167+$C$16*C167+$D$16*D167+$B$28</f>
        <v>1.3457130556271814E-4</v>
      </c>
      <c r="H167" s="69">
        <f t="shared" ref="H167:H230" si="11">E167*$B$32+F167*$B$33+G167*$B$34</f>
        <v>-47923.903514102145</v>
      </c>
    </row>
    <row r="168" spans="1:8" x14ac:dyDescent="0.25">
      <c r="A168" s="3">
        <v>130</v>
      </c>
      <c r="B168" s="67">
        <v>0.52418784299999999</v>
      </c>
      <c r="C168" s="67">
        <v>0.27627417900000001</v>
      </c>
      <c r="D168" s="67">
        <v>-1.4127658839999999</v>
      </c>
      <c r="E168" s="68">
        <f t="shared" si="8"/>
        <v>1.1731588312955876E-2</v>
      </c>
      <c r="F168" s="68">
        <f t="shared" si="9"/>
        <v>1.0176627148091281E-2</v>
      </c>
      <c r="G168" s="68">
        <f t="shared" si="10"/>
        <v>-2.9255147885664454E-2</v>
      </c>
      <c r="H168" s="70">
        <f t="shared" si="11"/>
        <v>20337.146326814931</v>
      </c>
    </row>
    <row r="169" spans="1:8" x14ac:dyDescent="0.25">
      <c r="A169" s="3">
        <v>131</v>
      </c>
      <c r="B169" s="67">
        <v>-2.310103437</v>
      </c>
      <c r="C169" s="67">
        <v>5.4353585000000003E-2</v>
      </c>
      <c r="D169" s="67">
        <v>-0.47177603400000001</v>
      </c>
      <c r="E169" s="68">
        <f t="shared" si="8"/>
        <v>-4.3956907555186504E-2</v>
      </c>
      <c r="F169" s="68">
        <f t="shared" si="9"/>
        <v>-9.8828337553241961E-3</v>
      </c>
      <c r="G169" s="68">
        <f t="shared" si="10"/>
        <v>-1.7823136004642918E-2</v>
      </c>
      <c r="H169" s="69">
        <f t="shared" si="11"/>
        <v>-48210.414266374544</v>
      </c>
    </row>
    <row r="170" spans="1:8" x14ac:dyDescent="0.25">
      <c r="A170" s="3">
        <v>132</v>
      </c>
      <c r="B170" s="67">
        <v>0.45938577200000003</v>
      </c>
      <c r="C170" s="67">
        <v>0.701953626</v>
      </c>
      <c r="D170" s="67">
        <v>0.138241432</v>
      </c>
      <c r="E170" s="68">
        <f t="shared" si="8"/>
        <v>1.0458349430066405E-2</v>
      </c>
      <c r="F170" s="68">
        <f t="shared" si="9"/>
        <v>1.7541805835871678E-2</v>
      </c>
      <c r="G170" s="68">
        <f t="shared" si="10"/>
        <v>5.5065949036645218E-3</v>
      </c>
      <c r="H170" s="70">
        <f t="shared" si="11"/>
        <v>27291.476923454007</v>
      </c>
    </row>
    <row r="171" spans="1:8" x14ac:dyDescent="0.25">
      <c r="A171" s="3">
        <v>133</v>
      </c>
      <c r="B171" s="67">
        <v>0.76013308499999999</v>
      </c>
      <c r="C171" s="67">
        <v>0.229211374</v>
      </c>
      <c r="D171" s="67">
        <v>0.530064706</v>
      </c>
      <c r="E171" s="68">
        <f t="shared" si="8"/>
        <v>1.6367468798120708E-2</v>
      </c>
      <c r="F171" s="68">
        <f t="shared" si="9"/>
        <v>1.0656156745725107E-2</v>
      </c>
      <c r="G171" s="68">
        <f t="shared" si="10"/>
        <v>1.2771406763113318E-2</v>
      </c>
      <c r="H171" s="70">
        <f t="shared" si="11"/>
        <v>25278.35458133971</v>
      </c>
    </row>
    <row r="172" spans="1:8" x14ac:dyDescent="0.25">
      <c r="A172" s="3">
        <v>134</v>
      </c>
      <c r="B172" s="67">
        <v>-0.70467326299999999</v>
      </c>
      <c r="C172" s="67">
        <v>-0.179611414</v>
      </c>
      <c r="D172" s="67">
        <v>0.19677609700000001</v>
      </c>
      <c r="E172" s="68">
        <f t="shared" si="8"/>
        <v>-1.2413222457517184E-2</v>
      </c>
      <c r="F172" s="68">
        <f t="shared" si="9"/>
        <v>-5.0532100777345955E-3</v>
      </c>
      <c r="G172" s="68">
        <f t="shared" si="10"/>
        <v>-6.8561730845234778E-5</v>
      </c>
      <c r="H172" s="69">
        <f t="shared" si="11"/>
        <v>-15913.886131016296</v>
      </c>
    </row>
    <row r="173" spans="1:8" x14ac:dyDescent="0.25">
      <c r="A173" s="3">
        <v>135</v>
      </c>
      <c r="B173" s="67">
        <v>0.82052847500000003</v>
      </c>
      <c r="C173" s="67">
        <v>-0.39374117199999997</v>
      </c>
      <c r="D173" s="67">
        <v>0.52116725600000002</v>
      </c>
      <c r="E173" s="68">
        <f t="shared" si="8"/>
        <v>1.7554124682857386E-2</v>
      </c>
      <c r="F173" s="68">
        <f t="shared" si="9"/>
        <v>-3.1703113067279133E-4</v>
      </c>
      <c r="G173" s="68">
        <f t="shared" si="10"/>
        <v>1.0182960544118567E-2</v>
      </c>
      <c r="H173" s="70">
        <f t="shared" si="11"/>
        <v>14849.70096201193</v>
      </c>
    </row>
    <row r="174" spans="1:8" x14ac:dyDescent="0.25">
      <c r="A174" s="3">
        <v>136</v>
      </c>
      <c r="B174" s="67">
        <v>-0.26583879199999999</v>
      </c>
      <c r="C174" s="67">
        <v>-0.117542167</v>
      </c>
      <c r="D174" s="67">
        <v>0.82951904200000004</v>
      </c>
      <c r="E174" s="68">
        <f t="shared" si="8"/>
        <v>-3.7909500053075621E-3</v>
      </c>
      <c r="F174" s="68">
        <f t="shared" si="9"/>
        <v>-1.4441111786177188E-3</v>
      </c>
      <c r="G174" s="68">
        <f t="shared" si="10"/>
        <v>1.4932106271879419E-2</v>
      </c>
      <c r="H174" s="69">
        <f t="shared" si="11"/>
        <v>-4592.1427290105448</v>
      </c>
    </row>
    <row r="175" spans="1:8" x14ac:dyDescent="0.25">
      <c r="A175" s="3">
        <v>137</v>
      </c>
      <c r="B175" s="67">
        <v>-1.9930603710000001</v>
      </c>
      <c r="C175" s="67">
        <v>-1.2964723279999999</v>
      </c>
      <c r="D175" s="67">
        <v>-1.4821853970000001</v>
      </c>
      <c r="E175" s="68">
        <f t="shared" si="8"/>
        <v>-3.7727607272766625E-2</v>
      </c>
      <c r="F175" s="68">
        <f t="shared" si="9"/>
        <v>-3.2625034613719621E-2</v>
      </c>
      <c r="G175" s="68">
        <f t="shared" si="10"/>
        <v>-4.4132039224834961E-2</v>
      </c>
      <c r="H175" s="69">
        <f t="shared" si="11"/>
        <v>-66818.93962868776</v>
      </c>
    </row>
    <row r="176" spans="1:8" x14ac:dyDescent="0.25">
      <c r="A176" s="3">
        <v>138</v>
      </c>
      <c r="B176" s="67">
        <v>-2.3336161199999998</v>
      </c>
      <c r="C176" s="67">
        <v>-0.67826443999999997</v>
      </c>
      <c r="D176" s="67">
        <v>0.74943389999999999</v>
      </c>
      <c r="E176" s="68">
        <f t="shared" si="8"/>
        <v>-4.4418887577964694E-2</v>
      </c>
      <c r="F176" s="68">
        <f t="shared" si="9"/>
        <v>-2.3322408392315773E-2</v>
      </c>
      <c r="G176" s="68">
        <f t="shared" si="10"/>
        <v>5.2277216883464331E-3</v>
      </c>
      <c r="H176" s="69">
        <f t="shared" si="11"/>
        <v>-62338.183776743412</v>
      </c>
    </row>
    <row r="177" spans="1:8" x14ac:dyDescent="0.25">
      <c r="A177" s="3">
        <v>139</v>
      </c>
      <c r="B177" s="67">
        <v>-0.28488406599999999</v>
      </c>
      <c r="C177" s="67">
        <v>0.19779008200000001</v>
      </c>
      <c r="D177" s="67">
        <v>1.0892174969999999</v>
      </c>
      <c r="E177" s="68">
        <f t="shared" si="8"/>
        <v>-4.1651538388869534E-3</v>
      </c>
      <c r="F177" s="68">
        <f t="shared" si="9"/>
        <v>4.1755891956156109E-3</v>
      </c>
      <c r="G177" s="68">
        <f t="shared" si="10"/>
        <v>2.173456972153175E-2</v>
      </c>
      <c r="H177" s="70">
        <f t="shared" si="11"/>
        <v>1009.4672844900176</v>
      </c>
    </row>
    <row r="178" spans="1:8" x14ac:dyDescent="0.25">
      <c r="A178" s="3">
        <v>140</v>
      </c>
      <c r="B178" s="67">
        <v>1.327686132</v>
      </c>
      <c r="C178" s="67">
        <v>-6.9137934999999998E-2</v>
      </c>
      <c r="D178" s="67">
        <v>1.35358589</v>
      </c>
      <c r="E178" s="68">
        <f t="shared" si="8"/>
        <v>2.7518819308859716E-2</v>
      </c>
      <c r="F178" s="68">
        <f t="shared" si="9"/>
        <v>8.4468815571051188E-3</v>
      </c>
      <c r="G178" s="68">
        <f t="shared" si="10"/>
        <v>3.072455011382914E-2</v>
      </c>
      <c r="H178" s="70">
        <f t="shared" si="11"/>
        <v>32748.842960162849</v>
      </c>
    </row>
    <row r="179" spans="1:8" x14ac:dyDescent="0.25">
      <c r="A179" s="3">
        <v>141</v>
      </c>
      <c r="B179" s="67">
        <v>9.2126658E-2</v>
      </c>
      <c r="C179" s="67">
        <v>-0.83739822399999997</v>
      </c>
      <c r="D179" s="67">
        <v>-0.59440035199999997</v>
      </c>
      <c r="E179" s="68">
        <f t="shared" si="8"/>
        <v>3.2423981985025725E-3</v>
      </c>
      <c r="F179" s="68">
        <f t="shared" si="9"/>
        <v>-1.24945251434021E-2</v>
      </c>
      <c r="G179" s="68">
        <f t="shared" si="10"/>
        <v>-1.7515387122240558E-2</v>
      </c>
      <c r="H179" s="69">
        <f t="shared" si="11"/>
        <v>-10411.694835309228</v>
      </c>
    </row>
    <row r="180" spans="1:8" x14ac:dyDescent="0.25">
      <c r="A180" s="3">
        <v>142</v>
      </c>
      <c r="B180" s="67">
        <v>-1.4805365130000001</v>
      </c>
      <c r="C180" s="67">
        <v>-0.888133854</v>
      </c>
      <c r="D180" s="67">
        <v>-0.35801668800000003</v>
      </c>
      <c r="E180" s="68">
        <f t="shared" si="8"/>
        <v>-2.7657476884277631E-2</v>
      </c>
      <c r="F180" s="68">
        <f t="shared" si="9"/>
        <v>-2.2309884299230306E-2</v>
      </c>
      <c r="G180" s="68">
        <f t="shared" si="10"/>
        <v>-1.6988313820780157E-2</v>
      </c>
      <c r="H180" s="69">
        <f t="shared" si="11"/>
        <v>-47142.339242422975</v>
      </c>
    </row>
    <row r="181" spans="1:8" x14ac:dyDescent="0.25">
      <c r="A181" s="3">
        <v>143</v>
      </c>
      <c r="B181" s="67">
        <v>0.80358501900000001</v>
      </c>
      <c r="C181" s="67">
        <v>1.7207698309999999</v>
      </c>
      <c r="D181" s="67">
        <v>-1.3821815150000001</v>
      </c>
      <c r="E181" s="68">
        <f t="shared" si="8"/>
        <v>1.72212176220672E-2</v>
      </c>
      <c r="F181" s="68">
        <f t="shared" si="9"/>
        <v>3.7993193409951422E-2</v>
      </c>
      <c r="G181" s="68">
        <f t="shared" si="10"/>
        <v>-2.1887369632511856E-2</v>
      </c>
      <c r="H181" s="70">
        <f t="shared" si="11"/>
        <v>54076.18396431618</v>
      </c>
    </row>
    <row r="182" spans="1:8" x14ac:dyDescent="0.25">
      <c r="A182" s="3">
        <v>144</v>
      </c>
      <c r="B182" s="67">
        <v>0.39282746800000001</v>
      </c>
      <c r="C182" s="67">
        <v>-1.040543939</v>
      </c>
      <c r="D182" s="67">
        <v>0.47469708799999999</v>
      </c>
      <c r="E182" s="68">
        <f t="shared" si="8"/>
        <v>9.1506038700212983E-3</v>
      </c>
      <c r="F182" s="68">
        <f t="shared" si="9"/>
        <v>-1.4483732228666626E-2</v>
      </c>
      <c r="G182" s="68">
        <f t="shared" si="10"/>
        <v>5.3509537857577378E-3</v>
      </c>
      <c r="H182" s="69">
        <f t="shared" si="11"/>
        <v>-7158.4711388127034</v>
      </c>
    </row>
    <row r="183" spans="1:8" x14ac:dyDescent="0.25">
      <c r="A183" s="3">
        <v>145</v>
      </c>
      <c r="B183" s="67">
        <v>-0.131086651</v>
      </c>
      <c r="C183" s="67">
        <v>-1.830905826</v>
      </c>
      <c r="D183" s="67">
        <v>0.92829699200000004</v>
      </c>
      <c r="E183" s="68">
        <f t="shared" si="8"/>
        <v>-1.1433237361748289E-3</v>
      </c>
      <c r="F183" s="68">
        <f t="shared" si="9"/>
        <v>-3.1802021577756232E-2</v>
      </c>
      <c r="G183" s="68">
        <f t="shared" si="10"/>
        <v>1.0363917388065139E-2</v>
      </c>
      <c r="H183" s="69">
        <f t="shared" si="11"/>
        <v>-33960.32270571815</v>
      </c>
    </row>
    <row r="184" spans="1:8" x14ac:dyDescent="0.25">
      <c r="A184" s="3">
        <v>146</v>
      </c>
      <c r="B184" s="67">
        <v>-0.60500071300000002</v>
      </c>
      <c r="C184" s="67">
        <v>-0.53390023799999997</v>
      </c>
      <c r="D184" s="67">
        <v>-1.0697524110000001</v>
      </c>
      <c r="E184" s="68">
        <f t="shared" si="8"/>
        <v>-1.0454844210366025E-2</v>
      </c>
      <c r="F184" s="68">
        <f t="shared" si="9"/>
        <v>-1.0924512598505982E-2</v>
      </c>
      <c r="G184" s="68">
        <f t="shared" si="10"/>
        <v>-2.835347963208398E-2</v>
      </c>
      <c r="H184" s="69">
        <f t="shared" si="11"/>
        <v>-20654.246503604601</v>
      </c>
    </row>
    <row r="185" spans="1:8" x14ac:dyDescent="0.25">
      <c r="A185" s="3">
        <v>147</v>
      </c>
      <c r="B185" s="67">
        <v>-0.654283277</v>
      </c>
      <c r="C185" s="67">
        <v>0.42789044100000001</v>
      </c>
      <c r="D185" s="67">
        <v>-0.18924434100000001</v>
      </c>
      <c r="E185" s="68">
        <f t="shared" si="8"/>
        <v>-1.1423153953634706E-2</v>
      </c>
      <c r="F185" s="68">
        <f t="shared" si="9"/>
        <v>6.2658674017139829E-3</v>
      </c>
      <c r="G185" s="68">
        <f t="shared" si="10"/>
        <v>-5.6895155272929819E-3</v>
      </c>
      <c r="H185" s="69">
        <f t="shared" si="11"/>
        <v>-3347.3816942863577</v>
      </c>
    </row>
    <row r="186" spans="1:8" x14ac:dyDescent="0.25">
      <c r="A186" s="3">
        <v>148</v>
      </c>
      <c r="B186" s="67">
        <v>0.32866200200000001</v>
      </c>
      <c r="C186" s="67">
        <v>0.36192185399999999</v>
      </c>
      <c r="D186" s="67">
        <v>1.320661656</v>
      </c>
      <c r="E186" s="68">
        <f t="shared" si="8"/>
        <v>7.889873078718003E-3</v>
      </c>
      <c r="F186" s="68">
        <f t="shared" si="9"/>
        <v>1.062650069880963E-2</v>
      </c>
      <c r="G186" s="68">
        <f t="shared" si="10"/>
        <v>2.9048669300909949E-2</v>
      </c>
      <c r="H186" s="70">
        <f t="shared" si="11"/>
        <v>18150.177897424841</v>
      </c>
    </row>
    <row r="187" spans="1:8" x14ac:dyDescent="0.25">
      <c r="A187" s="3">
        <v>149</v>
      </c>
      <c r="B187" s="67">
        <v>-0.34278615099999998</v>
      </c>
      <c r="C187" s="67">
        <v>-1.476857817</v>
      </c>
      <c r="D187" s="67">
        <v>1.067222417</v>
      </c>
      <c r="E187" s="68">
        <f t="shared" si="8"/>
        <v>-5.3028209671855406E-3</v>
      </c>
      <c r="F187" s="68">
        <f t="shared" si="9"/>
        <v>-2.6568636270545315E-2</v>
      </c>
      <c r="G187" s="68">
        <f t="shared" si="10"/>
        <v>1.4212016705903236E-2</v>
      </c>
      <c r="H187" s="69">
        <f t="shared" si="11"/>
        <v>-32042.331683401579</v>
      </c>
    </row>
    <row r="188" spans="1:8" x14ac:dyDescent="0.25">
      <c r="A188" s="3">
        <v>150</v>
      </c>
      <c r="B188" s="67">
        <v>-0.33148817200000003</v>
      </c>
      <c r="C188" s="67">
        <v>1.114592445</v>
      </c>
      <c r="D188" s="67">
        <v>0.38337711299999999</v>
      </c>
      <c r="E188" s="68">
        <f t="shared" si="8"/>
        <v>-5.0808369173105201E-3</v>
      </c>
      <c r="F188" s="68">
        <f t="shared" si="9"/>
        <v>2.0563989977141438E-2</v>
      </c>
      <c r="G188" s="68">
        <f t="shared" si="10"/>
        <v>1.0276752314887783E-2</v>
      </c>
      <c r="H188" s="70">
        <f t="shared" si="11"/>
        <v>17151.011103624525</v>
      </c>
    </row>
    <row r="189" spans="1:8" x14ac:dyDescent="0.25">
      <c r="A189" s="3">
        <v>151</v>
      </c>
      <c r="B189" s="67">
        <v>-0.13113753</v>
      </c>
      <c r="C189" s="67">
        <v>0.34877589399999998</v>
      </c>
      <c r="D189" s="67">
        <v>1.9510125599999999</v>
      </c>
      <c r="E189" s="68">
        <f t="shared" si="8"/>
        <v>-1.1443234128845829E-3</v>
      </c>
      <c r="F189" s="68">
        <f t="shared" si="9"/>
        <v>7.7874364550407308E-3</v>
      </c>
      <c r="G189" s="68">
        <f t="shared" si="10"/>
        <v>4.1218865076166539E-2</v>
      </c>
      <c r="H189" s="70">
        <f t="shared" si="11"/>
        <v>7575.5294848727799</v>
      </c>
    </row>
    <row r="190" spans="1:8" x14ac:dyDescent="0.25">
      <c r="A190" s="3">
        <v>152</v>
      </c>
      <c r="B190" s="67">
        <v>2.0769805290000001</v>
      </c>
      <c r="C190" s="67">
        <v>6.9381134999999997E-2</v>
      </c>
      <c r="D190" s="67">
        <v>0.16019059299999999</v>
      </c>
      <c r="E190" s="68">
        <f t="shared" si="8"/>
        <v>4.2241045717204294E-2</v>
      </c>
      <c r="F190" s="68">
        <f t="shared" si="9"/>
        <v>1.5200281564684804E-2</v>
      </c>
      <c r="G190" s="68">
        <f t="shared" si="10"/>
        <v>7.8182289277330778E-3</v>
      </c>
      <c r="H190" s="70">
        <f t="shared" si="11"/>
        <v>52160.718223160344</v>
      </c>
    </row>
    <row r="191" spans="1:8" x14ac:dyDescent="0.25">
      <c r="A191" s="3">
        <v>153</v>
      </c>
      <c r="B191" s="67">
        <v>1.076240157</v>
      </c>
      <c r="C191" s="67">
        <v>-0.84566103299999995</v>
      </c>
      <c r="D191" s="67">
        <v>0.33307037299999998</v>
      </c>
      <c r="E191" s="68">
        <f t="shared" si="8"/>
        <v>2.2578378557883506E-2</v>
      </c>
      <c r="F191" s="68">
        <f t="shared" si="9"/>
        <v>-7.0791702520691113E-3</v>
      </c>
      <c r="G191" s="68">
        <f t="shared" si="10"/>
        <v>5.0008341732905841E-3</v>
      </c>
      <c r="H191" s="70">
        <f t="shared" si="11"/>
        <v>12068.44715716218</v>
      </c>
    </row>
    <row r="192" spans="1:8" x14ac:dyDescent="0.25">
      <c r="A192" s="3">
        <v>154</v>
      </c>
      <c r="B192" s="67">
        <v>-2.5862848000000001E-2</v>
      </c>
      <c r="C192" s="67">
        <v>0.31390821099999999</v>
      </c>
      <c r="D192" s="67">
        <v>-0.83336880599999996</v>
      </c>
      <c r="E192" s="68">
        <f t="shared" si="8"/>
        <v>9.2412619740988298E-4</v>
      </c>
      <c r="F192" s="68">
        <f t="shared" si="9"/>
        <v>7.7494890763692738E-3</v>
      </c>
      <c r="G192" s="68">
        <f t="shared" si="10"/>
        <v>-1.8214267156783006E-2</v>
      </c>
      <c r="H192" s="70">
        <f t="shared" si="11"/>
        <v>8656.6402681321524</v>
      </c>
    </row>
    <row r="193" spans="1:8" x14ac:dyDescent="0.25">
      <c r="A193" s="3">
        <v>155</v>
      </c>
      <c r="B193" s="67">
        <v>-1.5895674930000001</v>
      </c>
      <c r="C193" s="67">
        <v>-2.0729834359999999</v>
      </c>
      <c r="D193" s="67">
        <v>-1.117384113</v>
      </c>
      <c r="E193" s="68">
        <f t="shared" si="8"/>
        <v>-2.9799730689338028E-2</v>
      </c>
      <c r="F193" s="68">
        <f t="shared" si="9"/>
        <v>-4.4447008972315398E-2</v>
      </c>
      <c r="G193" s="68">
        <f t="shared" si="10"/>
        <v>-3.8413357170160929E-2</v>
      </c>
      <c r="H193" s="69">
        <f t="shared" si="11"/>
        <v>-72253.05229876966</v>
      </c>
    </row>
    <row r="194" spans="1:8" x14ac:dyDescent="0.25">
      <c r="A194" s="3">
        <v>156</v>
      </c>
      <c r="B194" s="67">
        <v>-0.45867528499999999</v>
      </c>
      <c r="C194" s="67">
        <v>-0.29319158699999998</v>
      </c>
      <c r="D194" s="67">
        <v>1.937231162</v>
      </c>
      <c r="E194" s="68">
        <f t="shared" si="8"/>
        <v>-7.579824606670893E-3</v>
      </c>
      <c r="F194" s="68">
        <f t="shared" si="9"/>
        <v>-5.7249901402149153E-3</v>
      </c>
      <c r="G194" s="68">
        <f t="shared" si="10"/>
        <v>3.7381497334277182E-2</v>
      </c>
      <c r="H194" s="69">
        <f t="shared" si="11"/>
        <v>-12051.616330178329</v>
      </c>
    </row>
    <row r="195" spans="1:8" x14ac:dyDescent="0.25">
      <c r="A195" s="3">
        <v>157</v>
      </c>
      <c r="B195" s="67">
        <v>1.10599337</v>
      </c>
      <c r="C195" s="67">
        <v>-0.96209111599999997</v>
      </c>
      <c r="D195" s="67">
        <v>0.347708452</v>
      </c>
      <c r="E195" s="68">
        <f t="shared" si="8"/>
        <v>2.3162973264470775E-2</v>
      </c>
      <c r="F195" s="68">
        <f t="shared" si="9"/>
        <v>-9.0256372040013206E-3</v>
      </c>
      <c r="G195" s="68">
        <f t="shared" si="10"/>
        <v>4.9166023061909935E-3</v>
      </c>
      <c r="H195" s="70">
        <f t="shared" si="11"/>
        <v>10543.808547188886</v>
      </c>
    </row>
    <row r="196" spans="1:8" x14ac:dyDescent="0.25">
      <c r="A196" s="3">
        <v>158</v>
      </c>
      <c r="B196" s="67">
        <v>-0.40707823599999998</v>
      </c>
      <c r="C196" s="67">
        <v>-0.28436383799999998</v>
      </c>
      <c r="D196" s="67">
        <v>0.18532564900000001</v>
      </c>
      <c r="E196" s="68">
        <f t="shared" si="8"/>
        <v>-6.5660395838256624E-3</v>
      </c>
      <c r="F196" s="68">
        <f t="shared" si="9"/>
        <v>-5.2728554499259454E-3</v>
      </c>
      <c r="G196" s="68">
        <f t="shared" si="10"/>
        <v>7.3147216739892279E-5</v>
      </c>
      <c r="H196" s="69">
        <f t="shared" si="11"/>
        <v>-11122.01658868437</v>
      </c>
    </row>
    <row r="197" spans="1:8" x14ac:dyDescent="0.25">
      <c r="A197" s="3">
        <v>159</v>
      </c>
      <c r="B197" s="67">
        <v>0.61917111700000005</v>
      </c>
      <c r="C197" s="67">
        <v>-0.33925848400000003</v>
      </c>
      <c r="D197" s="67">
        <v>1.063851533</v>
      </c>
      <c r="E197" s="68">
        <f t="shared" si="8"/>
        <v>1.3597831101414668E-2</v>
      </c>
      <c r="F197" s="68">
        <f t="shared" si="9"/>
        <v>-4.6618874352805442E-4</v>
      </c>
      <c r="G197" s="68">
        <f t="shared" si="10"/>
        <v>2.1465935569392885E-2</v>
      </c>
      <c r="H197" s="70">
        <f t="shared" si="11"/>
        <v>11422.958485365287</v>
      </c>
    </row>
    <row r="198" spans="1:8" x14ac:dyDescent="0.25">
      <c r="A198" s="3">
        <v>160</v>
      </c>
      <c r="B198" s="67">
        <v>-1.1419382259999999</v>
      </c>
      <c r="C198" s="67">
        <v>6.3390620000000003E-3</v>
      </c>
      <c r="D198" s="67">
        <v>2.5976737270000001</v>
      </c>
      <c r="E198" s="68">
        <f t="shared" si="8"/>
        <v>-2.1004657027823212E-2</v>
      </c>
      <c r="F198" s="68">
        <f t="shared" si="9"/>
        <v>-4.1486295052006999E-3</v>
      </c>
      <c r="G198" s="68">
        <f t="shared" si="10"/>
        <v>5.0868402795973169E-2</v>
      </c>
      <c r="H198" s="69">
        <f t="shared" si="11"/>
        <v>-21785.72896573809</v>
      </c>
    </row>
    <row r="199" spans="1:8" x14ac:dyDescent="0.25">
      <c r="A199" s="3">
        <v>161</v>
      </c>
      <c r="B199" s="67">
        <v>0.223079743</v>
      </c>
      <c r="C199" s="67">
        <v>1.433214507</v>
      </c>
      <c r="D199" s="67">
        <v>9.1520177999999994E-2</v>
      </c>
      <c r="E199" s="68">
        <f t="shared" si="8"/>
        <v>5.8153801585440956E-3</v>
      </c>
      <c r="F199" s="68">
        <f t="shared" si="9"/>
        <v>2.9487384143498292E-2</v>
      </c>
      <c r="G199" s="68">
        <f t="shared" si="10"/>
        <v>6.8672763660602518E-3</v>
      </c>
      <c r="H199" s="70">
        <f t="shared" si="11"/>
        <v>35751.779508626169</v>
      </c>
    </row>
    <row r="200" spans="1:8" x14ac:dyDescent="0.25">
      <c r="A200" s="3">
        <v>162</v>
      </c>
      <c r="B200" s="67">
        <v>0.58077709499999997</v>
      </c>
      <c r="C200" s="67">
        <v>-5.6783194000000002E-2</v>
      </c>
      <c r="D200" s="67">
        <v>-0.170407581</v>
      </c>
      <c r="E200" s="68">
        <f t="shared" si="8"/>
        <v>1.2843460740613794E-2</v>
      </c>
      <c r="F200" s="68">
        <f t="shared" si="9"/>
        <v>4.4473053689453486E-3</v>
      </c>
      <c r="G200" s="68">
        <f t="shared" si="10"/>
        <v>-3.887048743963774E-3</v>
      </c>
      <c r="H200" s="70">
        <f t="shared" si="11"/>
        <v>15609.090108656612</v>
      </c>
    </row>
    <row r="201" spans="1:8" x14ac:dyDescent="0.25">
      <c r="A201" s="3">
        <v>163</v>
      </c>
      <c r="B201" s="67">
        <v>-0.77948239699999999</v>
      </c>
      <c r="C201" s="67">
        <v>0.43030135899999999</v>
      </c>
      <c r="D201" s="67">
        <v>-0.85153718899999997</v>
      </c>
      <c r="E201" s="68">
        <f t="shared" si="8"/>
        <v>-1.3883081317492335E-2</v>
      </c>
      <c r="F201" s="68">
        <f t="shared" si="9"/>
        <v>5.6016215909483798E-3</v>
      </c>
      <c r="G201" s="68">
        <f t="shared" si="10"/>
        <v>-2.0195120921473519E-2</v>
      </c>
      <c r="H201" s="69">
        <f t="shared" si="11"/>
        <v>-6309.8720344498724</v>
      </c>
    </row>
    <row r="202" spans="1:8" x14ac:dyDescent="0.25">
      <c r="A202" s="3">
        <v>164</v>
      </c>
      <c r="B202" s="67">
        <v>0.66558523599999997</v>
      </c>
      <c r="C202" s="67">
        <v>1.085287004</v>
      </c>
      <c r="D202" s="67">
        <v>0.36653140699999998</v>
      </c>
      <c r="E202" s="68">
        <f t="shared" si="8"/>
        <v>1.4509781292417959E-2</v>
      </c>
      <c r="F202" s="68">
        <f t="shared" si="9"/>
        <v>2.5670437597542207E-2</v>
      </c>
      <c r="G202" s="68">
        <f t="shared" si="10"/>
        <v>1.2535921172852222E-2</v>
      </c>
      <c r="H202" s="70">
        <f t="shared" si="11"/>
        <v>39305.078147581342</v>
      </c>
    </row>
    <row r="203" spans="1:8" x14ac:dyDescent="0.25">
      <c r="A203" s="3">
        <v>165</v>
      </c>
      <c r="B203" s="67">
        <v>-0.286248734</v>
      </c>
      <c r="C203" s="67">
        <v>0.45396557900000001</v>
      </c>
      <c r="D203" s="67">
        <v>-0.308673056</v>
      </c>
      <c r="E203" s="68">
        <f t="shared" si="8"/>
        <v>-4.1919669998403278E-3</v>
      </c>
      <c r="F203" s="68">
        <f t="shared" si="9"/>
        <v>8.8208091151998E-3</v>
      </c>
      <c r="G203" s="68">
        <f t="shared" si="10"/>
        <v>-7.1262082128391458E-3</v>
      </c>
      <c r="H203" s="70">
        <f t="shared" si="11"/>
        <v>5502.2756277357885</v>
      </c>
    </row>
    <row r="204" spans="1:8" x14ac:dyDescent="0.25">
      <c r="A204" s="3">
        <v>166</v>
      </c>
      <c r="B204" s="67">
        <v>0.93554712500000003</v>
      </c>
      <c r="C204" s="67">
        <v>-1.8314060839999999</v>
      </c>
      <c r="D204" s="67">
        <v>-0.33560736800000002</v>
      </c>
      <c r="E204" s="68">
        <f t="shared" si="8"/>
        <v>1.9814024948042665E-2</v>
      </c>
      <c r="F204" s="68">
        <f t="shared" si="9"/>
        <v>-2.5778999903733179E-2</v>
      </c>
      <c r="G204" s="68">
        <f t="shared" si="10"/>
        <v>-1.3751182561567016E-2</v>
      </c>
      <c r="H204" s="69">
        <f t="shared" si="11"/>
        <v>-9969.9418763852464</v>
      </c>
    </row>
    <row r="205" spans="1:8" x14ac:dyDescent="0.25">
      <c r="A205" s="3">
        <v>167</v>
      </c>
      <c r="B205" s="67">
        <v>-1.9908119950000001</v>
      </c>
      <c r="C205" s="67">
        <v>-1.4950608299999999</v>
      </c>
      <c r="D205" s="67">
        <v>1.3638622300000001</v>
      </c>
      <c r="E205" s="68">
        <f t="shared" si="8"/>
        <v>-3.7683430910771108E-2</v>
      </c>
      <c r="F205" s="68">
        <f t="shared" si="9"/>
        <v>-3.621929939862336E-2</v>
      </c>
      <c r="G205" s="68">
        <f t="shared" si="10"/>
        <v>1.5955208552374402E-2</v>
      </c>
      <c r="H205" s="69">
        <f t="shared" si="11"/>
        <v>-69859.168335029288</v>
      </c>
    </row>
    <row r="206" spans="1:8" x14ac:dyDescent="0.25">
      <c r="A206" s="3">
        <v>168</v>
      </c>
      <c r="B206" s="67">
        <v>0.89518498199999996</v>
      </c>
      <c r="C206" s="67">
        <v>-0.71948023299999997</v>
      </c>
      <c r="D206" s="67">
        <v>-1.5025034559999999</v>
      </c>
      <c r="E206" s="68">
        <f t="shared" si="8"/>
        <v>1.9020984709184473E-2</v>
      </c>
      <c r="F206" s="68">
        <f t="shared" si="9"/>
        <v>-5.8112544768920034E-3</v>
      </c>
      <c r="G206" s="68">
        <f t="shared" si="10"/>
        <v>-3.4254188307991873E-2</v>
      </c>
      <c r="H206" s="70">
        <f t="shared" si="11"/>
        <v>9901.8737711046051</v>
      </c>
    </row>
    <row r="207" spans="1:8" x14ac:dyDescent="0.25">
      <c r="A207" s="3">
        <v>169</v>
      </c>
      <c r="B207" s="67">
        <v>-2.9645288380000001</v>
      </c>
      <c r="C207" s="67">
        <v>-0.54349550800000002</v>
      </c>
      <c r="D207" s="67">
        <v>2.4204150119999999</v>
      </c>
      <c r="E207" s="68">
        <f t="shared" si="8"/>
        <v>-5.6815136522957214E-2</v>
      </c>
      <c r="F207" s="68">
        <f t="shared" si="9"/>
        <v>-2.4442573999207091E-2</v>
      </c>
      <c r="G207" s="68">
        <f t="shared" si="10"/>
        <v>3.9803398919874132E-2</v>
      </c>
      <c r="H207" s="69">
        <f t="shared" si="11"/>
        <v>-73763.06849481682</v>
      </c>
    </row>
    <row r="208" spans="1:8" x14ac:dyDescent="0.25">
      <c r="A208" s="3">
        <v>170</v>
      </c>
      <c r="B208" s="67">
        <v>0.43488427099999999</v>
      </c>
      <c r="C208" s="67">
        <v>-0.55957228599999997</v>
      </c>
      <c r="D208" s="67">
        <v>0.46508020999999999</v>
      </c>
      <c r="E208" s="68">
        <f t="shared" si="8"/>
        <v>9.976940992327505E-3</v>
      </c>
      <c r="F208" s="68">
        <f t="shared" si="9"/>
        <v>-5.5099600912938522E-3</v>
      </c>
      <c r="G208" s="68">
        <f t="shared" si="10"/>
        <v>7.2404195337436705E-3</v>
      </c>
      <c r="H208" s="70">
        <f t="shared" si="11"/>
        <v>2909.7235127368876</v>
      </c>
    </row>
    <row r="209" spans="1:8" x14ac:dyDescent="0.25">
      <c r="A209" s="3">
        <v>171</v>
      </c>
      <c r="B209" s="67">
        <v>-1.560958353</v>
      </c>
      <c r="C209" s="67">
        <v>-0.29732336300000001</v>
      </c>
      <c r="D209" s="67">
        <v>9.9477472999999997E-2</v>
      </c>
      <c r="E209" s="68">
        <f t="shared" si="8"/>
        <v>-2.9237614866619514E-2</v>
      </c>
      <c r="F209" s="68">
        <f t="shared" si="9"/>
        <v>-1.2033750413553247E-2</v>
      </c>
      <c r="G209" s="68">
        <f t="shared" si="10"/>
        <v>-4.9883302152468742E-3</v>
      </c>
      <c r="H209" s="69">
        <f t="shared" si="11"/>
        <v>-37673.084413518882</v>
      </c>
    </row>
    <row r="210" spans="1:8" x14ac:dyDescent="0.25">
      <c r="A210" s="3">
        <v>172</v>
      </c>
      <c r="B210" s="67">
        <v>-8.6100652E-2</v>
      </c>
      <c r="C210" s="67">
        <v>0.790806122</v>
      </c>
      <c r="D210" s="67">
        <v>0.34464522600000003</v>
      </c>
      <c r="E210" s="68">
        <f t="shared" si="8"/>
        <v>-2.5943341865045729E-4</v>
      </c>
      <c r="F210" s="68">
        <f t="shared" si="9"/>
        <v>1.6070765300103915E-2</v>
      </c>
      <c r="G210" s="68">
        <f t="shared" si="10"/>
        <v>8.78968962005202E-3</v>
      </c>
      <c r="H210" s="70">
        <f t="shared" si="11"/>
        <v>16597.38502019213</v>
      </c>
    </row>
    <row r="211" spans="1:8" x14ac:dyDescent="0.25">
      <c r="A211" s="3">
        <v>173</v>
      </c>
      <c r="B211" s="67">
        <v>0.66832601800000002</v>
      </c>
      <c r="C211" s="67">
        <v>-0.688372282</v>
      </c>
      <c r="D211" s="67">
        <v>0.89781540800000004</v>
      </c>
      <c r="E211" s="68">
        <f t="shared" si="8"/>
        <v>1.4563632506708991E-2</v>
      </c>
      <c r="F211" s="68">
        <f t="shared" si="9"/>
        <v>-6.5291880485247953E-3</v>
      </c>
      <c r="G211" s="68">
        <f t="shared" si="10"/>
        <v>1.6611323157187132E-2</v>
      </c>
      <c r="H211" s="70">
        <f t="shared" si="11"/>
        <v>5889.3053302476292</v>
      </c>
    </row>
    <row r="212" spans="1:8" x14ac:dyDescent="0.25">
      <c r="A212" s="3">
        <v>174</v>
      </c>
      <c r="B212" s="67">
        <v>1.628936948</v>
      </c>
      <c r="C212" s="67">
        <v>-0.97014951999999999</v>
      </c>
      <c r="D212" s="67">
        <v>-0.887695656</v>
      </c>
      <c r="E212" s="68">
        <f t="shared" si="8"/>
        <v>3.3437831564399847E-2</v>
      </c>
      <c r="F212" s="68">
        <f t="shared" si="9"/>
        <v>-6.2146126608901946E-3</v>
      </c>
      <c r="G212" s="68">
        <f t="shared" si="10"/>
        <v>-2.0113988731205852E-2</v>
      </c>
      <c r="H212" s="70">
        <f t="shared" si="11"/>
        <v>22012.492696836864</v>
      </c>
    </row>
    <row r="213" spans="1:8" x14ac:dyDescent="0.25">
      <c r="A213" s="3">
        <v>175</v>
      </c>
      <c r="B213" s="67">
        <v>1.3357843359999999</v>
      </c>
      <c r="C213" s="67">
        <v>-0.19134398699999999</v>
      </c>
      <c r="D213" s="67">
        <v>1.403821392</v>
      </c>
      <c r="E213" s="68">
        <f t="shared" si="8"/>
        <v>2.7677933794789819E-2</v>
      </c>
      <c r="F213" s="68">
        <f t="shared" si="9"/>
        <v>6.273040142817439E-3</v>
      </c>
      <c r="G213" s="68">
        <f t="shared" si="10"/>
        <v>3.1318728072018784E-2</v>
      </c>
      <c r="H213" s="70">
        <f t="shared" si="11"/>
        <v>30629.866738893084</v>
      </c>
    </row>
    <row r="214" spans="1:8" x14ac:dyDescent="0.25">
      <c r="A214" s="3">
        <v>176</v>
      </c>
      <c r="B214" s="67">
        <v>-0.44253571200000003</v>
      </c>
      <c r="C214" s="67">
        <v>1.4550455760000001</v>
      </c>
      <c r="D214" s="67">
        <v>0.131485817</v>
      </c>
      <c r="E214" s="68">
        <f t="shared" si="8"/>
        <v>-7.2627123357245985E-3</v>
      </c>
      <c r="F214" s="68">
        <f t="shared" si="9"/>
        <v>2.6119664918234777E-2</v>
      </c>
      <c r="G214" s="68">
        <f t="shared" si="10"/>
        <v>5.9829954438981019E-3</v>
      </c>
      <c r="H214" s="70">
        <f t="shared" si="11"/>
        <v>21012.141331805207</v>
      </c>
    </row>
    <row r="215" spans="1:8" x14ac:dyDescent="0.25">
      <c r="A215" s="3">
        <v>177</v>
      </c>
      <c r="B215" s="67">
        <v>0.258228823</v>
      </c>
      <c r="C215" s="67">
        <v>1.5647180220000001</v>
      </c>
      <c r="D215" s="67">
        <v>-0.36177047699999998</v>
      </c>
      <c r="E215" s="68">
        <f t="shared" si="8"/>
        <v>6.5059935087531141E-3</v>
      </c>
      <c r="F215" s="68">
        <f t="shared" si="9"/>
        <v>3.2074671481923063E-2</v>
      </c>
      <c r="G215" s="68">
        <f t="shared" si="10"/>
        <v>-2.1941709724523986E-3</v>
      </c>
      <c r="H215" s="70">
        <f t="shared" si="11"/>
        <v>38937.050161946325</v>
      </c>
    </row>
    <row r="216" spans="1:8" x14ac:dyDescent="0.25">
      <c r="A216" s="3">
        <v>178</v>
      </c>
      <c r="B216" s="67">
        <v>-0.94112209599999996</v>
      </c>
      <c r="C216" s="67">
        <v>-0.44856420800000002</v>
      </c>
      <c r="D216" s="67">
        <v>0.45233395100000001</v>
      </c>
      <c r="E216" s="68">
        <f t="shared" si="8"/>
        <v>-1.705899755920242E-2</v>
      </c>
      <c r="F216" s="68">
        <f t="shared" si="9"/>
        <v>-1.1275406012237654E-2</v>
      </c>
      <c r="G216" s="68">
        <f t="shared" si="10"/>
        <v>3.6429224999252382E-3</v>
      </c>
      <c r="H216" s="69">
        <f t="shared" si="11"/>
        <v>-26335.458465790121</v>
      </c>
    </row>
    <row r="217" spans="1:8" x14ac:dyDescent="0.25">
      <c r="A217" s="3">
        <v>179</v>
      </c>
      <c r="B217" s="67">
        <v>-1.5657590720000001</v>
      </c>
      <c r="C217" s="67">
        <v>0.63747090299999998</v>
      </c>
      <c r="D217" s="67">
        <v>-0.538771318</v>
      </c>
      <c r="E217" s="68">
        <f t="shared" si="8"/>
        <v>-2.9331939970775926E-2</v>
      </c>
      <c r="F217" s="68">
        <f t="shared" si="9"/>
        <v>4.9178485151128003E-3</v>
      </c>
      <c r="G217" s="68">
        <f t="shared" si="10"/>
        <v>-1.4810911334364026E-2</v>
      </c>
      <c r="H217" s="69">
        <f t="shared" si="11"/>
        <v>-20222.455728619967</v>
      </c>
    </row>
    <row r="218" spans="1:8" x14ac:dyDescent="0.25">
      <c r="A218" s="3">
        <v>180</v>
      </c>
      <c r="B218" s="67">
        <v>1.1478126609999999</v>
      </c>
      <c r="C218" s="67">
        <v>-2.394260305</v>
      </c>
      <c r="D218" s="67">
        <v>-0.78656577500000002</v>
      </c>
      <c r="E218" s="68">
        <f t="shared" si="8"/>
        <v>2.3984643722442245E-2</v>
      </c>
      <c r="F218" s="68">
        <f t="shared" si="9"/>
        <v>-3.4801749233963779E-2</v>
      </c>
      <c r="G218" s="68">
        <f t="shared" si="10"/>
        <v>-2.513390564623643E-2</v>
      </c>
      <c r="H218" s="69">
        <f t="shared" si="11"/>
        <v>-15904.611730802631</v>
      </c>
    </row>
    <row r="219" spans="1:8" x14ac:dyDescent="0.25">
      <c r="A219" s="3">
        <v>181</v>
      </c>
      <c r="B219" s="67">
        <v>-1.6864681509999999</v>
      </c>
      <c r="C219" s="67">
        <v>-0.82622946600000002</v>
      </c>
      <c r="D219" s="67">
        <v>0.24766590099999999</v>
      </c>
      <c r="E219" s="68">
        <f t="shared" si="8"/>
        <v>-3.1703646469177449E-2</v>
      </c>
      <c r="F219" s="68">
        <f t="shared" si="9"/>
        <v>-2.2350109753120028E-2</v>
      </c>
      <c r="G219" s="68">
        <f t="shared" si="10"/>
        <v>-4.339353209691886E-3</v>
      </c>
      <c r="H219" s="69">
        <f t="shared" si="11"/>
        <v>-50517.820763005104</v>
      </c>
    </row>
    <row r="220" spans="1:8" x14ac:dyDescent="0.25">
      <c r="A220" s="3">
        <v>182</v>
      </c>
      <c r="B220" s="67">
        <v>-0.179226625</v>
      </c>
      <c r="C220" s="67">
        <v>-0.25337756900000002</v>
      </c>
      <c r="D220" s="67">
        <v>-0.15918487100000001</v>
      </c>
      <c r="E220" s="68">
        <f t="shared" si="8"/>
        <v>-2.0891837337370699E-3</v>
      </c>
      <c r="F220" s="68">
        <f t="shared" si="9"/>
        <v>-3.4214855498371469E-3</v>
      </c>
      <c r="G220" s="68">
        <f t="shared" si="10"/>
        <v>-6.5447941457504235E-3</v>
      </c>
      <c r="H220" s="69">
        <f t="shared" si="11"/>
        <v>-5425.7349495887393</v>
      </c>
    </row>
    <row r="221" spans="1:8" x14ac:dyDescent="0.25">
      <c r="A221" s="3">
        <v>183</v>
      </c>
      <c r="B221" s="67">
        <v>0.203388241</v>
      </c>
      <c r="C221" s="67">
        <v>-1.008536042</v>
      </c>
      <c r="D221" s="67">
        <v>0.70684964100000003</v>
      </c>
      <c r="E221" s="68">
        <f t="shared" si="8"/>
        <v>5.4284791595174478E-3</v>
      </c>
      <c r="F221" s="68">
        <f t="shared" si="9"/>
        <v>-1.4973701080674758E-2</v>
      </c>
      <c r="G221" s="68">
        <f t="shared" si="10"/>
        <v>9.929559438092924E-3</v>
      </c>
      <c r="H221" s="69">
        <f t="shared" si="11"/>
        <v>-10812.733683179958</v>
      </c>
    </row>
    <row r="222" spans="1:8" x14ac:dyDescent="0.25">
      <c r="A222" s="3">
        <v>184</v>
      </c>
      <c r="B222" s="67">
        <v>0.66266597000000005</v>
      </c>
      <c r="C222" s="67">
        <v>0.38503793800000002</v>
      </c>
      <c r="D222" s="67">
        <v>0.55653344299999996</v>
      </c>
      <c r="E222" s="68">
        <f t="shared" si="8"/>
        <v>1.4452423203033794E-2</v>
      </c>
      <c r="F222" s="68">
        <f t="shared" si="9"/>
        <v>1.293524458266429E-2</v>
      </c>
      <c r="G222" s="68">
        <f t="shared" si="10"/>
        <v>1.3711280745098631E-2</v>
      </c>
      <c r="H222" s="70">
        <f t="shared" si="11"/>
        <v>26016.566400817399</v>
      </c>
    </row>
    <row r="223" spans="1:8" x14ac:dyDescent="0.25">
      <c r="A223" s="3">
        <v>185</v>
      </c>
      <c r="B223" s="67">
        <v>0.29641800099999999</v>
      </c>
      <c r="C223" s="67">
        <v>2.0350733029999999</v>
      </c>
      <c r="D223" s="67">
        <v>-8.7094170999999998E-2</v>
      </c>
      <c r="E223" s="68">
        <f t="shared" si="8"/>
        <v>7.2563390700112898E-3</v>
      </c>
      <c r="F223" s="68">
        <f t="shared" si="9"/>
        <v>4.0833745060321815E-2</v>
      </c>
      <c r="G223" s="68">
        <f t="shared" si="10"/>
        <v>5.7241469154291139E-3</v>
      </c>
      <c r="H223" s="70">
        <f t="shared" si="11"/>
        <v>48783.0290040935</v>
      </c>
    </row>
    <row r="224" spans="1:8" x14ac:dyDescent="0.25">
      <c r="A224" s="3">
        <v>186</v>
      </c>
      <c r="B224" s="67">
        <v>-0.30708321799999999</v>
      </c>
      <c r="C224" s="67">
        <v>-0.75352757999999997</v>
      </c>
      <c r="D224" s="67">
        <v>-1.032262671</v>
      </c>
      <c r="E224" s="68">
        <f t="shared" si="8"/>
        <v>-4.6013254466365505E-3</v>
      </c>
      <c r="F224" s="68">
        <f t="shared" si="9"/>
        <v>-1.3228817299841645E-2</v>
      </c>
      <c r="G224" s="68">
        <f t="shared" si="10"/>
        <v>-2.7636504602436242E-2</v>
      </c>
      <c r="H224" s="69">
        <f t="shared" si="11"/>
        <v>-18019.894744973575</v>
      </c>
    </row>
    <row r="225" spans="1:8" x14ac:dyDescent="0.25">
      <c r="A225" s="3">
        <v>187</v>
      </c>
      <c r="B225" s="67">
        <v>-1.244471788</v>
      </c>
      <c r="C225" s="67">
        <v>-0.88879731299999998</v>
      </c>
      <c r="D225" s="67">
        <v>-7.0680382E-2</v>
      </c>
      <c r="E225" s="68">
        <f t="shared" si="8"/>
        <v>-2.3019248782762007E-2</v>
      </c>
      <c r="F225" s="68">
        <f t="shared" si="9"/>
        <v>-2.098692369686125E-2</v>
      </c>
      <c r="G225" s="68">
        <f t="shared" si="10"/>
        <v>-1.0193977157476415E-2</v>
      </c>
      <c r="H225" s="69">
        <f t="shared" si="11"/>
        <v>-41709.631052547134</v>
      </c>
    </row>
    <row r="226" spans="1:8" x14ac:dyDescent="0.25">
      <c r="A226" s="3">
        <v>188</v>
      </c>
      <c r="B226" s="67">
        <v>0.334295128</v>
      </c>
      <c r="C226" s="67">
        <v>5.1142058999999997E-2</v>
      </c>
      <c r="D226" s="67">
        <v>-0.76553527700000001</v>
      </c>
      <c r="E226" s="68">
        <f t="shared" si="8"/>
        <v>8.0005534157000652E-3</v>
      </c>
      <c r="F226" s="68">
        <f t="shared" si="9"/>
        <v>5.0136375439753106E-3</v>
      </c>
      <c r="G226" s="68">
        <f t="shared" si="10"/>
        <v>-1.6854512056071139E-2</v>
      </c>
      <c r="H226" s="70">
        <f t="shared" si="11"/>
        <v>11898.678219621366</v>
      </c>
    </row>
    <row r="227" spans="1:8" x14ac:dyDescent="0.25">
      <c r="A227" s="3">
        <v>189</v>
      </c>
      <c r="B227" s="67">
        <v>0.90018456400000002</v>
      </c>
      <c r="C227" s="67">
        <v>0.73941267200000005</v>
      </c>
      <c r="D227" s="67">
        <v>-0.15964830699999999</v>
      </c>
      <c r="E227" s="68">
        <f t="shared" si="8"/>
        <v>1.9119217097476424E-2</v>
      </c>
      <c r="F227" s="68">
        <f t="shared" si="9"/>
        <v>2.071501632289335E-2</v>
      </c>
      <c r="G227" s="68">
        <f t="shared" si="10"/>
        <v>4.981061335557794E-4</v>
      </c>
      <c r="H227" s="70">
        <f t="shared" si="11"/>
        <v>37972.30220741393</v>
      </c>
    </row>
    <row r="228" spans="1:8" x14ac:dyDescent="0.25">
      <c r="A228" s="3">
        <v>190</v>
      </c>
      <c r="B228" s="67">
        <v>-0.65291614499999995</v>
      </c>
      <c r="C228" s="67">
        <v>0.54842792100000004</v>
      </c>
      <c r="D228" s="67">
        <v>0.187973587</v>
      </c>
      <c r="E228" s="68">
        <f t="shared" si="8"/>
        <v>-1.1396292379713057E-2</v>
      </c>
      <c r="F228" s="68">
        <f t="shared" si="9"/>
        <v>8.4629314830075297E-3</v>
      </c>
      <c r="G228" s="68">
        <f t="shared" si="10"/>
        <v>2.8819089810717593E-3</v>
      </c>
      <c r="H228" s="69">
        <f t="shared" si="11"/>
        <v>-943.62268976330313</v>
      </c>
    </row>
    <row r="229" spans="1:8" x14ac:dyDescent="0.25">
      <c r="A229" s="3">
        <v>191</v>
      </c>
      <c r="B229" s="67">
        <v>-1.4481272590000001</v>
      </c>
      <c r="C229" s="67">
        <v>-6.7980256000000003E-2</v>
      </c>
      <c r="D229" s="67">
        <v>0.26203581199999998</v>
      </c>
      <c r="E229" s="68">
        <f t="shared" si="8"/>
        <v>-2.7020695964756689E-2</v>
      </c>
      <c r="F229" s="68">
        <f t="shared" si="9"/>
        <v>-7.2300809921588896E-3</v>
      </c>
      <c r="G229" s="68">
        <f t="shared" si="10"/>
        <v>-2.5592075158966201E-4</v>
      </c>
      <c r="H229" s="69">
        <f t="shared" si="11"/>
        <v>-30719.37895958982</v>
      </c>
    </row>
    <row r="230" spans="1:8" x14ac:dyDescent="0.25">
      <c r="A230" s="3">
        <v>192</v>
      </c>
      <c r="B230" s="67">
        <v>-0.89969478599999997</v>
      </c>
      <c r="C230" s="67">
        <v>0.189843393</v>
      </c>
      <c r="D230" s="67">
        <v>-1.454822485</v>
      </c>
      <c r="E230" s="68">
        <f t="shared" si="8"/>
        <v>-1.6245028791051233E-2</v>
      </c>
      <c r="F230" s="68">
        <f t="shared" si="9"/>
        <v>5.5432877649960787E-4</v>
      </c>
      <c r="G230" s="68">
        <f t="shared" si="10"/>
        <v>-3.4424042347857481E-2</v>
      </c>
      <c r="H230" s="69">
        <f t="shared" si="11"/>
        <v>-13746.208140602896</v>
      </c>
    </row>
    <row r="231" spans="1:8" x14ac:dyDescent="0.25">
      <c r="A231" s="3">
        <v>193</v>
      </c>
      <c r="B231" s="67">
        <v>1.3361860999999999</v>
      </c>
      <c r="C231" s="67">
        <v>1.247949985</v>
      </c>
      <c r="D231" s="67">
        <v>-0.25251733399999998</v>
      </c>
      <c r="E231" s="68">
        <f t="shared" ref="E231:E294" si="12">$B$14*B231+$B$26</f>
        <v>2.7685827702170422E-2</v>
      </c>
      <c r="F231" s="68">
        <f t="shared" ref="F231:F294" si="13">$B$15*B231+$C$15*C231+$B$27</f>
        <v>3.2417331916227941E-2</v>
      </c>
      <c r="G231" s="68">
        <f t="shared" ref="G231:G294" si="14">$B$16*B231+$C$16*C231+$D$16*D231+$B$28</f>
        <v>1.8023127394915463E-3</v>
      </c>
      <c r="H231" s="70">
        <f t="shared" ref="H231:H294" si="15">E231*$B$32+F231*$B$33+G231*$B$34</f>
        <v>57517.154406339556</v>
      </c>
    </row>
    <row r="232" spans="1:8" x14ac:dyDescent="0.25">
      <c r="A232" s="3">
        <v>194</v>
      </c>
      <c r="B232" s="67">
        <v>0.36345433799999999</v>
      </c>
      <c r="C232" s="67">
        <v>-2.4099219660000002</v>
      </c>
      <c r="D232" s="67">
        <v>-1.15634766</v>
      </c>
      <c r="E232" s="68">
        <f t="shared" si="12"/>
        <v>8.573477079919678E-3</v>
      </c>
      <c r="F232" s="68">
        <f t="shared" si="13"/>
        <v>-3.9521975762306004E-2</v>
      </c>
      <c r="G232" s="68">
        <f t="shared" si="14"/>
        <v>-3.5266438494492215E-2</v>
      </c>
      <c r="H232" s="69">
        <f t="shared" si="15"/>
        <v>-34156.135758833923</v>
      </c>
    </row>
    <row r="233" spans="1:8" x14ac:dyDescent="0.25">
      <c r="A233" s="3">
        <v>195</v>
      </c>
      <c r="B233" s="67">
        <v>-0.29377892</v>
      </c>
      <c r="C233" s="67">
        <v>-1.072133021</v>
      </c>
      <c r="D233" s="67">
        <v>0.71439648300000003</v>
      </c>
      <c r="E233" s="68">
        <f t="shared" si="12"/>
        <v>-4.3399209998072419E-3</v>
      </c>
      <c r="F233" s="68">
        <f t="shared" si="13"/>
        <v>-1.894043574186121E-2</v>
      </c>
      <c r="G233" s="68">
        <f t="shared" si="14"/>
        <v>8.4629219374730107E-3</v>
      </c>
      <c r="H233" s="69">
        <f t="shared" si="15"/>
        <v>-23341.281809612501</v>
      </c>
    </row>
    <row r="234" spans="1:8" x14ac:dyDescent="0.25">
      <c r="A234" s="3">
        <v>196</v>
      </c>
      <c r="B234" s="67">
        <v>1.9972965309999999</v>
      </c>
      <c r="C234" s="67">
        <v>-1.176614719</v>
      </c>
      <c r="D234" s="67">
        <v>-0.83746340399999997</v>
      </c>
      <c r="E234" s="68">
        <f t="shared" si="12"/>
        <v>4.0675404943197435E-2</v>
      </c>
      <c r="F234" s="68">
        <f t="shared" si="13"/>
        <v>-7.8814828143831239E-3</v>
      </c>
      <c r="G234" s="68">
        <f t="shared" si="14"/>
        <v>-1.8876585115077914E-2</v>
      </c>
      <c r="H234" s="70">
        <f t="shared" si="15"/>
        <v>26503.881728981894</v>
      </c>
    </row>
    <row r="235" spans="1:8" x14ac:dyDescent="0.25">
      <c r="A235" s="3">
        <v>197</v>
      </c>
      <c r="B235" s="67">
        <v>0.23544836799999999</v>
      </c>
      <c r="C235" s="67">
        <v>1.611116148</v>
      </c>
      <c r="D235" s="67">
        <v>-1.222374313</v>
      </c>
      <c r="E235" s="68">
        <f t="shared" si="12"/>
        <v>6.0584003897629218E-3</v>
      </c>
      <c r="F235" s="68">
        <f t="shared" si="13"/>
        <v>3.2788574868468347E-2</v>
      </c>
      <c r="G235" s="68">
        <f t="shared" si="14"/>
        <v>-2.0480620362484613E-2</v>
      </c>
      <c r="H235" s="70">
        <f t="shared" si="15"/>
        <v>39094.270134948543</v>
      </c>
    </row>
    <row r="236" spans="1:8" x14ac:dyDescent="0.25">
      <c r="A236" s="3">
        <v>198</v>
      </c>
      <c r="B236" s="67">
        <v>0.249036122</v>
      </c>
      <c r="C236" s="67">
        <v>1.8212988510000001</v>
      </c>
      <c r="D236" s="67">
        <v>-1.651759148</v>
      </c>
      <c r="E236" s="68">
        <f t="shared" si="12"/>
        <v>6.3253742141633328E-3</v>
      </c>
      <c r="F236" s="68">
        <f t="shared" si="13"/>
        <v>3.6682983797792862E-2</v>
      </c>
      <c r="G236" s="68">
        <f t="shared" si="14"/>
        <v>-2.8765958200858845E-2</v>
      </c>
      <c r="H236" s="70">
        <f t="shared" si="15"/>
        <v>43284.654632527345</v>
      </c>
    </row>
    <row r="237" spans="1:8" x14ac:dyDescent="0.25">
      <c r="A237" s="3">
        <v>199</v>
      </c>
      <c r="B237" s="67">
        <v>-1.281069207</v>
      </c>
      <c r="C237" s="67">
        <v>-0.423606606</v>
      </c>
      <c r="D237" s="67">
        <v>-0.52058841300000003</v>
      </c>
      <c r="E237" s="68">
        <f t="shared" si="12"/>
        <v>-2.373831927179311E-2</v>
      </c>
      <c r="F237" s="68">
        <f t="shared" si="13"/>
        <v>-1.2744593531054215E-2</v>
      </c>
      <c r="G237" s="68">
        <f t="shared" si="14"/>
        <v>-1.8006782239431807E-2</v>
      </c>
      <c r="H237" s="69">
        <f t="shared" si="15"/>
        <v>-33835.958974286448</v>
      </c>
    </row>
    <row r="238" spans="1:8" x14ac:dyDescent="0.25">
      <c r="A238" s="3">
        <v>200</v>
      </c>
      <c r="B238" s="67">
        <v>0.81260128799999998</v>
      </c>
      <c r="C238" s="67">
        <v>0.24165971999999999</v>
      </c>
      <c r="D238" s="67">
        <v>-1.77496206</v>
      </c>
      <c r="E238" s="68">
        <f t="shared" si="12"/>
        <v>1.7398370359506581E-2</v>
      </c>
      <c r="F238" s="68">
        <f t="shared" si="13"/>
        <v>1.1178979265332253E-2</v>
      </c>
      <c r="G238" s="68">
        <f t="shared" si="14"/>
        <v>-3.6355087416770716E-2</v>
      </c>
      <c r="H238" s="70">
        <f t="shared" si="15"/>
        <v>26165.991505746377</v>
      </c>
    </row>
    <row r="239" spans="1:8" x14ac:dyDescent="0.25">
      <c r="A239" s="3">
        <v>201</v>
      </c>
      <c r="B239" s="67">
        <v>0.51541040299999996</v>
      </c>
      <c r="C239" s="67">
        <v>-0.577538887</v>
      </c>
      <c r="D239" s="67">
        <v>1.2744472170000001</v>
      </c>
      <c r="E239" s="68">
        <f t="shared" si="12"/>
        <v>1.1559128116425592E-2</v>
      </c>
      <c r="F239" s="68">
        <f t="shared" si="13"/>
        <v>-5.3808915394922361E-3</v>
      </c>
      <c r="G239" s="68">
        <f t="shared" si="14"/>
        <v>2.4706251000925751E-2</v>
      </c>
      <c r="H239" s="70">
        <f t="shared" si="15"/>
        <v>4594.5251458768598</v>
      </c>
    </row>
    <row r="240" spans="1:8" x14ac:dyDescent="0.25">
      <c r="A240" s="3">
        <v>202</v>
      </c>
      <c r="B240" s="67">
        <v>-0.62758753599999995</v>
      </c>
      <c r="C240" s="67">
        <v>-0.63661528300000003</v>
      </c>
      <c r="D240" s="67">
        <v>0.54113161099999996</v>
      </c>
      <c r="E240" s="68">
        <f t="shared" si="12"/>
        <v>-1.0898632824537664E-2</v>
      </c>
      <c r="F240" s="68">
        <f t="shared" si="13"/>
        <v>-1.2917869465889908E-2</v>
      </c>
      <c r="G240" s="68">
        <f t="shared" si="14"/>
        <v>5.6306481830714012E-3</v>
      </c>
      <c r="H240" s="69">
        <f t="shared" si="15"/>
        <v>-22735.016065268152</v>
      </c>
    </row>
    <row r="241" spans="1:8" x14ac:dyDescent="0.25">
      <c r="A241" s="3">
        <v>203</v>
      </c>
      <c r="B241" s="67">
        <v>0.76292648200000002</v>
      </c>
      <c r="C241" s="67">
        <v>0.448099364</v>
      </c>
      <c r="D241" s="67">
        <v>-1.685597317</v>
      </c>
      <c r="E241" s="68">
        <f t="shared" si="12"/>
        <v>1.6422353798258231E-2</v>
      </c>
      <c r="F241" s="68">
        <f t="shared" si="13"/>
        <v>1.4647635485322528E-2</v>
      </c>
      <c r="G241" s="68">
        <f t="shared" si="14"/>
        <v>-3.3729724528198259E-2</v>
      </c>
      <c r="H241" s="70">
        <f t="shared" si="15"/>
        <v>28966.643892736418</v>
      </c>
    </row>
    <row r="242" spans="1:8" x14ac:dyDescent="0.25">
      <c r="A242" s="3">
        <v>204</v>
      </c>
      <c r="B242" s="67">
        <v>0.53803444</v>
      </c>
      <c r="C242" s="67">
        <v>-1.0343080520000001</v>
      </c>
      <c r="D242" s="67">
        <v>0.23527611200000001</v>
      </c>
      <c r="E242" s="68">
        <f t="shared" si="12"/>
        <v>1.200364791574389E-2</v>
      </c>
      <c r="F242" s="68">
        <f t="shared" si="13"/>
        <v>-1.354928384208547E-2</v>
      </c>
      <c r="G242" s="68">
        <f t="shared" si="14"/>
        <v>6.5266847784804338E-4</v>
      </c>
      <c r="H242" s="69">
        <f t="shared" si="15"/>
        <v>-3788.9689635017576</v>
      </c>
    </row>
    <row r="243" spans="1:8" x14ac:dyDescent="0.25">
      <c r="A243" s="3">
        <v>205</v>
      </c>
      <c r="B243" s="67">
        <v>-1.4237344350000001</v>
      </c>
      <c r="C243" s="67">
        <v>0.44632214799999997</v>
      </c>
      <c r="D243" s="67">
        <v>-0.80659890400000001</v>
      </c>
      <c r="E243" s="68">
        <f t="shared" si="12"/>
        <v>-2.6541422825781244E-2</v>
      </c>
      <c r="F243" s="68">
        <f t="shared" si="13"/>
        <v>2.2491857619995046E-3</v>
      </c>
      <c r="G243" s="68">
        <f t="shared" si="14"/>
        <v>-2.0938201423985052E-2</v>
      </c>
      <c r="H243" s="69">
        <f t="shared" si="15"/>
        <v>-20671.761516819617</v>
      </c>
    </row>
    <row r="244" spans="1:8" x14ac:dyDescent="0.25">
      <c r="A244" s="3">
        <v>206</v>
      </c>
      <c r="B244" s="67">
        <v>-1.2826346500000001</v>
      </c>
      <c r="C244" s="67">
        <v>0.71382013600000005</v>
      </c>
      <c r="D244" s="67">
        <v>0.241644522</v>
      </c>
      <c r="E244" s="68">
        <f t="shared" si="12"/>
        <v>-2.3769077284087919E-2</v>
      </c>
      <c r="F244" s="68">
        <f t="shared" si="13"/>
        <v>7.9057327916614902E-3</v>
      </c>
      <c r="G244" s="68">
        <f t="shared" si="14"/>
        <v>2.9804346761846037E-3</v>
      </c>
      <c r="H244" s="69">
        <f t="shared" si="15"/>
        <v>-12142.413729491669</v>
      </c>
    </row>
    <row r="245" spans="1:8" x14ac:dyDescent="0.25">
      <c r="A245" s="3">
        <v>207</v>
      </c>
      <c r="B245" s="67">
        <v>-0.61397680099999996</v>
      </c>
      <c r="C245" s="67">
        <v>1.4511788489999999</v>
      </c>
      <c r="D245" s="67">
        <v>-0.44065242199999999</v>
      </c>
      <c r="E245" s="68">
        <f t="shared" si="12"/>
        <v>-1.0631207466685989E-2</v>
      </c>
      <c r="F245" s="68">
        <f t="shared" si="13"/>
        <v>2.5079886627481236E-2</v>
      </c>
      <c r="G245" s="68">
        <f t="shared" si="14"/>
        <v>-6.7464468747416096E-3</v>
      </c>
      <c r="H245" s="70">
        <f t="shared" si="15"/>
        <v>16898.58197604919</v>
      </c>
    </row>
    <row r="246" spans="1:8" x14ac:dyDescent="0.25">
      <c r="A246" s="3">
        <v>208</v>
      </c>
      <c r="B246" s="67">
        <v>3.2107674000000003E-2</v>
      </c>
      <c r="C246" s="67">
        <v>0.268913448</v>
      </c>
      <c r="D246" s="67">
        <v>-0.61966593400000003</v>
      </c>
      <c r="E246" s="68">
        <f t="shared" si="12"/>
        <v>2.0631379841134206E-3</v>
      </c>
      <c r="F246" s="68">
        <f t="shared" si="13"/>
        <v>7.2600846173247694E-3</v>
      </c>
      <c r="G246" s="68">
        <f t="shared" si="14"/>
        <v>-1.3667425778166044E-2</v>
      </c>
      <c r="H246" s="70">
        <f t="shared" si="15"/>
        <v>9175.1229527636187</v>
      </c>
    </row>
    <row r="247" spans="1:8" x14ac:dyDescent="0.25">
      <c r="A247" s="3">
        <v>209</v>
      </c>
      <c r="B247" s="67">
        <v>0.47113629299999998</v>
      </c>
      <c r="C247" s="67">
        <v>-0.53345234699999999</v>
      </c>
      <c r="D247" s="67">
        <v>-0.411638322</v>
      </c>
      <c r="E247" s="68">
        <f t="shared" si="12"/>
        <v>1.0689225079571638E-2</v>
      </c>
      <c r="F247" s="68">
        <f t="shared" si="13"/>
        <v>-4.8305262288236631E-3</v>
      </c>
      <c r="G247" s="68">
        <f t="shared" si="14"/>
        <v>-1.1312070764535767E-2</v>
      </c>
      <c r="H247" s="70">
        <f t="shared" si="15"/>
        <v>4023.7122959281896</v>
      </c>
    </row>
    <row r="248" spans="1:8" x14ac:dyDescent="0.25">
      <c r="A248" s="3">
        <v>210</v>
      </c>
      <c r="B248" s="67">
        <v>1.36264264</v>
      </c>
      <c r="C248" s="67">
        <v>-1.040586053</v>
      </c>
      <c r="D248" s="67">
        <v>-2.412780331</v>
      </c>
      <c r="E248" s="68">
        <f t="shared" si="12"/>
        <v>2.8205648981257637E-2</v>
      </c>
      <c r="F248" s="68">
        <f t="shared" si="13"/>
        <v>-8.9999251288932977E-3</v>
      </c>
      <c r="G248" s="68">
        <f t="shared" si="14"/>
        <v>-5.3768834014632123E-2</v>
      </c>
      <c r="H248" s="70">
        <f t="shared" si="15"/>
        <v>14252.298644198228</v>
      </c>
    </row>
    <row r="249" spans="1:8" x14ac:dyDescent="0.25">
      <c r="A249" s="3">
        <v>211</v>
      </c>
      <c r="B249" s="67">
        <v>1.6109369950000001</v>
      </c>
      <c r="C249" s="67">
        <v>2.5493279530000001</v>
      </c>
      <c r="D249" s="67">
        <v>-0.40526926499999999</v>
      </c>
      <c r="E249" s="68">
        <f t="shared" si="12"/>
        <v>3.3084166323519154E-2</v>
      </c>
      <c r="F249" s="68">
        <f t="shared" si="13"/>
        <v>5.7608163426444571E-2</v>
      </c>
      <c r="G249" s="68">
        <f t="shared" si="14"/>
        <v>4.6453073740928552E-3</v>
      </c>
      <c r="H249" s="70">
        <f t="shared" si="15"/>
        <v>88395.642572171972</v>
      </c>
    </row>
    <row r="250" spans="1:8" x14ac:dyDescent="0.25">
      <c r="A250" s="3">
        <v>212</v>
      </c>
      <c r="B250" s="67">
        <v>-1.9368380409999999</v>
      </c>
      <c r="C250" s="67">
        <v>-0.31048397599999999</v>
      </c>
      <c r="D250" s="67">
        <v>-0.28622294999999998</v>
      </c>
      <c r="E250" s="68">
        <f t="shared" si="12"/>
        <v>-3.6622944172683865E-2</v>
      </c>
      <c r="F250" s="68">
        <f t="shared" si="13"/>
        <v>-1.4398490959971678E-2</v>
      </c>
      <c r="G250" s="68">
        <f t="shared" si="14"/>
        <v>-1.4328569331177963E-2</v>
      </c>
      <c r="H250" s="69">
        <f t="shared" si="15"/>
        <v>-46575.865372527951</v>
      </c>
    </row>
    <row r="251" spans="1:8" x14ac:dyDescent="0.25">
      <c r="A251" s="3">
        <v>213</v>
      </c>
      <c r="B251" s="67">
        <v>-0.18992384100000001</v>
      </c>
      <c r="C251" s="67">
        <v>-1.113388042</v>
      </c>
      <c r="D251" s="67">
        <v>0.57956114199999997</v>
      </c>
      <c r="E251" s="68">
        <f t="shared" si="12"/>
        <v>-2.2993639199516032E-3</v>
      </c>
      <c r="F251" s="68">
        <f t="shared" si="13"/>
        <v>-1.9102425133816308E-2</v>
      </c>
      <c r="G251" s="68">
        <f t="shared" si="14"/>
        <v>5.6933956057962521E-3</v>
      </c>
      <c r="H251" s="69">
        <f t="shared" si="15"/>
        <v>-21788.870686090715</v>
      </c>
    </row>
    <row r="252" spans="1:8" x14ac:dyDescent="0.25">
      <c r="A252" s="3">
        <v>214</v>
      </c>
      <c r="B252" s="67">
        <v>0.524507375</v>
      </c>
      <c r="C252" s="67">
        <v>-1.49440562</v>
      </c>
      <c r="D252" s="67">
        <v>0.69919673199999999</v>
      </c>
      <c r="E252" s="68">
        <f t="shared" si="12"/>
        <v>1.17378665161128E-2</v>
      </c>
      <c r="F252" s="68">
        <f t="shared" si="13"/>
        <v>-2.1982574656304932E-2</v>
      </c>
      <c r="G252" s="68">
        <f t="shared" si="14"/>
        <v>8.6485152421773865E-3</v>
      </c>
      <c r="H252" s="69">
        <f t="shared" si="15"/>
        <v>-12704.675518397684</v>
      </c>
    </row>
    <row r="253" spans="1:8" x14ac:dyDescent="0.25">
      <c r="A253" s="3">
        <v>215</v>
      </c>
      <c r="B253" s="67">
        <v>2.0526849820000002</v>
      </c>
      <c r="C253" s="67">
        <v>0.17196033199999999</v>
      </c>
      <c r="D253" s="67">
        <v>-0.33732516200000001</v>
      </c>
      <c r="E253" s="68">
        <f t="shared" si="12"/>
        <v>4.1763683888421554E-2</v>
      </c>
      <c r="F253" s="68">
        <f t="shared" si="13"/>
        <v>1.6926038292918839E-2</v>
      </c>
      <c r="G253" s="68">
        <f t="shared" si="14"/>
        <v>-2.4719495460399782E-3</v>
      </c>
      <c r="H253" s="70">
        <f t="shared" si="15"/>
        <v>53433.423010262537</v>
      </c>
    </row>
    <row r="254" spans="1:8" x14ac:dyDescent="0.25">
      <c r="A254" s="3">
        <v>216</v>
      </c>
      <c r="B254" s="67">
        <v>-0.14200321399999999</v>
      </c>
      <c r="C254" s="67">
        <v>0.61525676699999998</v>
      </c>
      <c r="D254" s="67">
        <v>-1.730671606</v>
      </c>
      <c r="E254" s="68">
        <f t="shared" si="12"/>
        <v>-1.357813678619917E-3</v>
      </c>
      <c r="F254" s="68">
        <f t="shared" si="13"/>
        <v>1.2566102938172011E-2</v>
      </c>
      <c r="G254" s="68">
        <f t="shared" si="14"/>
        <v>-3.6493199239723745E-2</v>
      </c>
      <c r="H254" s="70">
        <f t="shared" si="15"/>
        <v>11508.726289228962</v>
      </c>
    </row>
    <row r="255" spans="1:8" x14ac:dyDescent="0.25">
      <c r="A255" s="3">
        <v>217</v>
      </c>
      <c r="B255" s="67">
        <v>0.164390703</v>
      </c>
      <c r="C255" s="67">
        <v>-0.39046394899999998</v>
      </c>
      <c r="D255" s="67">
        <v>1.847825013</v>
      </c>
      <c r="E255" s="68">
        <f t="shared" si="12"/>
        <v>4.6622508437810621E-3</v>
      </c>
      <c r="F255" s="68">
        <f t="shared" si="13"/>
        <v>-3.9681465411094147E-3</v>
      </c>
      <c r="G255" s="68">
        <f t="shared" si="14"/>
        <v>3.6780420978538501E-2</v>
      </c>
      <c r="H255" s="70">
        <f t="shared" si="15"/>
        <v>277.79374506065841</v>
      </c>
    </row>
    <row r="256" spans="1:8" x14ac:dyDescent="0.25">
      <c r="A256" s="3">
        <v>218</v>
      </c>
      <c r="B256" s="67">
        <v>-0.174172734</v>
      </c>
      <c r="C256" s="67">
        <v>1.667887611</v>
      </c>
      <c r="D256" s="67">
        <v>-1.103740698</v>
      </c>
      <c r="E256" s="68">
        <f t="shared" si="12"/>
        <v>-1.9898842756829417E-3</v>
      </c>
      <c r="F256" s="68">
        <f t="shared" si="13"/>
        <v>3.150319961477941E-2</v>
      </c>
      <c r="G256" s="68">
        <f t="shared" si="14"/>
        <v>-1.8834239609988302E-2</v>
      </c>
      <c r="H256" s="70">
        <f t="shared" si="15"/>
        <v>30866.685094727291</v>
      </c>
    </row>
    <row r="257" spans="1:8" x14ac:dyDescent="0.25">
      <c r="A257" s="3">
        <v>219</v>
      </c>
      <c r="B257" s="67">
        <v>0.58725916700000003</v>
      </c>
      <c r="C257" s="67">
        <v>0.31940026399999999</v>
      </c>
      <c r="D257" s="67">
        <v>-0.86904724799999999</v>
      </c>
      <c r="E257" s="68">
        <f t="shared" si="12"/>
        <v>1.297082127068218E-2</v>
      </c>
      <c r="F257" s="68">
        <f t="shared" si="13"/>
        <v>1.1316615639500777E-2</v>
      </c>
      <c r="G257" s="68">
        <f t="shared" si="14"/>
        <v>-1.7270057025645016E-2</v>
      </c>
      <c r="H257" s="70">
        <f t="shared" si="15"/>
        <v>22719.152159017656</v>
      </c>
    </row>
    <row r="258" spans="1:8" x14ac:dyDescent="0.25">
      <c r="A258" s="3">
        <v>220</v>
      </c>
      <c r="B258" s="67">
        <v>0.17739611499999999</v>
      </c>
      <c r="C258" s="67">
        <v>1.212518837</v>
      </c>
      <c r="D258" s="67">
        <v>-0.32379170400000001</v>
      </c>
      <c r="E258" s="68">
        <f t="shared" si="12"/>
        <v>4.9177827425439472E-3</v>
      </c>
      <c r="F258" s="68">
        <f t="shared" si="13"/>
        <v>2.5220516282981151E-2</v>
      </c>
      <c r="G258" s="68">
        <f t="shared" si="14"/>
        <v>-3.0533069216847567E-3</v>
      </c>
      <c r="H258" s="70">
        <f t="shared" si="15"/>
        <v>30431.932327125953</v>
      </c>
    </row>
    <row r="259" spans="1:8" x14ac:dyDescent="0.25">
      <c r="A259" s="3">
        <v>221</v>
      </c>
      <c r="B259" s="67">
        <v>-1.6919626489999999</v>
      </c>
      <c r="C259" s="67">
        <v>-1.7562826E-2</v>
      </c>
      <c r="D259" s="67">
        <v>-0.90242309499999995</v>
      </c>
      <c r="E259" s="68">
        <f t="shared" si="12"/>
        <v>-3.181160302654671E-2</v>
      </c>
      <c r="F259" s="68">
        <f t="shared" si="13"/>
        <v>-7.6933012095847294E-3</v>
      </c>
      <c r="G259" s="68">
        <f t="shared" si="14"/>
        <v>-2.5635104173868824E-2</v>
      </c>
      <c r="H259" s="69">
        <f t="shared" si="15"/>
        <v>-35593.260464986452</v>
      </c>
    </row>
    <row r="260" spans="1:8" x14ac:dyDescent="0.25">
      <c r="A260" s="3">
        <v>222</v>
      </c>
      <c r="B260" s="67">
        <v>-0.34234093900000001</v>
      </c>
      <c r="C260" s="67">
        <v>-8.1587770000000004E-2</v>
      </c>
      <c r="D260" s="67">
        <v>-1.7056522160000001</v>
      </c>
      <c r="E260" s="68">
        <f t="shared" si="12"/>
        <v>-5.294073388276698E-3</v>
      </c>
      <c r="F260" s="68">
        <f t="shared" si="13"/>
        <v>-1.2237091070960928E-3</v>
      </c>
      <c r="G260" s="68">
        <f t="shared" si="14"/>
        <v>-3.9376614366196425E-2</v>
      </c>
      <c r="H260" s="69">
        <f t="shared" si="15"/>
        <v>-6251.3569623152598</v>
      </c>
    </row>
    <row r="261" spans="1:8" x14ac:dyDescent="0.25">
      <c r="A261" s="3">
        <v>223</v>
      </c>
      <c r="B261" s="67">
        <v>-1.6156583390000001</v>
      </c>
      <c r="C261" s="67">
        <v>0.482066836</v>
      </c>
      <c r="D261" s="67">
        <v>-0.52271869599999998</v>
      </c>
      <c r="E261" s="68">
        <f t="shared" si="12"/>
        <v>-3.0312366768741744E-2</v>
      </c>
      <c r="F261" s="68">
        <f t="shared" si="13"/>
        <v>1.8130370319147334E-3</v>
      </c>
      <c r="G261" s="68">
        <f t="shared" si="14"/>
        <v>-1.524419874724217E-2</v>
      </c>
      <c r="H261" s="69">
        <f t="shared" si="15"/>
        <v>-24299.632951705462</v>
      </c>
    </row>
    <row r="262" spans="1:8" x14ac:dyDescent="0.25">
      <c r="A262" s="3">
        <v>224</v>
      </c>
      <c r="B262" s="67">
        <v>-2.564744342</v>
      </c>
      <c r="C262" s="67">
        <v>0.78484403700000005</v>
      </c>
      <c r="D262" s="67">
        <v>0.27236975499999999</v>
      </c>
      <c r="E262" s="68">
        <f t="shared" si="12"/>
        <v>-4.8960122674965065E-2</v>
      </c>
      <c r="F262" s="68">
        <f t="shared" si="13"/>
        <v>1.9450624086281205E-3</v>
      </c>
      <c r="G262" s="68">
        <f t="shared" si="14"/>
        <v>4.0660311450202457E-4</v>
      </c>
      <c r="H262" s="69">
        <f t="shared" si="15"/>
        <v>-39995.921746357926</v>
      </c>
    </row>
    <row r="263" spans="1:8" x14ac:dyDescent="0.25">
      <c r="A263" s="3">
        <v>225</v>
      </c>
      <c r="B263" s="67">
        <v>-0.71387482400000002</v>
      </c>
      <c r="C263" s="67">
        <v>-1.3168302110000001</v>
      </c>
      <c r="D263" s="67">
        <v>0.83580789600000005</v>
      </c>
      <c r="E263" s="68">
        <f t="shared" si="12"/>
        <v>-1.2594015834452302E-2</v>
      </c>
      <c r="F263" s="68">
        <f t="shared" si="13"/>
        <v>-2.5760649851959007E-2</v>
      </c>
      <c r="G263" s="68">
        <f t="shared" si="14"/>
        <v>8.8991206541598981E-3</v>
      </c>
      <c r="H263" s="69">
        <f t="shared" si="15"/>
        <v>-37518.403515274949</v>
      </c>
    </row>
    <row r="264" spans="1:8" x14ac:dyDescent="0.25">
      <c r="A264" s="3">
        <v>226</v>
      </c>
      <c r="B264" s="67">
        <v>0.34935062300000003</v>
      </c>
      <c r="C264" s="67">
        <v>2.3826022830000002</v>
      </c>
      <c r="D264" s="67">
        <v>0.420188599</v>
      </c>
      <c r="E264" s="68">
        <f t="shared" si="12"/>
        <v>8.2963655917514777E-3</v>
      </c>
      <c r="F264" s="68">
        <f t="shared" si="13"/>
        <v>4.7445292251947817E-2</v>
      </c>
      <c r="G264" s="68">
        <f t="shared" si="14"/>
        <v>1.8154644924159434E-2</v>
      </c>
      <c r="H264" s="70">
        <f t="shared" si="15"/>
        <v>56692.653991882995</v>
      </c>
    </row>
    <row r="265" spans="1:8" x14ac:dyDescent="0.25">
      <c r="A265" s="3">
        <v>227</v>
      </c>
      <c r="B265" s="67">
        <v>0.38770314099999997</v>
      </c>
      <c r="C265" s="67">
        <v>-0.16692793</v>
      </c>
      <c r="D265" s="67">
        <v>0.81677586700000004</v>
      </c>
      <c r="E265" s="68">
        <f t="shared" si="12"/>
        <v>9.0499204769698555E-3</v>
      </c>
      <c r="F265" s="68">
        <f t="shared" si="13"/>
        <v>1.3548506858551928E-3</v>
      </c>
      <c r="G265" s="68">
        <f t="shared" si="14"/>
        <v>1.6252285778099999E-2</v>
      </c>
      <c r="H265" s="70">
        <f t="shared" si="15"/>
        <v>9356.8326957556401</v>
      </c>
    </row>
    <row r="266" spans="1:8" x14ac:dyDescent="0.25">
      <c r="A266" s="3">
        <v>228</v>
      </c>
      <c r="B266" s="67">
        <v>0.62508520099999998</v>
      </c>
      <c r="C266" s="67">
        <v>1.2517250090000001</v>
      </c>
      <c r="D266" s="67">
        <v>-0.52132291900000005</v>
      </c>
      <c r="E266" s="68">
        <f t="shared" si="12"/>
        <v>1.371403173496347E-2</v>
      </c>
      <c r="F266" s="68">
        <f t="shared" si="13"/>
        <v>2.8464426480297692E-2</v>
      </c>
      <c r="G266" s="68">
        <f t="shared" si="14"/>
        <v>-5.8882413956177189E-3</v>
      </c>
      <c r="H266" s="70">
        <f t="shared" si="15"/>
        <v>41326.479086662926</v>
      </c>
    </row>
    <row r="267" spans="1:8" x14ac:dyDescent="0.25">
      <c r="A267" s="3">
        <v>229</v>
      </c>
      <c r="B267" s="67">
        <v>-0.43540747299999999</v>
      </c>
      <c r="C267" s="67">
        <v>-0.47910317099999999</v>
      </c>
      <c r="D267" s="67">
        <v>0.79080172100000001</v>
      </c>
      <c r="E267" s="68">
        <f t="shared" si="12"/>
        <v>-7.1226558387442913E-3</v>
      </c>
      <c r="F267" s="68">
        <f t="shared" si="13"/>
        <v>-8.970132275458358E-3</v>
      </c>
      <c r="G267" s="68">
        <f t="shared" si="14"/>
        <v>1.2149456769587175E-2</v>
      </c>
      <c r="H267" s="69">
        <f t="shared" si="15"/>
        <v>-15314.108373650157</v>
      </c>
    </row>
    <row r="268" spans="1:8" x14ac:dyDescent="0.25">
      <c r="A268" s="3">
        <v>230</v>
      </c>
      <c r="B268" s="67">
        <v>1.4983744400000001</v>
      </c>
      <c r="C268" s="67">
        <v>-0.45884049300000002</v>
      </c>
      <c r="D268" s="67">
        <v>-0.42477372800000002</v>
      </c>
      <c r="E268" s="68">
        <f t="shared" si="12"/>
        <v>3.0872523708217789E-2</v>
      </c>
      <c r="F268" s="68">
        <f t="shared" si="13"/>
        <v>2.3339700316768641E-3</v>
      </c>
      <c r="G268" s="68">
        <f t="shared" si="14"/>
        <v>-8.4628899296099059E-3</v>
      </c>
      <c r="H268" s="70">
        <f t="shared" si="15"/>
        <v>28834.604759460126</v>
      </c>
    </row>
    <row r="269" spans="1:8" x14ac:dyDescent="0.25">
      <c r="A269" s="3">
        <v>231</v>
      </c>
      <c r="B269" s="67">
        <v>0.31407722399999999</v>
      </c>
      <c r="C269" s="67">
        <v>-0.24576149999999999</v>
      </c>
      <c r="D269" s="67">
        <v>0.952053653</v>
      </c>
      <c r="E269" s="68">
        <f t="shared" si="12"/>
        <v>7.6033096068821877E-3</v>
      </c>
      <c r="F269" s="68">
        <f t="shared" si="13"/>
        <v>-4.9338504553516358E-4</v>
      </c>
      <c r="G269" s="68">
        <f t="shared" si="14"/>
        <v>1.8620078213601732E-2</v>
      </c>
      <c r="H269" s="70">
        <f t="shared" si="15"/>
        <v>6217.9648047298761</v>
      </c>
    </row>
    <row r="270" spans="1:8" x14ac:dyDescent="0.25">
      <c r="A270" s="3">
        <v>232</v>
      </c>
      <c r="B270" s="67">
        <v>-2.2517772909999998</v>
      </c>
      <c r="C270" s="67">
        <v>-0.82670504700000003</v>
      </c>
      <c r="D270" s="67">
        <v>-0.78241633399999999</v>
      </c>
      <c r="E270" s="68">
        <f t="shared" si="12"/>
        <v>-4.2810908425370289E-2</v>
      </c>
      <c r="F270" s="68">
        <f t="shared" si="13"/>
        <v>-2.5555726723204077E-2</v>
      </c>
      <c r="G270" s="68">
        <f t="shared" si="14"/>
        <v>-2.7936181085523652E-2</v>
      </c>
      <c r="H270" s="69">
        <f t="shared" si="15"/>
        <v>-63647.379653472068</v>
      </c>
    </row>
    <row r="271" spans="1:8" x14ac:dyDescent="0.25">
      <c r="A271" s="3">
        <v>233</v>
      </c>
      <c r="B271" s="67">
        <v>-2.320356012</v>
      </c>
      <c r="C271" s="67">
        <v>-0.96363844399999998</v>
      </c>
      <c r="D271" s="67">
        <v>-0.91515611600000002</v>
      </c>
      <c r="E271" s="68">
        <f t="shared" si="12"/>
        <v>-4.4158351381568851E-2</v>
      </c>
      <c r="F271" s="68">
        <f t="shared" si="13"/>
        <v>-2.8430691304496544E-2</v>
      </c>
      <c r="G271" s="68">
        <f t="shared" si="14"/>
        <v>-3.1528573650083568E-2</v>
      </c>
      <c r="H271" s="69">
        <f t="shared" si="15"/>
        <v>-67835.210090100212</v>
      </c>
    </row>
    <row r="272" spans="1:8" x14ac:dyDescent="0.25">
      <c r="A272" s="3">
        <v>234</v>
      </c>
      <c r="B272" s="67">
        <v>-0.20110465499999999</v>
      </c>
      <c r="C272" s="67">
        <v>1.1129658920000001</v>
      </c>
      <c r="D272" s="67">
        <v>-0.24506065099999999</v>
      </c>
      <c r="E272" s="68">
        <f t="shared" si="12"/>
        <v>-2.5190458978185592E-3</v>
      </c>
      <c r="F272" s="68">
        <f t="shared" si="13"/>
        <v>2.1271801470122694E-2</v>
      </c>
      <c r="G272" s="68">
        <f t="shared" si="14"/>
        <v>-2.8186403387890843E-3</v>
      </c>
      <c r="H272" s="70">
        <f t="shared" si="15"/>
        <v>19942.161702821842</v>
      </c>
    </row>
    <row r="273" spans="1:8" x14ac:dyDescent="0.25">
      <c r="A273" s="3">
        <v>235</v>
      </c>
      <c r="B273" s="67">
        <v>-1.03081372</v>
      </c>
      <c r="C273" s="67">
        <v>-5.6954540999999997E-2</v>
      </c>
      <c r="D273" s="67">
        <v>1.049173621</v>
      </c>
      <c r="E273" s="68">
        <f t="shared" si="12"/>
        <v>-1.8821269372186651E-2</v>
      </c>
      <c r="F273" s="68">
        <f t="shared" si="13"/>
        <v>-4.6697969369020407E-3</v>
      </c>
      <c r="G273" s="68">
        <f t="shared" si="14"/>
        <v>1.7779180524441319E-2</v>
      </c>
      <c r="H273" s="69">
        <f t="shared" si="15"/>
        <v>-20818.543364647721</v>
      </c>
    </row>
    <row r="274" spans="1:8" x14ac:dyDescent="0.25">
      <c r="A274" s="3">
        <v>236</v>
      </c>
      <c r="B274" s="67">
        <v>-0.97595881600000001</v>
      </c>
      <c r="C274" s="67">
        <v>-0.91057488399999997</v>
      </c>
      <c r="D274" s="67">
        <v>0.55854895900000001</v>
      </c>
      <c r="E274" s="68">
        <f t="shared" si="12"/>
        <v>-1.7743473622572885E-2</v>
      </c>
      <c r="F274" s="68">
        <f t="shared" si="13"/>
        <v>-1.9863956741591401E-2</v>
      </c>
      <c r="G274" s="68">
        <f t="shared" si="14"/>
        <v>3.9183056681005145E-3</v>
      </c>
      <c r="H274" s="69">
        <f t="shared" si="15"/>
        <v>-35857.174778691347</v>
      </c>
    </row>
    <row r="275" spans="1:8" x14ac:dyDescent="0.25">
      <c r="A275" s="3">
        <v>237</v>
      </c>
      <c r="B275" s="67">
        <v>-0.22153611600000001</v>
      </c>
      <c r="C275" s="67">
        <v>0.64748469099999995</v>
      </c>
      <c r="D275" s="67">
        <v>-1.3646792E-2</v>
      </c>
      <c r="E275" s="68">
        <f t="shared" si="12"/>
        <v>-2.920485700250797E-3</v>
      </c>
      <c r="F275" s="68">
        <f t="shared" si="13"/>
        <v>1.2701681006809113E-2</v>
      </c>
      <c r="G275" s="68">
        <f t="shared" si="14"/>
        <v>1.6099696216138816E-4</v>
      </c>
      <c r="H275" s="70">
        <f t="shared" si="15"/>
        <v>10712.360722580381</v>
      </c>
    </row>
    <row r="276" spans="1:8" x14ac:dyDescent="0.25">
      <c r="A276" s="3">
        <v>238</v>
      </c>
      <c r="B276" s="67">
        <v>0.70166364800000003</v>
      </c>
      <c r="C276" s="67">
        <v>-1.035078114</v>
      </c>
      <c r="D276" s="67">
        <v>-1.2084651E-2</v>
      </c>
      <c r="E276" s="68">
        <f t="shared" si="12"/>
        <v>1.5218654269507012E-2</v>
      </c>
      <c r="F276" s="68">
        <f t="shared" si="13"/>
        <v>-1.2637902286610606E-2</v>
      </c>
      <c r="G276" s="68">
        <f t="shared" si="14"/>
        <v>-4.1937153981706811E-3</v>
      </c>
      <c r="H276" s="69">
        <f t="shared" si="15"/>
        <v>-134.41513211310559</v>
      </c>
    </row>
    <row r="277" spans="1:8" x14ac:dyDescent="0.25">
      <c r="A277" s="3">
        <v>239</v>
      </c>
      <c r="B277" s="67">
        <v>-0.21069001400000001</v>
      </c>
      <c r="C277" s="67">
        <v>-1.215890924</v>
      </c>
      <c r="D277" s="67">
        <v>-1.5634779480000001</v>
      </c>
      <c r="E277" s="68">
        <f t="shared" si="12"/>
        <v>-2.7073801840060262E-3</v>
      </c>
      <c r="F277" s="68">
        <f t="shared" si="13"/>
        <v>-2.1081632189048891E-2</v>
      </c>
      <c r="G277" s="68">
        <f t="shared" si="14"/>
        <v>-4.0641362590614509E-2</v>
      </c>
      <c r="H277" s="69">
        <f t="shared" si="15"/>
        <v>-24709.164614455211</v>
      </c>
    </row>
    <row r="278" spans="1:8" x14ac:dyDescent="0.25">
      <c r="A278" s="3">
        <v>240</v>
      </c>
      <c r="B278" s="67">
        <v>0.68574903499999995</v>
      </c>
      <c r="C278" s="67">
        <v>-0.35095238200000001</v>
      </c>
      <c r="D278" s="67">
        <v>-1.0222802820000001</v>
      </c>
      <c r="E278" s="68">
        <f t="shared" si="12"/>
        <v>1.4905962039690185E-2</v>
      </c>
      <c r="F278" s="68">
        <f t="shared" si="13"/>
        <v>-3.0206954334041636E-4</v>
      </c>
      <c r="G278" s="68">
        <f t="shared" si="14"/>
        <v>-2.3037333525647789E-2</v>
      </c>
      <c r="H278" s="70">
        <f t="shared" si="15"/>
        <v>12226.22485163159</v>
      </c>
    </row>
    <row r="279" spans="1:8" x14ac:dyDescent="0.25">
      <c r="A279" s="3">
        <v>241</v>
      </c>
      <c r="B279" s="67">
        <v>-9.6178937000000006E-2</v>
      </c>
      <c r="C279" s="67">
        <v>1.128018857</v>
      </c>
      <c r="D279" s="67">
        <v>-2.280737845</v>
      </c>
      <c r="E279" s="68">
        <f t="shared" si="12"/>
        <v>-4.5745277415595842E-4</v>
      </c>
      <c r="F279" s="68">
        <f t="shared" si="13"/>
        <v>2.2138593609147269E-2</v>
      </c>
      <c r="G279" s="68">
        <f t="shared" si="14"/>
        <v>-4.6026824289353147E-2</v>
      </c>
      <c r="H279" s="70">
        <f t="shared" si="15"/>
        <v>22137.624806895918</v>
      </c>
    </row>
    <row r="280" spans="1:8" x14ac:dyDescent="0.25">
      <c r="A280" s="3">
        <v>242</v>
      </c>
      <c r="B280" s="67">
        <v>-1.4966386899999999</v>
      </c>
      <c r="C280" s="67">
        <v>-0.92288644200000003</v>
      </c>
      <c r="D280" s="67">
        <v>1.4611788670000001</v>
      </c>
      <c r="E280" s="68">
        <f t="shared" si="12"/>
        <v>-2.7973854394119375E-2</v>
      </c>
      <c r="F280" s="68">
        <f t="shared" si="13"/>
        <v>-2.3032160779312381E-2</v>
      </c>
      <c r="G280" s="68">
        <f t="shared" si="14"/>
        <v>2.1750723042152403E-2</v>
      </c>
      <c r="H280" s="69">
        <f t="shared" si="15"/>
        <v>-47738.672188961682</v>
      </c>
    </row>
    <row r="281" spans="1:8" x14ac:dyDescent="0.25">
      <c r="A281" s="3">
        <v>243</v>
      </c>
      <c r="B281" s="67">
        <v>0.28258698300000001</v>
      </c>
      <c r="C281" s="67">
        <v>0.76731724000000001</v>
      </c>
      <c r="D281" s="67">
        <v>-1.1401609189999999</v>
      </c>
      <c r="E281" s="68">
        <f t="shared" si="12"/>
        <v>6.9845855652885137E-3</v>
      </c>
      <c r="F281" s="68">
        <f t="shared" si="13"/>
        <v>1.7729164888441722E-2</v>
      </c>
      <c r="G281" s="68">
        <f t="shared" si="14"/>
        <v>-2.2064945417822345E-2</v>
      </c>
      <c r="H281" s="70">
        <f t="shared" si="15"/>
        <v>24200.988859243742</v>
      </c>
    </row>
    <row r="282" spans="1:8" x14ac:dyDescent="0.25">
      <c r="A282" s="3">
        <v>244</v>
      </c>
      <c r="B282" s="67">
        <v>-1.119535875</v>
      </c>
      <c r="C282" s="67">
        <v>0.447813717</v>
      </c>
      <c r="D282" s="67">
        <v>5.8274330999999999E-2</v>
      </c>
      <c r="E282" s="68">
        <f t="shared" si="12"/>
        <v>-2.0564492941688717E-2</v>
      </c>
      <c r="F282" s="68">
        <f t="shared" si="13"/>
        <v>3.9966039329900407E-3</v>
      </c>
      <c r="G282" s="68">
        <f t="shared" si="14"/>
        <v>-1.5898671458982386E-3</v>
      </c>
      <c r="H282" s="69">
        <f t="shared" si="15"/>
        <v>-13509.981971717098</v>
      </c>
    </row>
    <row r="283" spans="1:8" x14ac:dyDescent="0.25">
      <c r="A283" s="3">
        <v>245</v>
      </c>
      <c r="B283" s="67">
        <v>0.54873881899999999</v>
      </c>
      <c r="C283" s="67">
        <v>-0.18767099100000001</v>
      </c>
      <c r="D283" s="67">
        <v>0.27814372599999998</v>
      </c>
      <c r="E283" s="68">
        <f t="shared" si="12"/>
        <v>1.221396884144371E-2</v>
      </c>
      <c r="F283" s="68">
        <f t="shared" si="13"/>
        <v>1.8887938230592169E-3</v>
      </c>
      <c r="G283" s="68">
        <f t="shared" si="14"/>
        <v>5.084071809136035E-3</v>
      </c>
      <c r="H283" s="70">
        <f t="shared" si="15"/>
        <v>12505.231282039453</v>
      </c>
    </row>
    <row r="284" spans="1:8" x14ac:dyDescent="0.25">
      <c r="A284" s="3">
        <v>246</v>
      </c>
      <c r="B284" s="67">
        <v>0.15811908499999999</v>
      </c>
      <c r="C284" s="67">
        <v>0.77776738899999998</v>
      </c>
      <c r="D284" s="67">
        <v>0.80700828199999997</v>
      </c>
      <c r="E284" s="68">
        <f t="shared" si="12"/>
        <v>4.539025339209927E-3</v>
      </c>
      <c r="F284" s="68">
        <f t="shared" si="13"/>
        <v>1.7215071580770375E-2</v>
      </c>
      <c r="G284" s="68">
        <f t="shared" si="14"/>
        <v>1.9300646391527815E-2</v>
      </c>
      <c r="H284" s="70">
        <f t="shared" si="15"/>
        <v>22022.667803477376</v>
      </c>
    </row>
    <row r="285" spans="1:8" x14ac:dyDescent="0.25">
      <c r="A285" s="3">
        <v>247</v>
      </c>
      <c r="B285" s="67">
        <v>-1.6198719939999999</v>
      </c>
      <c r="C285" s="67">
        <v>-2.2472685549999998</v>
      </c>
      <c r="D285" s="67">
        <v>1.001745398</v>
      </c>
      <c r="E285" s="68">
        <f t="shared" si="12"/>
        <v>-3.0395157168836846E-2</v>
      </c>
      <c r="F285" s="68">
        <f t="shared" si="13"/>
        <v>-4.7783944819269279E-2</v>
      </c>
      <c r="G285" s="68">
        <f t="shared" si="14"/>
        <v>6.1301898157928164E-3</v>
      </c>
      <c r="H285" s="69">
        <f t="shared" si="15"/>
        <v>-75745.7619678958</v>
      </c>
    </row>
    <row r="286" spans="1:8" x14ac:dyDescent="0.25">
      <c r="A286" s="3">
        <v>248</v>
      </c>
      <c r="B286" s="67">
        <v>1.1877250930000001</v>
      </c>
      <c r="C286" s="67">
        <v>-1.0206230199999999</v>
      </c>
      <c r="D286" s="67">
        <v>-1.8598354070000001</v>
      </c>
      <c r="E286" s="68">
        <f t="shared" si="12"/>
        <v>2.4768847985498624E-2</v>
      </c>
      <c r="F286" s="68">
        <f t="shared" si="13"/>
        <v>-9.6265417756668352E-3</v>
      </c>
      <c r="G286" s="68">
        <f t="shared" si="14"/>
        <v>-4.2335723482689144E-2</v>
      </c>
      <c r="H286" s="70">
        <f t="shared" si="15"/>
        <v>10776.268233323488</v>
      </c>
    </row>
    <row r="287" spans="1:8" x14ac:dyDescent="0.25">
      <c r="A287" s="3">
        <v>249</v>
      </c>
      <c r="B287" s="67">
        <v>9.9034820999999995E-2</v>
      </c>
      <c r="C287" s="67">
        <v>0.93083822599999999</v>
      </c>
      <c r="D287" s="67">
        <v>1.797594522</v>
      </c>
      <c r="E287" s="68">
        <f t="shared" si="12"/>
        <v>3.3781306157726681E-3</v>
      </c>
      <c r="F287" s="68">
        <f t="shared" si="13"/>
        <v>1.9661172510576946E-2</v>
      </c>
      <c r="G287" s="68">
        <f t="shared" si="14"/>
        <v>4.0964418953128814E-2</v>
      </c>
      <c r="H287" s="70">
        <f t="shared" si="15"/>
        <v>23810.327054101745</v>
      </c>
    </row>
    <row r="288" spans="1:8" x14ac:dyDescent="0.25">
      <c r="A288" s="3">
        <v>250</v>
      </c>
      <c r="B288" s="67">
        <v>0.51629757200000004</v>
      </c>
      <c r="C288" s="67">
        <v>-0.37171669699999998</v>
      </c>
      <c r="D288" s="67">
        <v>-0.89313062200000004</v>
      </c>
      <c r="E288" s="68">
        <f t="shared" si="12"/>
        <v>1.1576559319611896E-2</v>
      </c>
      <c r="F288" s="68">
        <f t="shared" si="13"/>
        <v>-1.6375082889463111E-3</v>
      </c>
      <c r="G288" s="68">
        <f t="shared" si="14"/>
        <v>-2.0825013639011292E-2</v>
      </c>
      <c r="H288" s="70">
        <f t="shared" si="15"/>
        <v>8003.1844381518058</v>
      </c>
    </row>
    <row r="289" spans="1:8" x14ac:dyDescent="0.25">
      <c r="A289" s="3">
        <v>251</v>
      </c>
      <c r="B289" s="67">
        <v>1.1451292E-2</v>
      </c>
      <c r="C289" s="67">
        <v>-0.29926470399999999</v>
      </c>
      <c r="D289" s="67">
        <v>-1.0150679060000001</v>
      </c>
      <c r="E289" s="68">
        <f t="shared" si="12"/>
        <v>1.6572789068284035E-3</v>
      </c>
      <c r="F289" s="68">
        <f t="shared" si="13"/>
        <v>-3.1766013531056739E-3</v>
      </c>
      <c r="G289" s="68">
        <f t="shared" si="14"/>
        <v>-2.4523426962717438E-2</v>
      </c>
      <c r="H289" s="69">
        <f t="shared" si="15"/>
        <v>-2153.25853282854</v>
      </c>
    </row>
    <row r="290" spans="1:8" x14ac:dyDescent="0.25">
      <c r="A290" s="3">
        <v>252</v>
      </c>
      <c r="B290" s="67">
        <v>2.048755651</v>
      </c>
      <c r="C290" s="67">
        <v>1.785168402</v>
      </c>
      <c r="D290" s="67">
        <v>1.1360486839999999</v>
      </c>
      <c r="E290" s="68">
        <f t="shared" si="12"/>
        <v>4.1686479920465917E-2</v>
      </c>
      <c r="F290" s="68">
        <f t="shared" si="13"/>
        <v>4.6204653188230943E-2</v>
      </c>
      <c r="G290" s="68">
        <f t="shared" si="14"/>
        <v>3.5683740944685328E-2</v>
      </c>
      <c r="H290" s="70">
        <f t="shared" si="15"/>
        <v>84254.852535681188</v>
      </c>
    </row>
    <row r="291" spans="1:8" x14ac:dyDescent="0.25">
      <c r="A291" s="3">
        <v>253</v>
      </c>
      <c r="B291" s="67">
        <v>-0.92085039800000001</v>
      </c>
      <c r="C291" s="67">
        <v>0.85501932400000002</v>
      </c>
      <c r="D291" s="67">
        <v>0.63962640900000001</v>
      </c>
      <c r="E291" s="68">
        <f t="shared" si="12"/>
        <v>-1.6660696799404288E-2</v>
      </c>
      <c r="F291" s="68">
        <f t="shared" si="13"/>
        <v>1.2516335367731625E-2</v>
      </c>
      <c r="G291" s="68">
        <f t="shared" si="14"/>
        <v>1.3071730125014679E-2</v>
      </c>
      <c r="H291" s="69">
        <f t="shared" si="15"/>
        <v>-1132.0321009571044</v>
      </c>
    </row>
    <row r="292" spans="1:8" x14ac:dyDescent="0.25">
      <c r="A292" s="3">
        <v>254</v>
      </c>
      <c r="B292" s="67">
        <v>0.44254562400000003</v>
      </c>
      <c r="C292" s="67">
        <v>1.2496652669999999</v>
      </c>
      <c r="D292" s="67">
        <v>0.63537114299999997</v>
      </c>
      <c r="E292" s="68">
        <f t="shared" si="12"/>
        <v>1.0127472177282102E-2</v>
      </c>
      <c r="F292" s="68">
        <f t="shared" si="13"/>
        <v>2.7394703605154454E-2</v>
      </c>
      <c r="G292" s="68">
        <f t="shared" si="14"/>
        <v>1.8352030023203379E-2</v>
      </c>
      <c r="H292" s="70">
        <f t="shared" si="15"/>
        <v>37401.91831226409</v>
      </c>
    </row>
    <row r="293" spans="1:8" x14ac:dyDescent="0.25">
      <c r="A293" s="3">
        <v>255</v>
      </c>
      <c r="B293" s="67">
        <v>0.74001423600000005</v>
      </c>
      <c r="C293" s="67">
        <v>0.63690628299999996</v>
      </c>
      <c r="D293" s="67">
        <v>0.34079140800000002</v>
      </c>
      <c r="E293" s="68">
        <f t="shared" si="12"/>
        <v>1.5972171233853326E-2</v>
      </c>
      <c r="F293" s="68">
        <f t="shared" si="13"/>
        <v>1.7947376661855485E-2</v>
      </c>
      <c r="G293" s="68">
        <f t="shared" si="14"/>
        <v>1.0344184367418604E-2</v>
      </c>
      <c r="H293" s="70">
        <f t="shared" si="15"/>
        <v>32499.547887176039</v>
      </c>
    </row>
    <row r="294" spans="1:8" x14ac:dyDescent="0.25">
      <c r="A294" s="3">
        <v>256</v>
      </c>
      <c r="B294" s="67">
        <v>-1.7836111299999999</v>
      </c>
      <c r="C294" s="67">
        <v>8.3621077000000002E-2</v>
      </c>
      <c r="D294" s="67">
        <v>-0.55619195899999996</v>
      </c>
      <c r="E294" s="68">
        <f t="shared" si="12"/>
        <v>-3.3612323401161846E-2</v>
      </c>
      <c r="F294" s="68">
        <f t="shared" si="13"/>
        <v>-6.3737867259358386E-3</v>
      </c>
      <c r="G294" s="68">
        <f t="shared" si="14"/>
        <v>-1.8062013420678216E-2</v>
      </c>
      <c r="H294" s="69">
        <f t="shared" si="15"/>
        <v>-35682.365025244399</v>
      </c>
    </row>
    <row r="295" spans="1:8" x14ac:dyDescent="0.25">
      <c r="A295" s="3">
        <v>257</v>
      </c>
      <c r="B295" s="67">
        <v>-1.2798409580000001</v>
      </c>
      <c r="C295" s="67">
        <v>1.6818166189999999</v>
      </c>
      <c r="D295" s="67">
        <v>1.7289953410000001</v>
      </c>
      <c r="E295" s="68">
        <f t="shared" ref="E295:E358" si="16">$B$14*B295+$B$26</f>
        <v>-2.3714186487754925E-2</v>
      </c>
      <c r="F295" s="68">
        <f t="shared" ref="F295:F358" si="17">$B$15*B295+$C$15*C295+$B$27</f>
        <v>2.5503334918194304E-2</v>
      </c>
      <c r="G295" s="68">
        <f t="shared" ref="G295:G358" si="18">$B$16*B295+$C$16*C295+$D$16*D295+$B$28</f>
        <v>3.8798011146569805E-2</v>
      </c>
      <c r="H295" s="70">
        <f t="shared" ref="H295:H358" si="19">E295*$B$32+F295*$B$33+G295*$B$34</f>
        <v>6611.3864694514195</v>
      </c>
    </row>
    <row r="296" spans="1:8" x14ac:dyDescent="0.25">
      <c r="A296" s="3">
        <v>258</v>
      </c>
      <c r="B296" s="67">
        <v>1.3592206</v>
      </c>
      <c r="C296" s="67">
        <v>0.255213417</v>
      </c>
      <c r="D296" s="67">
        <v>1.350625121</v>
      </c>
      <c r="E296" s="68">
        <f t="shared" si="16"/>
        <v>2.8138412327867297E-2</v>
      </c>
      <c r="F296" s="68">
        <f t="shared" si="17"/>
        <v>1.4516439049325492E-2</v>
      </c>
      <c r="G296" s="68">
        <f t="shared" si="18"/>
        <v>3.2082879291800551E-2</v>
      </c>
      <c r="H296" s="70">
        <f t="shared" si="19"/>
        <v>39611.605959827728</v>
      </c>
    </row>
    <row r="297" spans="1:8" x14ac:dyDescent="0.25">
      <c r="A297" s="3">
        <v>259</v>
      </c>
      <c r="B297" s="67">
        <v>1.2053181E-2</v>
      </c>
      <c r="C297" s="67">
        <v>0.202797277</v>
      </c>
      <c r="D297" s="67">
        <v>-1.0934713700000001</v>
      </c>
      <c r="E297" s="68">
        <f t="shared" si="16"/>
        <v>1.6691048942722841E-3</v>
      </c>
      <c r="F297" s="68">
        <f t="shared" si="17"/>
        <v>5.9457972569605024E-3</v>
      </c>
      <c r="G297" s="68">
        <f t="shared" si="18"/>
        <v>-2.4132948898560363E-2</v>
      </c>
      <c r="H297" s="70">
        <f t="shared" si="19"/>
        <v>7353.953343781176</v>
      </c>
    </row>
    <row r="298" spans="1:8" x14ac:dyDescent="0.25">
      <c r="A298" s="3">
        <v>260</v>
      </c>
      <c r="B298" s="67">
        <v>0.39699130399999999</v>
      </c>
      <c r="C298" s="67">
        <v>6.0385927999999998E-2</v>
      </c>
      <c r="D298" s="67">
        <v>-1.3026521170000001</v>
      </c>
      <c r="E298" s="68">
        <f t="shared" si="16"/>
        <v>9.2324154204141071E-3</v>
      </c>
      <c r="F298" s="68">
        <f t="shared" si="17"/>
        <v>5.5360988788964016E-3</v>
      </c>
      <c r="G298" s="68">
        <f t="shared" si="18"/>
        <v>-2.8137142700286503E-2</v>
      </c>
      <c r="H298" s="70">
        <f t="shared" si="19"/>
        <v>13375.395370967204</v>
      </c>
    </row>
    <row r="299" spans="1:8" x14ac:dyDescent="0.25">
      <c r="A299" s="3">
        <v>261</v>
      </c>
      <c r="B299" s="67">
        <v>-5.1197112000000003E-2</v>
      </c>
      <c r="C299" s="67">
        <v>-7.9729564000000003E-2</v>
      </c>
      <c r="D299" s="67">
        <v>1.797561167</v>
      </c>
      <c r="E299" s="68">
        <f t="shared" si="16"/>
        <v>4.2635553211452606E-4</v>
      </c>
      <c r="F299" s="68">
        <f t="shared" si="17"/>
        <v>4.565402109190167E-4</v>
      </c>
      <c r="G299" s="68">
        <f t="shared" si="18"/>
        <v>3.6391369863762797E-2</v>
      </c>
      <c r="H299" s="70">
        <f t="shared" si="19"/>
        <v>1241.9934075362387</v>
      </c>
    </row>
    <row r="300" spans="1:8" x14ac:dyDescent="0.25">
      <c r="A300" s="3">
        <v>262</v>
      </c>
      <c r="B300" s="67">
        <v>0.89421332899999995</v>
      </c>
      <c r="C300" s="67">
        <v>1.1445439E-2</v>
      </c>
      <c r="D300" s="67">
        <v>0.24878731000000001</v>
      </c>
      <c r="E300" s="68">
        <f t="shared" si="16"/>
        <v>1.9001893554207713E-2</v>
      </c>
      <c r="F300" s="68">
        <f t="shared" si="17"/>
        <v>7.459116141132963E-3</v>
      </c>
      <c r="G300" s="68">
        <f t="shared" si="18"/>
        <v>6.2249349892506637E-3</v>
      </c>
      <c r="H300" s="70">
        <f t="shared" si="19"/>
        <v>24140.620444377029</v>
      </c>
    </row>
    <row r="301" spans="1:8" x14ac:dyDescent="0.25">
      <c r="A301" s="3">
        <v>263</v>
      </c>
      <c r="B301" s="67">
        <v>4.4212377999999997E-2</v>
      </c>
      <c r="C301" s="67">
        <v>-0.20291398499999999</v>
      </c>
      <c r="D301" s="67">
        <v>-1.0824271969999999</v>
      </c>
      <c r="E301" s="68">
        <f t="shared" si="16"/>
        <v>2.3009726637900577E-3</v>
      </c>
      <c r="F301" s="68">
        <f t="shared" si="17"/>
        <v>-1.2413020232814129E-3</v>
      </c>
      <c r="G301" s="68">
        <f t="shared" si="18"/>
        <v>-2.5478138413919174E-2</v>
      </c>
      <c r="H301" s="70">
        <f t="shared" si="19"/>
        <v>402.60110306838169</v>
      </c>
    </row>
    <row r="302" spans="1:8" x14ac:dyDescent="0.25">
      <c r="A302" s="3">
        <v>264</v>
      </c>
      <c r="B302" s="67">
        <v>-0.151051878</v>
      </c>
      <c r="C302" s="67">
        <v>-0.74609825699999999</v>
      </c>
      <c r="D302" s="67">
        <v>-1.250315539</v>
      </c>
      <c r="E302" s="68">
        <f t="shared" si="16"/>
        <v>-1.535602916914511E-3</v>
      </c>
      <c r="F302" s="68">
        <f t="shared" si="17"/>
        <v>-1.2211477649396089E-2</v>
      </c>
      <c r="G302" s="68">
        <f t="shared" si="18"/>
        <v>-3.1842904098064666E-2</v>
      </c>
      <c r="H302" s="69">
        <f t="shared" si="19"/>
        <v>-14376.165955540799</v>
      </c>
    </row>
    <row r="303" spans="1:8" x14ac:dyDescent="0.25">
      <c r="A303" s="3">
        <v>265</v>
      </c>
      <c r="B303" s="67">
        <v>0.51122181499999997</v>
      </c>
      <c r="C303" s="67">
        <v>0.39126465999999999</v>
      </c>
      <c r="D303" s="67">
        <v>-1.7867075109999999</v>
      </c>
      <c r="E303" s="68">
        <f t="shared" si="16"/>
        <v>1.1476830235760571E-2</v>
      </c>
      <c r="F303" s="68">
        <f t="shared" si="17"/>
        <v>1.2191882642303342E-2</v>
      </c>
      <c r="G303" s="68">
        <f t="shared" si="18"/>
        <v>-3.6818921482792255E-2</v>
      </c>
      <c r="H303" s="70">
        <f t="shared" si="19"/>
        <v>22132.212473363539</v>
      </c>
    </row>
    <row r="304" spans="1:8" x14ac:dyDescent="0.25">
      <c r="A304" s="3">
        <v>266</v>
      </c>
      <c r="B304" s="67">
        <v>-0.122684637</v>
      </c>
      <c r="C304" s="67">
        <v>0.99570138600000002</v>
      </c>
      <c r="D304" s="67">
        <v>1.0592237390000001</v>
      </c>
      <c r="E304" s="68">
        <f t="shared" si="16"/>
        <v>-9.7823995483423392E-4</v>
      </c>
      <c r="F304" s="68">
        <f t="shared" si="17"/>
        <v>1.9585403013671964E-2</v>
      </c>
      <c r="G304" s="68">
        <f t="shared" si="18"/>
        <v>2.482271707448435E-2</v>
      </c>
      <c r="H304" s="70">
        <f t="shared" si="19"/>
        <v>19814.385004518284</v>
      </c>
    </row>
    <row r="305" spans="1:8" x14ac:dyDescent="0.25">
      <c r="A305" s="3">
        <v>267</v>
      </c>
      <c r="B305" s="67">
        <v>1.025836843</v>
      </c>
      <c r="C305" s="67">
        <v>3.8913206999999998E-2</v>
      </c>
      <c r="D305" s="67">
        <v>-0.84504532799999998</v>
      </c>
      <c r="E305" s="68">
        <f t="shared" si="16"/>
        <v>2.1588048183854451E-2</v>
      </c>
      <c r="F305" s="68">
        <f t="shared" si="17"/>
        <v>8.7023828030349734E-3</v>
      </c>
      <c r="G305" s="68">
        <f t="shared" si="18"/>
        <v>-1.6705609551829714E-2</v>
      </c>
      <c r="H305" s="70">
        <f t="shared" si="19"/>
        <v>27401.513714542962</v>
      </c>
    </row>
    <row r="306" spans="1:8" x14ac:dyDescent="0.25">
      <c r="A306" s="3">
        <v>268</v>
      </c>
      <c r="B306" s="67">
        <v>-1.0836988270000001</v>
      </c>
      <c r="C306" s="67">
        <v>0.34460490500000002</v>
      </c>
      <c r="D306" s="67">
        <v>0.37928003399999999</v>
      </c>
      <c r="E306" s="68">
        <f t="shared" si="16"/>
        <v>-1.9860362313493578E-2</v>
      </c>
      <c r="F306" s="68">
        <f t="shared" si="17"/>
        <v>2.3246818218786119E-3</v>
      </c>
      <c r="G306" s="68">
        <f t="shared" si="18"/>
        <v>4.9525563173875731E-3</v>
      </c>
      <c r="H306" s="69">
        <f t="shared" si="19"/>
        <v>-14573.314543494038</v>
      </c>
    </row>
    <row r="307" spans="1:8" x14ac:dyDescent="0.25">
      <c r="A307" s="3">
        <v>269</v>
      </c>
      <c r="B307" s="67">
        <v>1.2873311119999999</v>
      </c>
      <c r="C307" s="67">
        <v>1.0999796500000001</v>
      </c>
      <c r="D307" s="67">
        <v>-0.132228657</v>
      </c>
      <c r="E307" s="68">
        <f t="shared" si="16"/>
        <v>2.6725919023562007E-2</v>
      </c>
      <c r="F307" s="68">
        <f t="shared" si="17"/>
        <v>2.9453445629521381E-2</v>
      </c>
      <c r="G307" s="68">
        <f t="shared" si="18"/>
        <v>3.6328885860591308E-3</v>
      </c>
      <c r="H307" s="70">
        <f t="shared" si="19"/>
        <v>53629.17856975973</v>
      </c>
    </row>
    <row r="308" spans="1:8" x14ac:dyDescent="0.25">
      <c r="A308" s="3">
        <v>270</v>
      </c>
      <c r="B308" s="67">
        <v>-1.2442058789999999</v>
      </c>
      <c r="C308" s="67">
        <v>-0.31910659699999999</v>
      </c>
      <c r="D308" s="67">
        <v>0.21723119499999999</v>
      </c>
      <c r="E308" s="68">
        <f t="shared" si="16"/>
        <v>-2.3014024170756778E-2</v>
      </c>
      <c r="F308" s="68">
        <f t="shared" si="17"/>
        <v>-1.0638078640143406E-2</v>
      </c>
      <c r="G308" s="68">
        <f t="shared" si="18"/>
        <v>-1.6878204892746866E-3</v>
      </c>
      <c r="H308" s="69">
        <f t="shared" si="19"/>
        <v>-30842.427907732788</v>
      </c>
    </row>
    <row r="309" spans="1:8" x14ac:dyDescent="0.25">
      <c r="A309" s="3">
        <v>271</v>
      </c>
      <c r="B309" s="67">
        <v>-0.20208324499999999</v>
      </c>
      <c r="C309" s="67">
        <v>-0.57789410799999996</v>
      </c>
      <c r="D309" s="67">
        <v>0.25288481499999999</v>
      </c>
      <c r="E309" s="68">
        <f t="shared" si="16"/>
        <v>-2.5382733518054361E-3</v>
      </c>
      <c r="F309" s="68">
        <f t="shared" si="17"/>
        <v>-9.4449677261574591E-3</v>
      </c>
      <c r="G309" s="68">
        <f t="shared" si="18"/>
        <v>8.7397510718961974E-4</v>
      </c>
      <c r="H309" s="69">
        <f t="shared" si="19"/>
        <v>-11997.496061929389</v>
      </c>
    </row>
    <row r="310" spans="1:8" x14ac:dyDescent="0.25">
      <c r="A310" s="3">
        <v>272</v>
      </c>
      <c r="B310" s="67">
        <v>-0.50395774100000001</v>
      </c>
      <c r="C310" s="67">
        <v>-0.62806608399999997</v>
      </c>
      <c r="D310" s="67">
        <v>0.31145283400000001</v>
      </c>
      <c r="E310" s="68">
        <f t="shared" si="16"/>
        <v>-8.4695397469776237E-3</v>
      </c>
      <c r="F310" s="68">
        <f t="shared" si="17"/>
        <v>-1.2063429076617936E-2</v>
      </c>
      <c r="G310" s="68">
        <f t="shared" si="18"/>
        <v>1.0910432606941239E-3</v>
      </c>
      <c r="H310" s="69">
        <f t="shared" si="19"/>
        <v>-19810.915865473995</v>
      </c>
    </row>
    <row r="311" spans="1:8" x14ac:dyDescent="0.25">
      <c r="A311" s="3">
        <v>273</v>
      </c>
      <c r="B311" s="67">
        <v>-0.40199257999999999</v>
      </c>
      <c r="C311" s="67">
        <v>0.244104389</v>
      </c>
      <c r="D311" s="67">
        <v>0.27320402300000002</v>
      </c>
      <c r="E311" s="68">
        <f t="shared" si="16"/>
        <v>-6.46611600323207E-3</v>
      </c>
      <c r="F311" s="68">
        <f t="shared" si="17"/>
        <v>4.354519005741974E-3</v>
      </c>
      <c r="G311" s="68">
        <f t="shared" si="18"/>
        <v>4.142659152662367E-3</v>
      </c>
      <c r="H311" s="69">
        <f t="shared" si="19"/>
        <v>-973.17406881408886</v>
      </c>
    </row>
    <row r="312" spans="1:8" x14ac:dyDescent="0.25">
      <c r="A312" s="3">
        <v>274</v>
      </c>
      <c r="B312" s="67">
        <v>-1.1394290010000001</v>
      </c>
      <c r="C312" s="67">
        <v>-0.48124112400000002</v>
      </c>
      <c r="D312" s="67">
        <v>1.43777694</v>
      </c>
      <c r="E312" s="68">
        <f t="shared" si="16"/>
        <v>-2.0955355473310885E-2</v>
      </c>
      <c r="F312" s="68">
        <f t="shared" si="17"/>
        <v>-1.2990399825428477E-2</v>
      </c>
      <c r="G312" s="68">
        <f t="shared" si="18"/>
        <v>2.4049488097997788E-2</v>
      </c>
      <c r="H312" s="69">
        <f t="shared" si="19"/>
        <v>-31239.639625038977</v>
      </c>
    </row>
    <row r="313" spans="1:8" x14ac:dyDescent="0.25">
      <c r="A313" s="3">
        <v>275</v>
      </c>
      <c r="B313" s="67">
        <v>-1.1620795129999999</v>
      </c>
      <c r="C313" s="67">
        <v>-2.1166544489999999</v>
      </c>
      <c r="D313" s="67">
        <v>-1.861845153</v>
      </c>
      <c r="E313" s="68">
        <f t="shared" si="16"/>
        <v>-2.140039545661257E-2</v>
      </c>
      <c r="F313" s="68">
        <f t="shared" si="17"/>
        <v>-4.2822647005119119E-2</v>
      </c>
      <c r="G313" s="68">
        <f t="shared" si="18"/>
        <v>-5.3347888205979674E-2</v>
      </c>
      <c r="H313" s="69">
        <f t="shared" si="19"/>
        <v>-63517.806119362271</v>
      </c>
    </row>
    <row r="314" spans="1:8" x14ac:dyDescent="0.25">
      <c r="A314" s="3">
        <v>276</v>
      </c>
      <c r="B314" s="67">
        <v>2.9109947000000001E-2</v>
      </c>
      <c r="C314" s="67">
        <v>3.0917277999999999E-2</v>
      </c>
      <c r="D314" s="67">
        <v>-0.117610855</v>
      </c>
      <c r="E314" s="68">
        <f t="shared" si="16"/>
        <v>2.0042382835670043E-3</v>
      </c>
      <c r="F314" s="68">
        <f t="shared" si="17"/>
        <v>2.9203868253430132E-3</v>
      </c>
      <c r="G314" s="68">
        <f t="shared" si="18"/>
        <v>-3.9124972656033527E-3</v>
      </c>
      <c r="H314" s="70">
        <f t="shared" si="19"/>
        <v>4716.1616035095985</v>
      </c>
    </row>
    <row r="315" spans="1:8" x14ac:dyDescent="0.25">
      <c r="A315" s="3">
        <v>277</v>
      </c>
      <c r="B315" s="67">
        <v>1.2141898289999999</v>
      </c>
      <c r="C315" s="67">
        <v>-2.6728344329999998</v>
      </c>
      <c r="D315" s="67">
        <v>0.39593387400000002</v>
      </c>
      <c r="E315" s="68">
        <f t="shared" si="16"/>
        <v>2.5288830300579331E-2</v>
      </c>
      <c r="F315" s="68">
        <f t="shared" si="17"/>
        <v>-3.9486133805811598E-2</v>
      </c>
      <c r="G315" s="68">
        <f t="shared" si="18"/>
        <v>-7.954843623399811E-4</v>
      </c>
      <c r="H315" s="69">
        <f t="shared" si="19"/>
        <v>-19391.581398698738</v>
      </c>
    </row>
    <row r="316" spans="1:8" x14ac:dyDescent="0.25">
      <c r="A316" s="3">
        <v>278</v>
      </c>
      <c r="B316" s="67">
        <v>1.5614382019999999</v>
      </c>
      <c r="C316" s="67">
        <v>-1.127780765</v>
      </c>
      <c r="D316" s="67">
        <v>-0.37980651199999999</v>
      </c>
      <c r="E316" s="68">
        <f t="shared" si="16"/>
        <v>3.2111608086858826E-2</v>
      </c>
      <c r="F316" s="68">
        <f t="shared" si="17"/>
        <v>-9.4594064719525622E-3</v>
      </c>
      <c r="G316" s="68">
        <f t="shared" si="18"/>
        <v>-1.0080714280724438E-2</v>
      </c>
      <c r="H316" s="70">
        <f t="shared" si="19"/>
        <v>17608.15946002202</v>
      </c>
    </row>
    <row r="317" spans="1:8" x14ac:dyDescent="0.25">
      <c r="A317" s="3">
        <v>279</v>
      </c>
      <c r="B317" s="67">
        <v>-0.75289191700000002</v>
      </c>
      <c r="C317" s="67">
        <v>-0.89434604600000001</v>
      </c>
      <c r="D317" s="67">
        <v>-0.32626200500000002</v>
      </c>
      <c r="E317" s="68">
        <f t="shared" si="16"/>
        <v>-1.3360628369180005E-2</v>
      </c>
      <c r="F317" s="68">
        <f t="shared" si="17"/>
        <v>-1.8307686189449113E-2</v>
      </c>
      <c r="G317" s="68">
        <f t="shared" si="18"/>
        <v>-1.4334632982070963E-2</v>
      </c>
      <c r="H317" s="69">
        <f t="shared" si="19"/>
        <v>-30676.860681652979</v>
      </c>
    </row>
    <row r="318" spans="1:8" x14ac:dyDescent="0.25">
      <c r="A318" s="3">
        <v>280</v>
      </c>
      <c r="B318" s="67">
        <v>1.4274852840000001</v>
      </c>
      <c r="C318" s="67">
        <v>1.8373866750000001</v>
      </c>
      <c r="D318" s="67">
        <v>-0.33593922500000001</v>
      </c>
      <c r="E318" s="68">
        <f t="shared" si="16"/>
        <v>2.947968504732966E-2</v>
      </c>
      <c r="F318" s="68">
        <f t="shared" si="17"/>
        <v>4.3639643043307544E-2</v>
      </c>
      <c r="G318" s="68">
        <f t="shared" si="18"/>
        <v>2.6943017514113859E-3</v>
      </c>
      <c r="H318" s="70">
        <f t="shared" si="19"/>
        <v>70744.64759144478</v>
      </c>
    </row>
    <row r="319" spans="1:8" x14ac:dyDescent="0.25">
      <c r="A319" s="3">
        <v>281</v>
      </c>
      <c r="B319" s="67">
        <v>1.9050602139999999</v>
      </c>
      <c r="C319" s="67">
        <v>3.5576477000000002E-2</v>
      </c>
      <c r="D319" s="67">
        <v>1.7536910269999999</v>
      </c>
      <c r="E319" s="68">
        <f t="shared" si="16"/>
        <v>3.8863134696172169E-2</v>
      </c>
      <c r="F319" s="68">
        <f t="shared" si="17"/>
        <v>1.3614027913953688E-2</v>
      </c>
      <c r="G319" s="68">
        <f t="shared" si="18"/>
        <v>4.1303611222368496E-2</v>
      </c>
      <c r="H319" s="70">
        <f t="shared" si="19"/>
        <v>47979.610056792772</v>
      </c>
    </row>
    <row r="320" spans="1:8" x14ac:dyDescent="0.25">
      <c r="A320" s="3">
        <v>282</v>
      </c>
      <c r="B320" s="67">
        <v>-9.3298649999999997E-2</v>
      </c>
      <c r="C320" s="67">
        <v>0.13105782599999999</v>
      </c>
      <c r="D320" s="67">
        <v>0.36547447300000002</v>
      </c>
      <c r="E320" s="68">
        <f t="shared" si="16"/>
        <v>-4.008605488506733E-4</v>
      </c>
      <c r="F320" s="68">
        <f t="shared" si="17"/>
        <v>4.0469938311604847E-3</v>
      </c>
      <c r="G320" s="68">
        <f t="shared" si="18"/>
        <v>6.5001060145391705E-3</v>
      </c>
      <c r="H320" s="70">
        <f t="shared" si="19"/>
        <v>3938.8412582794749</v>
      </c>
    </row>
    <row r="321" spans="1:8" x14ac:dyDescent="0.25">
      <c r="A321" s="3">
        <v>283</v>
      </c>
      <c r="B321" s="67">
        <v>3.1788536789999999</v>
      </c>
      <c r="C321" s="67">
        <v>0.85128557500000002</v>
      </c>
      <c r="D321" s="67">
        <v>-0.70726453</v>
      </c>
      <c r="E321" s="68">
        <f t="shared" si="16"/>
        <v>6.3890781858999851E-2</v>
      </c>
      <c r="F321" s="68">
        <f t="shared" si="17"/>
        <v>3.5633475150339551E-2</v>
      </c>
      <c r="G321" s="68">
        <f t="shared" si="18"/>
        <v>-4.496635179564017E-3</v>
      </c>
      <c r="H321" s="70">
        <f t="shared" si="19"/>
        <v>91870.628382413677</v>
      </c>
    </row>
    <row r="322" spans="1:8" x14ac:dyDescent="0.25">
      <c r="A322" s="3">
        <v>284</v>
      </c>
      <c r="B322" s="67">
        <v>0.96899787000000004</v>
      </c>
      <c r="C322" s="67">
        <v>-0.36183253700000001</v>
      </c>
      <c r="D322" s="67">
        <v>-0.48975018300000001</v>
      </c>
      <c r="E322" s="68">
        <f t="shared" si="16"/>
        <v>2.0471269207961773E-2</v>
      </c>
      <c r="F322" s="68">
        <f t="shared" si="17"/>
        <v>1.1021634776644525E-3</v>
      </c>
      <c r="G322" s="68">
        <f t="shared" si="18"/>
        <v>-1.0908825991713621E-2</v>
      </c>
      <c r="H322" s="70">
        <f t="shared" si="19"/>
        <v>18598.025979879356</v>
      </c>
    </row>
    <row r="323" spans="1:8" x14ac:dyDescent="0.25">
      <c r="A323" s="3">
        <v>285</v>
      </c>
      <c r="B323" s="67">
        <v>0.90860136000000002</v>
      </c>
      <c r="C323" s="67">
        <v>3.1085588000000001E-2</v>
      </c>
      <c r="D323" s="67">
        <v>0.27857591500000001</v>
      </c>
      <c r="E323" s="68">
        <f t="shared" si="16"/>
        <v>1.9284591317330423E-2</v>
      </c>
      <c r="F323" s="68">
        <f t="shared" si="17"/>
        <v>7.8972101293504574E-3</v>
      </c>
      <c r="G323" s="68">
        <f t="shared" si="18"/>
        <v>6.9827186914154255E-3</v>
      </c>
      <c r="H323" s="70">
        <f t="shared" si="19"/>
        <v>24847.500669251363</v>
      </c>
    </row>
    <row r="324" spans="1:8" x14ac:dyDescent="0.25">
      <c r="A324" s="3">
        <v>286</v>
      </c>
      <c r="B324" s="67">
        <v>1.3985222E-2</v>
      </c>
      <c r="C324" s="67">
        <v>0.33658312699999998</v>
      </c>
      <c r="D324" s="67">
        <v>0.42496589699999998</v>
      </c>
      <c r="E324" s="68">
        <f t="shared" si="16"/>
        <v>1.7070658681512926E-3</v>
      </c>
      <c r="F324" s="68">
        <f t="shared" si="17"/>
        <v>8.3866873333212043E-3</v>
      </c>
      <c r="G324" s="68">
        <f t="shared" si="18"/>
        <v>8.9138574028812013E-3</v>
      </c>
      <c r="H324" s="70">
        <f t="shared" si="19"/>
        <v>10290.634250500638</v>
      </c>
    </row>
    <row r="325" spans="1:8" x14ac:dyDescent="0.25">
      <c r="A325" s="3">
        <v>287</v>
      </c>
      <c r="B325" s="67">
        <v>-1.9369669329999999</v>
      </c>
      <c r="C325" s="67">
        <v>0.66657266900000001</v>
      </c>
      <c r="D325" s="67">
        <v>-0.98201941999999998</v>
      </c>
      <c r="E325" s="68">
        <f t="shared" si="16"/>
        <v>-3.6625476658197993E-2</v>
      </c>
      <c r="F325" s="68">
        <f t="shared" si="17"/>
        <v>3.3471436471523828E-3</v>
      </c>
      <c r="G325" s="68">
        <f t="shared" si="18"/>
        <v>-2.5195740163595149E-2</v>
      </c>
      <c r="H325" s="69">
        <f t="shared" si="19"/>
        <v>-28231.683967837031</v>
      </c>
    </row>
    <row r="326" spans="1:8" x14ac:dyDescent="0.25">
      <c r="A326" s="3">
        <v>288</v>
      </c>
      <c r="B326" s="67">
        <v>-1.4422991359999999</v>
      </c>
      <c r="C326" s="67">
        <v>-5.8411244000000001E-2</v>
      </c>
      <c r="D326" s="67">
        <v>8.3981002999999999E-2</v>
      </c>
      <c r="E326" s="68">
        <f t="shared" si="16"/>
        <v>-2.6906184303271942E-2</v>
      </c>
      <c r="F326" s="68">
        <f t="shared" si="17"/>
        <v>-7.0233185661855695E-3</v>
      </c>
      <c r="G326" s="68">
        <f t="shared" si="18"/>
        <v>-4.0104546713196363E-3</v>
      </c>
      <c r="H326" s="69">
        <f t="shared" si="19"/>
        <v>-30447.299701093172</v>
      </c>
    </row>
    <row r="327" spans="1:8" x14ac:dyDescent="0.25">
      <c r="A327" s="3">
        <v>289</v>
      </c>
      <c r="B327" s="67">
        <v>-0.69350616499999995</v>
      </c>
      <c r="C327" s="67">
        <v>0.83103185800000001</v>
      </c>
      <c r="D327" s="67">
        <v>-1.3421751660000001</v>
      </c>
      <c r="E327" s="68">
        <f t="shared" si="16"/>
        <v>-1.2193809973267454E-2</v>
      </c>
      <c r="F327" s="68">
        <f t="shared" si="17"/>
        <v>1.3366343248186401E-2</v>
      </c>
      <c r="G327" s="68">
        <f t="shared" si="18"/>
        <v>-2.8807894838099271E-2</v>
      </c>
      <c r="H327" s="70">
        <f t="shared" si="19"/>
        <v>3125.1631799389561</v>
      </c>
    </row>
    <row r="328" spans="1:8" x14ac:dyDescent="0.25">
      <c r="A328" s="3">
        <v>290</v>
      </c>
      <c r="B328" s="67">
        <v>-0.40694374900000002</v>
      </c>
      <c r="C328" s="67">
        <v>-0.58487413499999996</v>
      </c>
      <c r="D328" s="67">
        <v>-4.658727E-2</v>
      </c>
      <c r="E328" s="68">
        <f t="shared" si="16"/>
        <v>-6.5633971670787782E-3</v>
      </c>
      <c r="F328" s="68">
        <f t="shared" si="17"/>
        <v>-1.0730289151652478E-2</v>
      </c>
      <c r="G328" s="68">
        <f t="shared" si="18"/>
        <v>-6.1257395682086241E-3</v>
      </c>
      <c r="H328" s="69">
        <f t="shared" si="19"/>
        <v>-16867.047883873336</v>
      </c>
    </row>
    <row r="329" spans="1:8" x14ac:dyDescent="0.25">
      <c r="A329" s="3">
        <v>291</v>
      </c>
      <c r="B329" s="67">
        <v>0.27886428499999999</v>
      </c>
      <c r="C329" s="67">
        <v>-1.00789295</v>
      </c>
      <c r="D329" s="67">
        <v>0.72428267700000004</v>
      </c>
      <c r="E329" s="68">
        <f t="shared" si="16"/>
        <v>6.9114415473626838E-3</v>
      </c>
      <c r="F329" s="68">
        <f t="shared" si="17"/>
        <v>-1.4535182720153885E-2</v>
      </c>
      <c r="G329" s="68">
        <f t="shared" si="18"/>
        <v>1.0512660629327771E-2</v>
      </c>
      <c r="H329" s="69">
        <f t="shared" si="19"/>
        <v>-9077.1013708321952</v>
      </c>
    </row>
    <row r="330" spans="1:8" x14ac:dyDescent="0.25">
      <c r="A330" s="3">
        <v>292</v>
      </c>
      <c r="B330" s="67">
        <v>6.3002368000000003E-2</v>
      </c>
      <c r="C330" s="67">
        <v>-1.891946253</v>
      </c>
      <c r="D330" s="67">
        <v>-1.95859144</v>
      </c>
      <c r="E330" s="68">
        <f t="shared" si="16"/>
        <v>2.6701606466417839E-3</v>
      </c>
      <c r="F330" s="68">
        <f t="shared" si="17"/>
        <v>-3.1813077199779535E-2</v>
      </c>
      <c r="G330" s="68">
        <f t="shared" si="18"/>
        <v>-5.1126253532241789E-2</v>
      </c>
      <c r="H330" s="69">
        <f t="shared" si="19"/>
        <v>-31376.059692993113</v>
      </c>
    </row>
    <row r="331" spans="1:8" x14ac:dyDescent="0.25">
      <c r="A331" s="3">
        <v>293</v>
      </c>
      <c r="B331" s="67">
        <v>-1.2319293E-2</v>
      </c>
      <c r="C331" s="67">
        <v>-0.220967318</v>
      </c>
      <c r="D331" s="67">
        <v>-0.10342011399999999</v>
      </c>
      <c r="E331" s="68">
        <f t="shared" si="16"/>
        <v>1.190231594543751E-3</v>
      </c>
      <c r="F331" s="68">
        <f t="shared" si="17"/>
        <v>-1.8889084330157538E-3</v>
      </c>
      <c r="G331" s="68">
        <f t="shared" si="18"/>
        <v>-4.7594561029970029E-3</v>
      </c>
      <c r="H331" s="69">
        <f t="shared" si="19"/>
        <v>-996.41252696989807</v>
      </c>
    </row>
    <row r="332" spans="1:8" x14ac:dyDescent="0.25">
      <c r="A332" s="3">
        <v>294</v>
      </c>
      <c r="B332" s="67">
        <v>-2.7982456999999999E-2</v>
      </c>
      <c r="C332" s="67">
        <v>0.22555984000000001</v>
      </c>
      <c r="D332" s="67">
        <v>0.94764961000000003</v>
      </c>
      <c r="E332" s="68">
        <f t="shared" si="16"/>
        <v>8.8247986491346521E-4</v>
      </c>
      <c r="F332" s="68">
        <f t="shared" si="17"/>
        <v>6.132823074030359E-3</v>
      </c>
      <c r="G332" s="68">
        <f t="shared" si="18"/>
        <v>1.9525702550482221E-2</v>
      </c>
      <c r="H332" s="70">
        <f t="shared" si="19"/>
        <v>7354.4115159639541</v>
      </c>
    </row>
    <row r="333" spans="1:8" x14ac:dyDescent="0.25">
      <c r="A333" s="3">
        <v>295</v>
      </c>
      <c r="B333" s="67">
        <v>-1.111104901</v>
      </c>
      <c r="C333" s="67">
        <v>-1.1719715930000001</v>
      </c>
      <c r="D333" s="67">
        <v>-1.093323858</v>
      </c>
      <c r="E333" s="68">
        <f t="shared" si="16"/>
        <v>-2.0398840150785934E-2</v>
      </c>
      <c r="F333" s="68">
        <f t="shared" si="17"/>
        <v>-2.5376015904229946E-2</v>
      </c>
      <c r="G333" s="68">
        <f t="shared" si="18"/>
        <v>-3.2875046288709499E-2</v>
      </c>
      <c r="H333" s="69">
        <f t="shared" si="19"/>
        <v>-44277.614488960375</v>
      </c>
    </row>
    <row r="334" spans="1:8" x14ac:dyDescent="0.25">
      <c r="A334" s="3">
        <v>296</v>
      </c>
      <c r="B334" s="67">
        <v>0.28891666700000002</v>
      </c>
      <c r="C334" s="67">
        <v>1.2449473790000001</v>
      </c>
      <c r="D334" s="67">
        <v>-0.43133943800000002</v>
      </c>
      <c r="E334" s="68">
        <f t="shared" si="16"/>
        <v>7.1089519576095763E-3</v>
      </c>
      <c r="F334" s="68">
        <f t="shared" si="17"/>
        <v>2.644019811866135E-2</v>
      </c>
      <c r="G334" s="68">
        <f t="shared" si="18"/>
        <v>-4.9145998903516036E-3</v>
      </c>
      <c r="H334" s="70">
        <f t="shared" si="19"/>
        <v>33561.392483783588</v>
      </c>
    </row>
    <row r="335" spans="1:8" x14ac:dyDescent="0.25">
      <c r="A335" s="3">
        <v>297</v>
      </c>
      <c r="B335" s="67">
        <v>-2.501699844</v>
      </c>
      <c r="C335" s="67">
        <v>-1.7039928630000001</v>
      </c>
      <c r="D335" s="67">
        <v>-0.83303672299999998</v>
      </c>
      <c r="E335" s="68">
        <f t="shared" si="16"/>
        <v>-4.772141679771235E-2</v>
      </c>
      <c r="F335" s="68">
        <f t="shared" si="17"/>
        <v>-4.2903361364620266E-2</v>
      </c>
      <c r="G335" s="68">
        <f t="shared" si="18"/>
        <v>-3.331707267018718E-2</v>
      </c>
      <c r="H335" s="69">
        <f t="shared" si="19"/>
        <v>-85973.483333491022</v>
      </c>
    </row>
    <row r="336" spans="1:8" x14ac:dyDescent="0.25">
      <c r="A336" s="3">
        <v>298</v>
      </c>
      <c r="B336" s="67">
        <v>-0.55772888700000001</v>
      </c>
      <c r="C336" s="67">
        <v>-0.408388627</v>
      </c>
      <c r="D336" s="67">
        <v>3.8581123000000002E-2</v>
      </c>
      <c r="E336" s="68">
        <f t="shared" si="16"/>
        <v>-9.5260416890949762E-3</v>
      </c>
      <c r="F336" s="68">
        <f t="shared" si="17"/>
        <v>-8.3774992567085104E-3</v>
      </c>
      <c r="G336" s="68">
        <f t="shared" si="18"/>
        <v>-3.9913386554807561E-3</v>
      </c>
      <c r="H336" s="69">
        <f t="shared" si="19"/>
        <v>-16938.176541755489</v>
      </c>
    </row>
    <row r="337" spans="1:8" x14ac:dyDescent="0.25">
      <c r="A337" s="3">
        <v>299</v>
      </c>
      <c r="B337" s="67">
        <v>-0.31174633099999999</v>
      </c>
      <c r="C337" s="67">
        <v>1.0493396109999999</v>
      </c>
      <c r="D337" s="67">
        <v>-0.67601730599999998</v>
      </c>
      <c r="E337" s="68">
        <f t="shared" si="16"/>
        <v>-4.6929468515590472E-3</v>
      </c>
      <c r="F337" s="68">
        <f t="shared" si="17"/>
        <v>1.9490442714880454E-2</v>
      </c>
      <c r="G337" s="68">
        <f t="shared" si="18"/>
        <v>-1.2606015921158347E-2</v>
      </c>
      <c r="H337" s="70">
        <f t="shared" si="19"/>
        <v>16114.69811467537</v>
      </c>
    </row>
    <row r="338" spans="1:8" x14ac:dyDescent="0.25">
      <c r="A338" s="3">
        <v>300</v>
      </c>
      <c r="B338" s="67">
        <v>-0.86231795899999997</v>
      </c>
      <c r="C338" s="67">
        <v>0.47887553900000002</v>
      </c>
      <c r="D338" s="67">
        <v>-1.53564207</v>
      </c>
      <c r="E338" s="68">
        <f t="shared" si="16"/>
        <v>-1.5510644399919152E-2</v>
      </c>
      <c r="F338" s="68">
        <f t="shared" si="17"/>
        <v>6.0154206550382811E-3</v>
      </c>
      <c r="G338" s="68">
        <f t="shared" si="18"/>
        <v>-3.4861017071839785E-2</v>
      </c>
      <c r="H338" s="69">
        <f t="shared" si="19"/>
        <v>-7437.8644821119551</v>
      </c>
    </row>
    <row r="339" spans="1:8" x14ac:dyDescent="0.25">
      <c r="A339" s="3">
        <v>301</v>
      </c>
      <c r="B339" s="67">
        <v>0.389691705</v>
      </c>
      <c r="C339" s="67">
        <v>0.10255318400000001</v>
      </c>
      <c r="D339" s="67">
        <v>-0.14744249000000001</v>
      </c>
      <c r="E339" s="68">
        <f t="shared" si="16"/>
        <v>9.0889920215492612E-3</v>
      </c>
      <c r="F339" s="68">
        <f t="shared" si="17"/>
        <v>6.2607051175285582E-3</v>
      </c>
      <c r="G339" s="68">
        <f t="shared" si="18"/>
        <v>-3.2649880174397011E-3</v>
      </c>
      <c r="H339" s="70">
        <f t="shared" si="19"/>
        <v>14280.355258395542</v>
      </c>
    </row>
    <row r="340" spans="1:8" x14ac:dyDescent="0.25">
      <c r="A340" s="3">
        <v>302</v>
      </c>
      <c r="B340" s="67">
        <v>1.588276107</v>
      </c>
      <c r="C340" s="67">
        <v>-0.62220744500000003</v>
      </c>
      <c r="D340" s="67">
        <v>2.0602981709999999</v>
      </c>
      <c r="E340" s="68">
        <f t="shared" si="16"/>
        <v>3.2638922471321843E-2</v>
      </c>
      <c r="F340" s="68">
        <f t="shared" si="17"/>
        <v>-1.2485921135086666E-4</v>
      </c>
      <c r="G340" s="68">
        <f t="shared" si="18"/>
        <v>4.4286228115389965E-2</v>
      </c>
      <c r="H340" s="70">
        <f t="shared" si="19"/>
        <v>28373.310004937259</v>
      </c>
    </row>
    <row r="341" spans="1:8" x14ac:dyDescent="0.25">
      <c r="A341" s="3">
        <v>303</v>
      </c>
      <c r="B341" s="67">
        <v>-0.22543144900000001</v>
      </c>
      <c r="C341" s="67">
        <v>-1.2770164449999999</v>
      </c>
      <c r="D341" s="67">
        <v>6.9919580999999995E-2</v>
      </c>
      <c r="E341" s="68">
        <f t="shared" si="16"/>
        <v>-2.9970216714144725E-3</v>
      </c>
      <c r="F341" s="68">
        <f t="shared" si="17"/>
        <v>-2.2275227139072918E-2</v>
      </c>
      <c r="G341" s="68">
        <f t="shared" si="18"/>
        <v>-5.9827587227682874E-3</v>
      </c>
      <c r="H341" s="69">
        <f t="shared" si="19"/>
        <v>-25817.960702741497</v>
      </c>
    </row>
    <row r="342" spans="1:8" x14ac:dyDescent="0.25">
      <c r="A342" s="3">
        <v>304</v>
      </c>
      <c r="B342" s="67">
        <v>-1.0762452</v>
      </c>
      <c r="C342" s="67">
        <v>-0.75175584799999995</v>
      </c>
      <c r="D342" s="67">
        <v>0.39703329999999998</v>
      </c>
      <c r="E342" s="68">
        <f t="shared" si="16"/>
        <v>-1.9713912553964208E-2</v>
      </c>
      <c r="F342" s="68">
        <f t="shared" si="17"/>
        <v>-1.7546460122429195E-2</v>
      </c>
      <c r="G342" s="68">
        <f t="shared" si="18"/>
        <v>8.4034258821641459E-4</v>
      </c>
      <c r="H342" s="69">
        <f t="shared" si="19"/>
        <v>-35170.809663872365</v>
      </c>
    </row>
    <row r="343" spans="1:8" x14ac:dyDescent="0.25">
      <c r="A343" s="3">
        <v>305</v>
      </c>
      <c r="B343" s="67">
        <v>0.55558208899999995</v>
      </c>
      <c r="C343" s="67">
        <v>-0.62216769999999999</v>
      </c>
      <c r="D343" s="67">
        <v>0.98740514499999998</v>
      </c>
      <c r="E343" s="68">
        <f t="shared" si="16"/>
        <v>1.234842623324699E-2</v>
      </c>
      <c r="F343" s="68">
        <f t="shared" si="17"/>
        <v>-5.9643065392043573E-3</v>
      </c>
      <c r="G343" s="68">
        <f t="shared" si="18"/>
        <v>1.8490966568877769E-2</v>
      </c>
      <c r="H343" s="70">
        <f t="shared" si="19"/>
        <v>4596.4302223116019</v>
      </c>
    </row>
    <row r="344" spans="1:8" x14ac:dyDescent="0.25">
      <c r="A344" s="3">
        <v>306</v>
      </c>
      <c r="B344" s="67">
        <v>1.1575077579999999</v>
      </c>
      <c r="C344" s="67">
        <v>1.4363017570000001</v>
      </c>
      <c r="D344" s="67">
        <v>0.52941340699999995</v>
      </c>
      <c r="E344" s="68">
        <f t="shared" si="16"/>
        <v>2.4175134154048747E-2</v>
      </c>
      <c r="F344" s="68">
        <f t="shared" si="17"/>
        <v>3.4827906026238573E-2</v>
      </c>
      <c r="G344" s="68">
        <f t="shared" si="18"/>
        <v>1.881790430828377E-2</v>
      </c>
      <c r="H344" s="70">
        <f t="shared" si="19"/>
        <v>57199.704502452703</v>
      </c>
    </row>
    <row r="345" spans="1:8" x14ac:dyDescent="0.25">
      <c r="A345" s="3">
        <v>307</v>
      </c>
      <c r="B345" s="67">
        <v>1.3634287119999999</v>
      </c>
      <c r="C345" s="67">
        <v>-1.8807984280000001</v>
      </c>
      <c r="D345" s="67">
        <v>-0.31790654899999998</v>
      </c>
      <c r="E345" s="68">
        <f t="shared" si="16"/>
        <v>2.8221093818431908E-2</v>
      </c>
      <c r="F345" s="68">
        <f t="shared" si="17"/>
        <v>-2.4256329005475998E-2</v>
      </c>
      <c r="G345" s="68">
        <f t="shared" si="18"/>
        <v>-1.2399783017031001E-2</v>
      </c>
      <c r="H345" s="69">
        <f t="shared" si="19"/>
        <v>-1154.4388479381221</v>
      </c>
    </row>
    <row r="346" spans="1:8" x14ac:dyDescent="0.25">
      <c r="A346" s="3">
        <v>308</v>
      </c>
      <c r="B346" s="67">
        <v>-0.867005256</v>
      </c>
      <c r="C346" s="67">
        <v>0.119225861</v>
      </c>
      <c r="D346" s="67">
        <v>-0.57144921900000001</v>
      </c>
      <c r="E346" s="68">
        <f t="shared" si="16"/>
        <v>-1.5602740974981563E-2</v>
      </c>
      <c r="F346" s="68">
        <f t="shared" si="17"/>
        <v>-5.4343520612189786E-4</v>
      </c>
      <c r="G346" s="68">
        <f t="shared" si="18"/>
        <v>-1.5722835967159659E-2</v>
      </c>
      <c r="H346" s="69">
        <f t="shared" si="19"/>
        <v>-14131.189027207081</v>
      </c>
    </row>
    <row r="347" spans="1:8" x14ac:dyDescent="0.25">
      <c r="A347" s="3">
        <v>309</v>
      </c>
      <c r="B347" s="67">
        <v>-0.166157842</v>
      </c>
      <c r="C347" s="67">
        <v>1.88217488</v>
      </c>
      <c r="D347" s="67">
        <v>-0.16971979600000001</v>
      </c>
      <c r="E347" s="68">
        <f t="shared" si="16"/>
        <v>-1.8324067139463768E-3</v>
      </c>
      <c r="F347" s="68">
        <f t="shared" si="17"/>
        <v>3.5440644057760103E-2</v>
      </c>
      <c r="G347" s="68">
        <f t="shared" si="18"/>
        <v>2.0555453469108783E-3</v>
      </c>
      <c r="H347" s="70">
        <f t="shared" si="19"/>
        <v>35329.318785644638</v>
      </c>
    </row>
    <row r="348" spans="1:8" x14ac:dyDescent="0.25">
      <c r="A348" s="3">
        <v>310</v>
      </c>
      <c r="B348" s="67">
        <v>0.41379231700000002</v>
      </c>
      <c r="C348" s="67">
        <v>-0.23226933</v>
      </c>
      <c r="D348" s="67">
        <v>7.5713288000000004E-2</v>
      </c>
      <c r="E348" s="68">
        <f t="shared" si="16"/>
        <v>9.5625237440127697E-3</v>
      </c>
      <c r="F348" s="68">
        <f t="shared" si="17"/>
        <v>3.155907201165889E-4</v>
      </c>
      <c r="G348" s="68">
        <f t="shared" si="18"/>
        <v>1.9811924318891417E-4</v>
      </c>
      <c r="H348" s="70">
        <f t="shared" si="19"/>
        <v>8538.4828960199775</v>
      </c>
    </row>
    <row r="349" spans="1:8" x14ac:dyDescent="0.25">
      <c r="A349" s="3">
        <v>311</v>
      </c>
      <c r="B349" s="67">
        <v>6.0166799999999999E-3</v>
      </c>
      <c r="C349" s="67">
        <v>0.44832406600000002</v>
      </c>
      <c r="D349" s="67">
        <v>1.165307536</v>
      </c>
      <c r="E349" s="68">
        <f t="shared" si="16"/>
        <v>1.5504989967879091E-3</v>
      </c>
      <c r="F349" s="68">
        <f t="shared" si="17"/>
        <v>1.0371183278202132E-2</v>
      </c>
      <c r="G349" s="68">
        <f t="shared" si="18"/>
        <v>2.5193376878859076E-2</v>
      </c>
      <c r="H349" s="70">
        <f t="shared" si="19"/>
        <v>12400.678883468063</v>
      </c>
    </row>
    <row r="350" spans="1:8" x14ac:dyDescent="0.25">
      <c r="A350" s="3">
        <v>312</v>
      </c>
      <c r="B350" s="67">
        <v>1.6473939980000001</v>
      </c>
      <c r="C350" s="67">
        <v>0.30962008200000002</v>
      </c>
      <c r="D350" s="67">
        <v>0.58954688600000005</v>
      </c>
      <c r="E350" s="68">
        <f t="shared" si="16"/>
        <v>3.3800477902098454E-2</v>
      </c>
      <c r="F350" s="68">
        <f t="shared" si="17"/>
        <v>1.7134331934406662E-2</v>
      </c>
      <c r="G350" s="68">
        <f t="shared" si="18"/>
        <v>1.6813587873608728E-2</v>
      </c>
      <c r="H350" s="70">
        <f t="shared" si="19"/>
        <v>47027.522990290243</v>
      </c>
    </row>
    <row r="351" spans="1:8" x14ac:dyDescent="0.25">
      <c r="A351" s="3">
        <v>313</v>
      </c>
      <c r="B351" s="67">
        <v>-1.150864509</v>
      </c>
      <c r="C351" s="67">
        <v>-8.7876741999999994E-2</v>
      </c>
      <c r="D351" s="67">
        <v>0.94028946499999999</v>
      </c>
      <c r="E351" s="68">
        <f t="shared" si="16"/>
        <v>-2.1180041709514569E-2</v>
      </c>
      <c r="F351" s="68">
        <f t="shared" si="17"/>
        <v>-5.9103598126343717E-3</v>
      </c>
      <c r="G351" s="68">
        <f t="shared" si="18"/>
        <v>1.4992117472402474E-2</v>
      </c>
      <c r="H351" s="69">
        <f t="shared" si="19"/>
        <v>-24164.808361301319</v>
      </c>
    </row>
    <row r="352" spans="1:8" x14ac:dyDescent="0.25">
      <c r="A352" s="3">
        <v>314</v>
      </c>
      <c r="B352" s="67">
        <v>0.86596863800000001</v>
      </c>
      <c r="C352" s="67">
        <v>0.21160973299999999</v>
      </c>
      <c r="D352" s="67">
        <v>0.88639396000000004</v>
      </c>
      <c r="E352" s="68">
        <f t="shared" si="16"/>
        <v>1.8446938469263E-2</v>
      </c>
      <c r="F352" s="68">
        <f t="shared" si="17"/>
        <v>1.0934985846763104E-2</v>
      </c>
      <c r="G352" s="68">
        <f t="shared" si="18"/>
        <v>2.061439935901398E-2</v>
      </c>
      <c r="H352" s="70">
        <f t="shared" si="19"/>
        <v>27439.809955000655</v>
      </c>
    </row>
    <row r="353" spans="1:8" x14ac:dyDescent="0.25">
      <c r="A353" s="3">
        <v>315</v>
      </c>
      <c r="B353" s="67">
        <v>0.49076670900000002</v>
      </c>
      <c r="C353" s="67">
        <v>1.2003062579999999</v>
      </c>
      <c r="D353" s="67">
        <v>0.28935915699999998</v>
      </c>
      <c r="E353" s="68">
        <f t="shared" si="16"/>
        <v>1.1074925853525231E-2</v>
      </c>
      <c r="F353" s="68">
        <f t="shared" si="17"/>
        <v>2.6770895219630223E-2</v>
      </c>
      <c r="G353" s="68">
        <f t="shared" si="18"/>
        <v>1.0877586607026857E-2</v>
      </c>
      <c r="H353" s="70">
        <f t="shared" si="19"/>
        <v>37483.667901003057</v>
      </c>
    </row>
    <row r="354" spans="1:8" x14ac:dyDescent="0.25">
      <c r="A354" s="3">
        <v>316</v>
      </c>
      <c r="B354" s="67">
        <v>-0.35569831600000001</v>
      </c>
      <c r="C354" s="67">
        <v>0.335841257</v>
      </c>
      <c r="D354" s="67">
        <v>-2.9305943760000002</v>
      </c>
      <c r="E354" s="68">
        <f t="shared" si="16"/>
        <v>-5.5565207376802924E-3</v>
      </c>
      <c r="F354" s="68">
        <f t="shared" si="17"/>
        <v>6.2825504151961791E-3</v>
      </c>
      <c r="G354" s="68">
        <f t="shared" si="18"/>
        <v>-6.3905966825060584E-2</v>
      </c>
      <c r="H354" s="70">
        <f t="shared" si="19"/>
        <v>1064.1157270437097</v>
      </c>
    </row>
    <row r="355" spans="1:8" x14ac:dyDescent="0.25">
      <c r="A355" s="3">
        <v>317</v>
      </c>
      <c r="B355" s="67">
        <v>0.38288573599999998</v>
      </c>
      <c r="C355" s="67">
        <v>-3.6484128249999999</v>
      </c>
      <c r="D355" s="67">
        <v>-1.7234634069999999</v>
      </c>
      <c r="E355" s="68">
        <f t="shared" si="16"/>
        <v>8.9552675242790987E-3</v>
      </c>
      <c r="F355" s="68">
        <f t="shared" si="17"/>
        <v>-6.1906901399816895E-2</v>
      </c>
      <c r="G355" s="68">
        <f t="shared" si="18"/>
        <v>-5.2445500202851721E-2</v>
      </c>
      <c r="H355" s="69">
        <f t="shared" si="19"/>
        <v>-57311.439884193358</v>
      </c>
    </row>
    <row r="356" spans="1:8" x14ac:dyDescent="0.25">
      <c r="A356" s="3">
        <v>318</v>
      </c>
      <c r="B356" s="67">
        <v>0.45176860099999999</v>
      </c>
      <c r="C356" s="67">
        <v>0.477529337</v>
      </c>
      <c r="D356" s="67">
        <v>-1.1624287799999999</v>
      </c>
      <c r="E356" s="68">
        <f t="shared" si="16"/>
        <v>1.0308686338360306E-2</v>
      </c>
      <c r="F356" s="68">
        <f t="shared" si="17"/>
        <v>1.3422491052249842E-2</v>
      </c>
      <c r="G356" s="68">
        <f t="shared" si="18"/>
        <v>-2.3269218025909193E-2</v>
      </c>
      <c r="H356" s="70">
        <f t="shared" si="19"/>
        <v>22559.408353938852</v>
      </c>
    </row>
    <row r="357" spans="1:8" x14ac:dyDescent="0.25">
      <c r="A357" s="3">
        <v>319</v>
      </c>
      <c r="B357" s="67">
        <v>-0.71210204200000005</v>
      </c>
      <c r="C357" s="67">
        <v>1.370540989</v>
      </c>
      <c r="D357" s="67">
        <v>-0.484030132</v>
      </c>
      <c r="E357" s="68">
        <f t="shared" si="16"/>
        <v>-1.2559184000554795E-2</v>
      </c>
      <c r="F357" s="68">
        <f t="shared" si="17"/>
        <v>2.3060328994536212E-2</v>
      </c>
      <c r="G357" s="68">
        <f t="shared" si="18"/>
        <v>-8.2762022069957364E-3</v>
      </c>
      <c r="H357" s="70">
        <f t="shared" si="19"/>
        <v>13125.318100432505</v>
      </c>
    </row>
    <row r="358" spans="1:8" x14ac:dyDescent="0.25">
      <c r="A358" s="3">
        <v>320</v>
      </c>
      <c r="B358" s="67">
        <v>2.2429203119999999</v>
      </c>
      <c r="C358" s="67">
        <v>-1.919853E-3</v>
      </c>
      <c r="D358" s="67">
        <v>0.408036177</v>
      </c>
      <c r="E358" s="68">
        <f t="shared" si="16"/>
        <v>4.5501450526393816E-2</v>
      </c>
      <c r="F358" s="68">
        <f t="shared" si="17"/>
        <v>1.484367080860946E-2</v>
      </c>
      <c r="G358" s="68">
        <f t="shared" si="18"/>
        <v>1.328409613570336E-2</v>
      </c>
      <c r="H358" s="70">
        <f t="shared" si="19"/>
        <v>54648.388215816238</v>
      </c>
    </row>
    <row r="359" spans="1:8" x14ac:dyDescent="0.25">
      <c r="A359" s="3">
        <v>321</v>
      </c>
      <c r="B359" s="67">
        <v>1.616874398</v>
      </c>
      <c r="C359" s="67">
        <v>0.131027116</v>
      </c>
      <c r="D359" s="67">
        <v>-1.0023439810000001</v>
      </c>
      <c r="E359" s="68">
        <f t="shared" ref="E359:E422" si="20">$B$14*B359+$B$26</f>
        <v>3.3200825131583858E-2</v>
      </c>
      <c r="F359" s="68">
        <f t="shared" ref="F359:F422" si="21">$B$15*B359+$C$15*C359+$B$27</f>
        <v>1.3717935849316449E-2</v>
      </c>
      <c r="G359" s="68">
        <f t="shared" ref="G359:G422" si="22">$B$16*B359+$C$16*C359+$D$16*D359+$B$28</f>
        <v>-1.8067936691537719E-2</v>
      </c>
      <c r="H359" s="70">
        <f t="shared" ref="H359:H422" si="23">E359*$B$32+F359*$B$33+G359*$B$34</f>
        <v>42573.39404383918</v>
      </c>
    </row>
    <row r="360" spans="1:8" x14ac:dyDescent="0.25">
      <c r="A360" s="3">
        <v>322</v>
      </c>
      <c r="B360" s="67">
        <v>-0.109727452</v>
      </c>
      <c r="C360" s="67">
        <v>-3.5610735999999997E-2</v>
      </c>
      <c r="D360" s="67">
        <v>-1.364741652</v>
      </c>
      <c r="E360" s="68">
        <f t="shared" si="20"/>
        <v>-7.23655625966223E-4</v>
      </c>
      <c r="F360" s="68">
        <f t="shared" si="21"/>
        <v>9.2686906249378584E-4</v>
      </c>
      <c r="G360" s="68">
        <f t="shared" si="22"/>
        <v>-3.1253434446758648E-2</v>
      </c>
      <c r="H360" s="69">
        <f t="shared" si="23"/>
        <v>-0.99389116426357305</v>
      </c>
    </row>
    <row r="361" spans="1:8" x14ac:dyDescent="0.25">
      <c r="A361" s="3">
        <v>323</v>
      </c>
      <c r="B361" s="67">
        <v>-0.25583207099999999</v>
      </c>
      <c r="C361" s="67">
        <v>-0.74219209399999997</v>
      </c>
      <c r="D361" s="67">
        <v>0.924357757</v>
      </c>
      <c r="E361" s="68">
        <f t="shared" si="20"/>
        <v>-3.5943367478790053E-3</v>
      </c>
      <c r="F361" s="68">
        <f t="shared" si="21"/>
        <v>-1.2733090538756556E-2</v>
      </c>
      <c r="G361" s="68">
        <f t="shared" si="22"/>
        <v>1.4417891017053718E-2</v>
      </c>
      <c r="H361" s="69">
        <f t="shared" si="23"/>
        <v>-16176.347962488102</v>
      </c>
    </row>
    <row r="362" spans="1:8" x14ac:dyDescent="0.25">
      <c r="A362" s="3">
        <v>324</v>
      </c>
      <c r="B362" s="67">
        <v>3.4611874000000001E-2</v>
      </c>
      <c r="C362" s="67">
        <v>-0.28279574899999999</v>
      </c>
      <c r="D362" s="67">
        <v>-0.10618193099999999</v>
      </c>
      <c r="E362" s="68">
        <f t="shared" si="20"/>
        <v>2.1123408068215378E-3</v>
      </c>
      <c r="F362" s="68">
        <f t="shared" si="21"/>
        <v>-2.7464948400307073E-3</v>
      </c>
      <c r="G362" s="68">
        <f t="shared" si="22"/>
        <v>-4.944055052040694E-3</v>
      </c>
      <c r="H362" s="69">
        <f t="shared" si="23"/>
        <v>-1099.3667744772993</v>
      </c>
    </row>
    <row r="363" spans="1:8" x14ac:dyDescent="0.25">
      <c r="A363" s="3">
        <v>325</v>
      </c>
      <c r="B363" s="67">
        <v>0.22312201800000001</v>
      </c>
      <c r="C363" s="67">
        <v>0.61681419999999998</v>
      </c>
      <c r="D363" s="67">
        <v>-0.99971222900000001</v>
      </c>
      <c r="E363" s="68">
        <f t="shared" si="20"/>
        <v>5.8162107828272948E-3</v>
      </c>
      <c r="F363" s="68">
        <f t="shared" si="21"/>
        <v>1.4659274520495105E-2</v>
      </c>
      <c r="G363" s="68">
        <f t="shared" si="22"/>
        <v>-1.9842578444356662E-2</v>
      </c>
      <c r="H363" s="70">
        <f t="shared" si="23"/>
        <v>20028.087240784742</v>
      </c>
    </row>
    <row r="364" spans="1:8" x14ac:dyDescent="0.25">
      <c r="A364" s="3">
        <v>326</v>
      </c>
      <c r="B364" s="67">
        <v>-1.041587633</v>
      </c>
      <c r="C364" s="67">
        <v>1.104679215</v>
      </c>
      <c r="D364" s="67">
        <v>-0.41233687200000002</v>
      </c>
      <c r="E364" s="68">
        <f t="shared" si="20"/>
        <v>-1.9032956510279322E-2</v>
      </c>
      <c r="F364" s="68">
        <f t="shared" si="21"/>
        <v>1.6368127019251815E-2</v>
      </c>
      <c r="G364" s="68">
        <f t="shared" si="22"/>
        <v>-8.7419394584068166E-3</v>
      </c>
      <c r="H364" s="70">
        <f t="shared" si="23"/>
        <v>599.59002812053916</v>
      </c>
    </row>
    <row r="365" spans="1:8" x14ac:dyDescent="0.25">
      <c r="A365" s="3">
        <v>327</v>
      </c>
      <c r="B365" s="67">
        <v>-1.4168420930000001</v>
      </c>
      <c r="C365" s="67">
        <v>0.44381270900000003</v>
      </c>
      <c r="D365" s="67">
        <v>0.463369806</v>
      </c>
      <c r="E365" s="68">
        <f t="shared" si="20"/>
        <v>-2.6406001261421487E-2</v>
      </c>
      <c r="F365" s="68">
        <f t="shared" si="21"/>
        <v>2.2425846996338397E-3</v>
      </c>
      <c r="G365" s="68">
        <f t="shared" si="22"/>
        <v>6.2446327919444197E-3</v>
      </c>
      <c r="H365" s="69">
        <f t="shared" si="23"/>
        <v>-20262.8923627726</v>
      </c>
    </row>
    <row r="366" spans="1:8" x14ac:dyDescent="0.25">
      <c r="A366" s="3">
        <v>328</v>
      </c>
      <c r="B366" s="67">
        <v>-1.530715257</v>
      </c>
      <c r="C366" s="67">
        <v>0.229481715</v>
      </c>
      <c r="D366" s="67">
        <v>0.73558309200000005</v>
      </c>
      <c r="E366" s="68">
        <f t="shared" si="20"/>
        <v>-2.8643394879944099E-2</v>
      </c>
      <c r="F366" s="68">
        <f t="shared" si="21"/>
        <v>-2.2943116205528763E-3</v>
      </c>
      <c r="G366" s="68">
        <f t="shared" si="22"/>
        <v>1.0874196862389409E-2</v>
      </c>
      <c r="H366" s="69">
        <f t="shared" si="23"/>
        <v>-26853.418038257114</v>
      </c>
    </row>
    <row r="367" spans="1:8" x14ac:dyDescent="0.25">
      <c r="A367" s="3">
        <v>329</v>
      </c>
      <c r="B367" s="67">
        <v>0.37438645199999998</v>
      </c>
      <c r="C367" s="67">
        <v>0.63198148399999998</v>
      </c>
      <c r="D367" s="67">
        <v>-1.4042690980000001</v>
      </c>
      <c r="E367" s="68">
        <f t="shared" si="20"/>
        <v>8.7882725702826386E-3</v>
      </c>
      <c r="F367" s="68">
        <f t="shared" si="21"/>
        <v>1.5790201252430535E-2</v>
      </c>
      <c r="G367" s="68">
        <f t="shared" si="22"/>
        <v>-2.8020958608964818E-2</v>
      </c>
      <c r="H367" s="70">
        <f t="shared" si="23"/>
        <v>23665.858589100786</v>
      </c>
    </row>
    <row r="368" spans="1:8" x14ac:dyDescent="0.25">
      <c r="A368" s="3">
        <v>330</v>
      </c>
      <c r="B368" s="67">
        <v>0.331040155</v>
      </c>
      <c r="C368" s="67">
        <v>-0.30261975899999999</v>
      </c>
      <c r="D368" s="67">
        <v>-0.482790159</v>
      </c>
      <c r="E368" s="68">
        <f t="shared" si="20"/>
        <v>7.9365993148140714E-3</v>
      </c>
      <c r="F368" s="68">
        <f t="shared" si="21"/>
        <v>-1.4301764248348015E-3</v>
      </c>
      <c r="G368" s="68">
        <f t="shared" si="22"/>
        <v>-1.2269473255616271E-2</v>
      </c>
      <c r="H368" s="70">
        <f t="shared" si="23"/>
        <v>5188.8754420404612</v>
      </c>
    </row>
    <row r="369" spans="1:8" x14ac:dyDescent="0.25">
      <c r="A369" s="3">
        <v>331</v>
      </c>
      <c r="B369" s="67">
        <v>0.87055560899999995</v>
      </c>
      <c r="C369" s="67">
        <v>1.4792745110000001</v>
      </c>
      <c r="D369" s="67">
        <v>1.7943700549999999</v>
      </c>
      <c r="E369" s="68">
        <f t="shared" si="20"/>
        <v>1.8537063827014089E-2</v>
      </c>
      <c r="F369" s="68">
        <f t="shared" si="21"/>
        <v>3.3985630368485474E-2</v>
      </c>
      <c r="G369" s="68">
        <f t="shared" si="22"/>
        <v>4.5273125943315291E-2</v>
      </c>
      <c r="H369" s="70">
        <f t="shared" si="23"/>
        <v>51775.335642738333</v>
      </c>
    </row>
    <row r="370" spans="1:8" x14ac:dyDescent="0.25">
      <c r="A370" s="3">
        <v>332</v>
      </c>
      <c r="B370" s="67">
        <v>1.314807872</v>
      </c>
      <c r="C370" s="67">
        <v>-0.109734182</v>
      </c>
      <c r="D370" s="67">
        <v>0.35272016299999998</v>
      </c>
      <c r="E370" s="68">
        <f t="shared" si="20"/>
        <v>2.7265785707881747E-2</v>
      </c>
      <c r="F370" s="68">
        <f t="shared" si="21"/>
        <v>7.6366983370546471E-3</v>
      </c>
      <c r="G370" s="68">
        <f t="shared" si="22"/>
        <v>9.1059885957573694E-3</v>
      </c>
      <c r="H370" s="70">
        <f t="shared" si="23"/>
        <v>31450.384939692001</v>
      </c>
    </row>
    <row r="371" spans="1:8" x14ac:dyDescent="0.25">
      <c r="A371" s="3">
        <v>333</v>
      </c>
      <c r="B371" s="67">
        <v>0.76682287199999999</v>
      </c>
      <c r="C371" s="67">
        <v>0.12117794899999999</v>
      </c>
      <c r="D371" s="67">
        <v>0.130764188</v>
      </c>
      <c r="E371" s="68">
        <f t="shared" si="20"/>
        <v>1.6498910537485003E-2</v>
      </c>
      <c r="F371" s="68">
        <f t="shared" si="21"/>
        <v>8.7317689832980341E-3</v>
      </c>
      <c r="G371" s="68">
        <f t="shared" si="22"/>
        <v>3.8010778051948933E-3</v>
      </c>
      <c r="H371" s="70">
        <f t="shared" si="23"/>
        <v>23289.825218253463</v>
      </c>
    </row>
    <row r="372" spans="1:8" x14ac:dyDescent="0.25">
      <c r="A372" s="3">
        <v>334</v>
      </c>
      <c r="B372" s="67">
        <v>0.823753132</v>
      </c>
      <c r="C372" s="67">
        <v>-5.9282646000000001E-2</v>
      </c>
      <c r="D372" s="67">
        <v>-0.72928693600000005</v>
      </c>
      <c r="E372" s="68">
        <f t="shared" si="20"/>
        <v>1.7617483131330144E-2</v>
      </c>
      <c r="F372" s="68">
        <f t="shared" si="21"/>
        <v>5.7760040469035856E-3</v>
      </c>
      <c r="G372" s="68">
        <f t="shared" si="22"/>
        <v>-1.5188217815561931E-2</v>
      </c>
      <c r="H372" s="70">
        <f t="shared" si="23"/>
        <v>20964.95072225788</v>
      </c>
    </row>
    <row r="373" spans="1:8" x14ac:dyDescent="0.25">
      <c r="A373" s="3">
        <v>335</v>
      </c>
      <c r="B373" s="67">
        <v>-0.414473066</v>
      </c>
      <c r="C373" s="67">
        <v>0.63391037800000005</v>
      </c>
      <c r="D373" s="67">
        <v>2.9932909999999999E-3</v>
      </c>
      <c r="E373" s="68">
        <f t="shared" si="20"/>
        <v>-6.711334092829202E-3</v>
      </c>
      <c r="F373" s="68">
        <f t="shared" si="21"/>
        <v>1.1364017983182238E-2</v>
      </c>
      <c r="G373" s="68">
        <f t="shared" si="22"/>
        <v>-6.9063768310232343E-5</v>
      </c>
      <c r="H373" s="70">
        <f t="shared" si="23"/>
        <v>6064.0182994431934</v>
      </c>
    </row>
    <row r="374" spans="1:8" x14ac:dyDescent="0.25">
      <c r="A374" s="3">
        <v>336</v>
      </c>
      <c r="B374" s="67">
        <v>0.340209977</v>
      </c>
      <c r="C374" s="67">
        <v>0.67007924200000002</v>
      </c>
      <c r="D374" s="67">
        <v>-0.37484146299999999</v>
      </c>
      <c r="E374" s="68">
        <f t="shared" si="20"/>
        <v>8.1167690800608532E-3</v>
      </c>
      <c r="F374" s="68">
        <f t="shared" si="21"/>
        <v>1.6288896710922315E-2</v>
      </c>
      <c r="G374" s="68">
        <f t="shared" si="22"/>
        <v>-5.9308458722183805E-3</v>
      </c>
      <c r="H374" s="70">
        <f t="shared" si="23"/>
        <v>23851.811140848382</v>
      </c>
    </row>
    <row r="375" spans="1:8" x14ac:dyDescent="0.25">
      <c r="A375" s="3">
        <v>337</v>
      </c>
      <c r="B375" s="67">
        <v>0.75624816399999994</v>
      </c>
      <c r="C375" s="67">
        <v>0.378842603</v>
      </c>
      <c r="D375" s="67">
        <v>-1.234813087</v>
      </c>
      <c r="E375" s="68">
        <f t="shared" si="20"/>
        <v>1.6291137403184983E-2</v>
      </c>
      <c r="F375" s="68">
        <f t="shared" si="21"/>
        <v>1.3351951275088779E-2</v>
      </c>
      <c r="G375" s="68">
        <f t="shared" si="22"/>
        <v>-2.4387457642649227E-2</v>
      </c>
      <c r="H375" s="70">
        <f t="shared" si="23"/>
        <v>27608.661015249196</v>
      </c>
    </row>
    <row r="376" spans="1:8" x14ac:dyDescent="0.25">
      <c r="A376" s="3">
        <v>338</v>
      </c>
      <c r="B376" s="67">
        <v>1.442304791</v>
      </c>
      <c r="C376" s="67">
        <v>-0.50074474400000002</v>
      </c>
      <c r="D376" s="67">
        <v>-1.6550953429999999</v>
      </c>
      <c r="E376" s="68">
        <f t="shared" si="20"/>
        <v>2.9770860502781576E-2</v>
      </c>
      <c r="F376" s="68">
        <f t="shared" si="21"/>
        <v>1.2557702172204381E-3</v>
      </c>
      <c r="G376" s="68">
        <f t="shared" si="22"/>
        <v>-3.5115331717681678E-2</v>
      </c>
      <c r="H376" s="70">
        <f t="shared" si="23"/>
        <v>26473.372911361494</v>
      </c>
    </row>
    <row r="377" spans="1:8" x14ac:dyDescent="0.25">
      <c r="A377" s="3">
        <v>339</v>
      </c>
      <c r="B377" s="67">
        <v>-1.0450437100000001</v>
      </c>
      <c r="C377" s="67">
        <v>-1.021045161</v>
      </c>
      <c r="D377" s="67">
        <v>5.2173319000000003E-2</v>
      </c>
      <c r="E377" s="68">
        <f t="shared" si="20"/>
        <v>-1.9100861926738315E-2</v>
      </c>
      <c r="F377" s="68">
        <f t="shared" si="21"/>
        <v>-2.2261131955574064E-2</v>
      </c>
      <c r="G377" s="68">
        <f t="shared" si="22"/>
        <v>-7.5614494101862197E-3</v>
      </c>
      <c r="H377" s="69">
        <f t="shared" si="23"/>
        <v>-39643.257527636408</v>
      </c>
    </row>
    <row r="378" spans="1:8" x14ac:dyDescent="0.25">
      <c r="A378" s="3">
        <v>340</v>
      </c>
      <c r="B378" s="67">
        <v>-0.27385050599999999</v>
      </c>
      <c r="C378" s="67">
        <v>-0.33683196799999998</v>
      </c>
      <c r="D378" s="67">
        <v>0.61970196499999997</v>
      </c>
      <c r="E378" s="68">
        <f t="shared" si="20"/>
        <v>-3.9483651253180005E-3</v>
      </c>
      <c r="F378" s="68">
        <f t="shared" si="21"/>
        <v>-5.4723990663097816E-3</v>
      </c>
      <c r="G378" s="68">
        <f t="shared" si="22"/>
        <v>9.5179284446694403E-3</v>
      </c>
      <c r="H378" s="69">
        <f t="shared" si="23"/>
        <v>-8978.7441820649765</v>
      </c>
    </row>
    <row r="379" spans="1:8" x14ac:dyDescent="0.25">
      <c r="A379" s="3">
        <v>341</v>
      </c>
      <c r="B379" s="67">
        <v>0.33987536099999999</v>
      </c>
      <c r="C379" s="67">
        <v>0.31604787099999998</v>
      </c>
      <c r="D379" s="67">
        <v>0.40982845699999998</v>
      </c>
      <c r="E379" s="68">
        <f t="shared" si="20"/>
        <v>8.1101945046582087E-3</v>
      </c>
      <c r="F379" s="68">
        <f t="shared" si="21"/>
        <v>9.8567022513947524E-3</v>
      </c>
      <c r="G379" s="68">
        <f t="shared" si="22"/>
        <v>9.4010712199034865E-3</v>
      </c>
      <c r="H379" s="70">
        <f t="shared" si="23"/>
        <v>17321.759859928348</v>
      </c>
    </row>
    <row r="380" spans="1:8" x14ac:dyDescent="0.25">
      <c r="A380" s="3">
        <v>342</v>
      </c>
      <c r="B380" s="67">
        <v>0.61613466800000005</v>
      </c>
      <c r="C380" s="67">
        <v>-2.1079533420000001</v>
      </c>
      <c r="D380" s="67">
        <v>-0.36443825200000002</v>
      </c>
      <c r="E380" s="68">
        <f t="shared" si="20"/>
        <v>1.353817058635627E-2</v>
      </c>
      <c r="F380" s="68">
        <f t="shared" si="21"/>
        <v>-3.2608316891793415E-2</v>
      </c>
      <c r="G380" s="68">
        <f t="shared" si="22"/>
        <v>-1.63841874789625E-2</v>
      </c>
      <c r="H380" s="69">
        <f t="shared" si="23"/>
        <v>-22492.349585833508</v>
      </c>
    </row>
    <row r="381" spans="1:8" x14ac:dyDescent="0.25">
      <c r="A381" s="3">
        <v>343</v>
      </c>
      <c r="B381" s="67">
        <v>-2.1802100640000002</v>
      </c>
      <c r="C381" s="67">
        <v>3.6059926999999999E-2</v>
      </c>
      <c r="D381" s="67">
        <v>-4.632972E-3</v>
      </c>
      <c r="E381" s="68">
        <f t="shared" si="20"/>
        <v>-4.140474694394207E-2</v>
      </c>
      <c r="F381" s="68">
        <f t="shared" si="21"/>
        <v>-9.4805202173500712E-3</v>
      </c>
      <c r="G381" s="68">
        <f t="shared" si="22"/>
        <v>-7.5457297259905213E-3</v>
      </c>
      <c r="H381" s="69">
        <f t="shared" si="23"/>
        <v>-45487.909199638474</v>
      </c>
    </row>
    <row r="382" spans="1:8" x14ac:dyDescent="0.25">
      <c r="A382" s="3">
        <v>344</v>
      </c>
      <c r="B382" s="67">
        <v>1.045532275</v>
      </c>
      <c r="C382" s="67">
        <v>1.187634393</v>
      </c>
      <c r="D382" s="67">
        <v>0.20277504800000001</v>
      </c>
      <c r="E382" s="68">
        <f t="shared" si="20"/>
        <v>2.1975026399993644E-2</v>
      </c>
      <c r="F382" s="68">
        <f t="shared" si="21"/>
        <v>2.9678087185812652E-2</v>
      </c>
      <c r="G382" s="68">
        <f t="shared" si="22"/>
        <v>1.0497397809250571E-2</v>
      </c>
      <c r="H382" s="70">
        <f t="shared" si="23"/>
        <v>49860.692336702334</v>
      </c>
    </row>
    <row r="383" spans="1:8" x14ac:dyDescent="0.25">
      <c r="A383" s="3">
        <v>345</v>
      </c>
      <c r="B383" s="67">
        <v>-0.50036107699999999</v>
      </c>
      <c r="C383" s="67">
        <v>0.48516111299999998</v>
      </c>
      <c r="D383" s="67">
        <v>-0.52791763700000005</v>
      </c>
      <c r="E383" s="68">
        <f t="shared" si="20"/>
        <v>-8.3988720602382778E-3</v>
      </c>
      <c r="F383" s="68">
        <f t="shared" si="21"/>
        <v>8.1765519750488461E-3</v>
      </c>
      <c r="G383" s="68">
        <f t="shared" si="22"/>
        <v>-1.2277548461275448E-2</v>
      </c>
      <c r="H383" s="70">
        <f t="shared" si="23"/>
        <v>1164.1499355525973</v>
      </c>
    </row>
    <row r="384" spans="1:8" x14ac:dyDescent="0.25">
      <c r="A384" s="3">
        <v>346</v>
      </c>
      <c r="B384" s="67">
        <v>-1.392651E-3</v>
      </c>
      <c r="C384" s="67">
        <v>0.98613631700000004</v>
      </c>
      <c r="D384" s="67">
        <v>-0.557771346</v>
      </c>
      <c r="E384" s="68">
        <f t="shared" si="20"/>
        <v>1.4049195703927507E-3</v>
      </c>
      <c r="F384" s="68">
        <f t="shared" si="21"/>
        <v>2.0097611447740454E-2</v>
      </c>
      <c r="G384" s="68">
        <f t="shared" si="22"/>
        <v>-9.4830424707264341E-3</v>
      </c>
      <c r="H384" s="70">
        <f t="shared" si="23"/>
        <v>22014.968877015719</v>
      </c>
    </row>
    <row r="385" spans="1:8" x14ac:dyDescent="0.25">
      <c r="A385" s="3">
        <v>347</v>
      </c>
      <c r="B385" s="67">
        <v>0.80567863900000003</v>
      </c>
      <c r="C385" s="67">
        <v>0.67740136900000003</v>
      </c>
      <c r="D385" s="67">
        <v>-0.95479181700000004</v>
      </c>
      <c r="E385" s="68">
        <f t="shared" si="20"/>
        <v>1.7262353319566666E-2</v>
      </c>
      <c r="F385" s="68">
        <f t="shared" si="21"/>
        <v>1.9054242669326447E-2</v>
      </c>
      <c r="G385" s="68">
        <f t="shared" si="22"/>
        <v>-1.7030983531447923E-2</v>
      </c>
      <c r="H385" s="70">
        <f t="shared" si="23"/>
        <v>34457.146839225788</v>
      </c>
    </row>
    <row r="386" spans="1:8" x14ac:dyDescent="0.25">
      <c r="A386" s="3">
        <v>348</v>
      </c>
      <c r="B386" s="67">
        <v>0.97389412799999997</v>
      </c>
      <c r="C386" s="67">
        <v>0.69856634500000003</v>
      </c>
      <c r="D386" s="67">
        <v>0.10192588700000001</v>
      </c>
      <c r="E386" s="68">
        <f t="shared" si="20"/>
        <v>2.0567471473877913E-2</v>
      </c>
      <c r="F386" s="68">
        <f t="shared" si="21"/>
        <v>2.038996888146194E-2</v>
      </c>
      <c r="G386" s="68">
        <f t="shared" si="22"/>
        <v>6.1296068092577313E-3</v>
      </c>
      <c r="H386" s="70">
        <f t="shared" si="23"/>
        <v>38939.20070079319</v>
      </c>
    </row>
    <row r="387" spans="1:8" x14ac:dyDescent="0.25">
      <c r="A387" s="3">
        <v>349</v>
      </c>
      <c r="B387" s="67">
        <v>-0.76232345800000001</v>
      </c>
      <c r="C387" s="67">
        <v>-0.85920601900000004</v>
      </c>
      <c r="D387" s="67">
        <v>-0.53766257699999997</v>
      </c>
      <c r="E387" s="68">
        <f t="shared" si="20"/>
        <v>-1.3545940420808205E-2</v>
      </c>
      <c r="F387" s="68">
        <f t="shared" si="21"/>
        <v>-1.7722772832461983E-2</v>
      </c>
      <c r="G387" s="68">
        <f t="shared" si="22"/>
        <v>-1.8739373319910584E-2</v>
      </c>
      <c r="H387" s="69">
        <f t="shared" si="23"/>
        <v>-30275.792602722398</v>
      </c>
    </row>
    <row r="388" spans="1:8" x14ac:dyDescent="0.25">
      <c r="A388" s="3">
        <v>350</v>
      </c>
      <c r="B388" s="67">
        <v>0.54259446300000003</v>
      </c>
      <c r="C388" s="67">
        <v>-0.955625167</v>
      </c>
      <c r="D388" s="67">
        <v>0.43751224900000002</v>
      </c>
      <c r="E388" s="68">
        <f t="shared" si="20"/>
        <v>1.2093243795950719E-2</v>
      </c>
      <c r="F388" s="68">
        <f t="shared" si="21"/>
        <v>-1.2094371676201934E-2</v>
      </c>
      <c r="G388" s="68">
        <f t="shared" si="22"/>
        <v>5.3164143392466787E-3</v>
      </c>
      <c r="H388" s="69">
        <f t="shared" si="23"/>
        <v>-2146.6999388778968</v>
      </c>
    </row>
    <row r="389" spans="1:8" x14ac:dyDescent="0.25">
      <c r="A389" s="3">
        <v>351</v>
      </c>
      <c r="B389" s="67">
        <v>-1.241755529</v>
      </c>
      <c r="C389" s="67">
        <v>-0.204068584</v>
      </c>
      <c r="D389" s="67">
        <v>0.109647755</v>
      </c>
      <c r="E389" s="68">
        <f t="shared" si="20"/>
        <v>-2.2965879399323652E-2</v>
      </c>
      <c r="F389" s="68">
        <f t="shared" si="21"/>
        <v>-8.5347759527345524E-3</v>
      </c>
      <c r="G389" s="68">
        <f t="shared" si="22"/>
        <v>-3.5096167765007302E-3</v>
      </c>
      <c r="H389" s="69">
        <f t="shared" si="23"/>
        <v>-28632.481202898573</v>
      </c>
    </row>
    <row r="390" spans="1:8" x14ac:dyDescent="0.25">
      <c r="A390" s="3">
        <v>352</v>
      </c>
      <c r="B390" s="67">
        <v>2.4451301449999998</v>
      </c>
      <c r="C390" s="67">
        <v>-1.3773156559999999</v>
      </c>
      <c r="D390" s="67">
        <v>1.4720145659999999</v>
      </c>
      <c r="E390" s="68">
        <f t="shared" si="20"/>
        <v>4.9474493639139187E-2</v>
      </c>
      <c r="F390" s="68">
        <f t="shared" si="21"/>
        <v>-8.9942086399349454E-3</v>
      </c>
      <c r="G390" s="68">
        <f t="shared" si="22"/>
        <v>3.0945288045971974E-2</v>
      </c>
      <c r="H390" s="70">
        <f t="shared" si="23"/>
        <v>33447.527537401576</v>
      </c>
    </row>
    <row r="391" spans="1:8" x14ac:dyDescent="0.25">
      <c r="A391" s="3">
        <v>353</v>
      </c>
      <c r="B391" s="67">
        <v>0.14984241400000001</v>
      </c>
      <c r="C391" s="67">
        <v>0.41117191800000003</v>
      </c>
      <c r="D391" s="67">
        <v>0.118347913</v>
      </c>
      <c r="E391" s="68">
        <f t="shared" si="20"/>
        <v>4.3764043122047304E-3</v>
      </c>
      <c r="F391" s="68">
        <f t="shared" si="21"/>
        <v>1.0509759787468112E-2</v>
      </c>
      <c r="G391" s="68">
        <f t="shared" si="22"/>
        <v>3.0333624488780471E-3</v>
      </c>
      <c r="H391" s="70">
        <f t="shared" si="23"/>
        <v>14726.309989879075</v>
      </c>
    </row>
    <row r="392" spans="1:8" x14ac:dyDescent="0.25">
      <c r="A392" s="3">
        <v>354</v>
      </c>
      <c r="B392" s="67">
        <v>0.44472681800000002</v>
      </c>
      <c r="C392" s="67">
        <v>-0.15368510399999999</v>
      </c>
      <c r="D392" s="67">
        <v>1.4540501809999999</v>
      </c>
      <c r="E392" s="68">
        <f t="shared" si="20"/>
        <v>1.0170328539263578E-2</v>
      </c>
      <c r="F392" s="68">
        <f t="shared" si="21"/>
        <v>1.9178658744312556E-3</v>
      </c>
      <c r="G392" s="68">
        <f t="shared" si="22"/>
        <v>3.009962015068508E-2</v>
      </c>
      <c r="H392" s="70">
        <f t="shared" si="23"/>
        <v>11056.966724279038</v>
      </c>
    </row>
    <row r="393" spans="1:8" x14ac:dyDescent="0.25">
      <c r="A393" s="3">
        <v>355</v>
      </c>
      <c r="B393" s="67">
        <v>-0.456471144</v>
      </c>
      <c r="C393" s="67">
        <v>1.132234572</v>
      </c>
      <c r="D393" s="67">
        <v>-0.64436711999999996</v>
      </c>
      <c r="E393" s="68">
        <f t="shared" si="20"/>
        <v>-7.5365173792742435E-3</v>
      </c>
      <c r="F393" s="68">
        <f t="shared" si="21"/>
        <v>2.0177612296475446E-2</v>
      </c>
      <c r="G393" s="68">
        <f t="shared" si="22"/>
        <v>-1.1985332838716296E-2</v>
      </c>
      <c r="H393" s="70">
        <f t="shared" si="23"/>
        <v>14395.854453556824</v>
      </c>
    </row>
    <row r="394" spans="1:8" x14ac:dyDescent="0.25">
      <c r="A394" s="3">
        <v>356</v>
      </c>
      <c r="B394" s="67">
        <v>-6.0251845999999998E-2</v>
      </c>
      <c r="C394" s="67">
        <v>-1.071962552</v>
      </c>
      <c r="D394" s="67">
        <v>0.45502372000000002</v>
      </c>
      <c r="E394" s="68">
        <f t="shared" si="20"/>
        <v>2.484470297300684E-4</v>
      </c>
      <c r="F394" s="68">
        <f t="shared" si="21"/>
        <v>-1.7616679549431059E-2</v>
      </c>
      <c r="G394" s="68">
        <f t="shared" si="22"/>
        <v>3.5554813821587813E-3</v>
      </c>
      <c r="H394" s="69">
        <f t="shared" si="23"/>
        <v>-18079.472805091278</v>
      </c>
    </row>
    <row r="395" spans="1:8" x14ac:dyDescent="0.25">
      <c r="A395" s="3">
        <v>357</v>
      </c>
      <c r="B395" s="67">
        <v>1.4451259569999999</v>
      </c>
      <c r="C395" s="67">
        <v>-7.7356179999999997E-2</v>
      </c>
      <c r="D395" s="67">
        <v>-0.196885699</v>
      </c>
      <c r="E395" s="68">
        <f t="shared" si="20"/>
        <v>2.9826291111570077E-2</v>
      </c>
      <c r="F395" s="68">
        <f t="shared" si="21"/>
        <v>8.9617674389623411E-3</v>
      </c>
      <c r="G395" s="68">
        <f t="shared" si="22"/>
        <v>-2.1628128827846614E-3</v>
      </c>
      <c r="H395" s="70">
        <f t="shared" si="23"/>
        <v>34902.875075579315</v>
      </c>
    </row>
    <row r="396" spans="1:8" x14ac:dyDescent="0.25">
      <c r="A396" s="3">
        <v>358</v>
      </c>
      <c r="B396" s="67">
        <v>-1.114616963</v>
      </c>
      <c r="C396" s="67">
        <v>-0.22929265400000001</v>
      </c>
      <c r="D396" s="67">
        <v>-1.59279426</v>
      </c>
      <c r="E396" s="68">
        <f t="shared" si="20"/>
        <v>-2.0467845567256629E-2</v>
      </c>
      <c r="F396" s="68">
        <f t="shared" si="21"/>
        <v>-8.2739192741410443E-3</v>
      </c>
      <c r="G396" s="68">
        <f t="shared" si="22"/>
        <v>-3.9692115103765559E-2</v>
      </c>
      <c r="H396" s="69">
        <f t="shared" si="23"/>
        <v>-26615.530411164244</v>
      </c>
    </row>
    <row r="397" spans="1:8" x14ac:dyDescent="0.25">
      <c r="A397" s="3">
        <v>359</v>
      </c>
      <c r="B397" s="67">
        <v>-0.912877987</v>
      </c>
      <c r="C397" s="67">
        <v>0.22678604599999999</v>
      </c>
      <c r="D397" s="67">
        <v>1.3190131979999999</v>
      </c>
      <c r="E397" s="68">
        <f t="shared" si="20"/>
        <v>-1.650405390946369E-2</v>
      </c>
      <c r="F397" s="68">
        <f t="shared" si="21"/>
        <v>1.1507667128873651E-3</v>
      </c>
      <c r="G397" s="68">
        <f t="shared" si="22"/>
        <v>2.5045072566231025E-2</v>
      </c>
      <c r="H397" s="69">
        <f t="shared" si="23"/>
        <v>-12692.65633245045</v>
      </c>
    </row>
    <row r="398" spans="1:8" x14ac:dyDescent="0.25">
      <c r="A398" s="3">
        <v>360</v>
      </c>
      <c r="B398" s="67">
        <v>2.8092108609999999</v>
      </c>
      <c r="C398" s="67">
        <v>-0.58658508499999995</v>
      </c>
      <c r="D398" s="67">
        <v>1.4353001569999999</v>
      </c>
      <c r="E398" s="68">
        <f t="shared" si="20"/>
        <v>5.6627995324624494E-2</v>
      </c>
      <c r="F398" s="68">
        <f t="shared" si="21"/>
        <v>7.4268752138571207E-3</v>
      </c>
      <c r="G398" s="68">
        <f t="shared" si="22"/>
        <v>3.4414902408492119E-2</v>
      </c>
      <c r="H398" s="70">
        <f t="shared" si="23"/>
        <v>56713.65582233946</v>
      </c>
    </row>
    <row r="399" spans="1:8" x14ac:dyDescent="0.25">
      <c r="A399" s="3">
        <v>361</v>
      </c>
      <c r="B399" s="67">
        <v>0.24375247999999999</v>
      </c>
      <c r="C399" s="67">
        <v>-0.15124764700000001</v>
      </c>
      <c r="D399" s="67">
        <v>0.43259445200000002</v>
      </c>
      <c r="E399" s="68">
        <f t="shared" si="20"/>
        <v>6.2215605808356583E-3</v>
      </c>
      <c r="F399" s="68">
        <f t="shared" si="21"/>
        <v>8.2557235694666851E-4</v>
      </c>
      <c r="G399" s="68">
        <f t="shared" si="22"/>
        <v>7.7006655805948974E-3</v>
      </c>
      <c r="H399" s="70">
        <f t="shared" si="23"/>
        <v>6284.1500113878192</v>
      </c>
    </row>
    <row r="400" spans="1:8" x14ac:dyDescent="0.25">
      <c r="A400" s="3">
        <v>362</v>
      </c>
      <c r="B400" s="67">
        <v>6.1916484000000001E-2</v>
      </c>
      <c r="C400" s="67">
        <v>0.110395726</v>
      </c>
      <c r="D400" s="67">
        <v>-0.408333163</v>
      </c>
      <c r="E400" s="68">
        <f t="shared" si="20"/>
        <v>2.6488250672417439E-3</v>
      </c>
      <c r="F400" s="68">
        <f t="shared" si="21"/>
        <v>4.5494906898324522E-3</v>
      </c>
      <c r="G400" s="68">
        <f t="shared" si="22"/>
        <v>-9.7159510128773142E-3</v>
      </c>
      <c r="H400" s="70">
        <f t="shared" si="23"/>
        <v>6900.7376223053561</v>
      </c>
    </row>
    <row r="401" spans="1:8" x14ac:dyDescent="0.25">
      <c r="A401" s="3">
        <v>363</v>
      </c>
      <c r="B401" s="67">
        <v>-1.39810966</v>
      </c>
      <c r="C401" s="67">
        <v>-1.5436252029999999</v>
      </c>
      <c r="D401" s="67">
        <v>0.65324488300000005</v>
      </c>
      <c r="E401" s="68">
        <f t="shared" si="20"/>
        <v>-2.6037944165426485E-2</v>
      </c>
      <c r="F401" s="68">
        <f t="shared" si="21"/>
        <v>-3.3749483247626423E-2</v>
      </c>
      <c r="G401" s="68">
        <f t="shared" si="22"/>
        <v>2.1787655765986447E-3</v>
      </c>
      <c r="H401" s="69">
        <f t="shared" si="23"/>
        <v>-57445.081873826006</v>
      </c>
    </row>
    <row r="402" spans="1:8" x14ac:dyDescent="0.25">
      <c r="A402" s="3">
        <v>364</v>
      </c>
      <c r="B402" s="67">
        <v>-0.27670009000000001</v>
      </c>
      <c r="C402" s="67">
        <v>-0.59608890000000003</v>
      </c>
      <c r="D402" s="67">
        <v>8.505627E-3</v>
      </c>
      <c r="E402" s="68">
        <f t="shared" si="20"/>
        <v>-4.0043540943875185E-3</v>
      </c>
      <c r="F402" s="68">
        <f t="shared" si="21"/>
        <v>-1.0197420109972813E-2</v>
      </c>
      <c r="G402" s="68">
        <f t="shared" si="22"/>
        <v>-4.6350987823874515E-3</v>
      </c>
      <c r="H402" s="69">
        <f t="shared" si="23"/>
        <v>-14099.591980778527</v>
      </c>
    </row>
    <row r="403" spans="1:8" x14ac:dyDescent="0.25">
      <c r="A403" s="3">
        <v>365</v>
      </c>
      <c r="B403" s="67">
        <v>0.79493225300000003</v>
      </c>
      <c r="C403" s="67">
        <v>0.180363943</v>
      </c>
      <c r="D403" s="67">
        <v>-0.65605493699999995</v>
      </c>
      <c r="E403" s="68">
        <f t="shared" si="20"/>
        <v>1.7051207035279875E-2</v>
      </c>
      <c r="F403" s="68">
        <f t="shared" si="21"/>
        <v>9.9657355563288145E-3</v>
      </c>
      <c r="G403" s="68">
        <f t="shared" si="22"/>
        <v>-1.2714065139964325E-2</v>
      </c>
      <c r="H403" s="70">
        <f t="shared" si="23"/>
        <v>24865.983931130209</v>
      </c>
    </row>
    <row r="404" spans="1:8" x14ac:dyDescent="0.25">
      <c r="A404" s="3">
        <v>366</v>
      </c>
      <c r="B404" s="67">
        <v>1.226292956</v>
      </c>
      <c r="C404" s="67">
        <v>1.5791855029999999</v>
      </c>
      <c r="D404" s="67">
        <v>0.49455665500000001</v>
      </c>
      <c r="E404" s="68">
        <f t="shared" si="20"/>
        <v>2.5526633995170349E-2</v>
      </c>
      <c r="F404" s="68">
        <f t="shared" si="21"/>
        <v>3.7812114990386052E-2</v>
      </c>
      <c r="G404" s="68">
        <f t="shared" si="22"/>
        <v>1.8849200258643953E-2</v>
      </c>
      <c r="H404" s="70">
        <f t="shared" si="23"/>
        <v>61465.460558744991</v>
      </c>
    </row>
    <row r="405" spans="1:8" x14ac:dyDescent="0.25">
      <c r="A405" s="3">
        <v>367</v>
      </c>
      <c r="B405" s="67">
        <v>0.97366351100000004</v>
      </c>
      <c r="C405" s="67">
        <v>1.2419599969999999</v>
      </c>
      <c r="D405" s="67">
        <v>1.1300993159999999</v>
      </c>
      <c r="E405" s="68">
        <f t="shared" si="20"/>
        <v>2.0562940283332234E-2</v>
      </c>
      <c r="F405" s="68">
        <f t="shared" si="21"/>
        <v>3.0258370121092389E-2</v>
      </c>
      <c r="G405" s="68">
        <f t="shared" si="22"/>
        <v>3.0365952334703798E-2</v>
      </c>
      <c r="H405" s="70">
        <f t="shared" si="23"/>
        <v>49471.395915257781</v>
      </c>
    </row>
    <row r="406" spans="1:8" x14ac:dyDescent="0.25">
      <c r="A406" s="3">
        <v>368</v>
      </c>
      <c r="B406" s="67">
        <v>0.61409917700000005</v>
      </c>
      <c r="C406" s="67">
        <v>0.59834704699999997</v>
      </c>
      <c r="D406" s="67">
        <v>0.51966057300000001</v>
      </c>
      <c r="E406" s="68">
        <f t="shared" si="20"/>
        <v>1.3498177014438305E-2</v>
      </c>
      <c r="F406" s="68">
        <f t="shared" si="21"/>
        <v>1.6534937602627493E-2</v>
      </c>
      <c r="G406" s="68">
        <f t="shared" si="22"/>
        <v>1.3666787383785729E-2</v>
      </c>
      <c r="H406" s="70">
        <f t="shared" si="23"/>
        <v>28942.845456324092</v>
      </c>
    </row>
    <row r="407" spans="1:8" x14ac:dyDescent="0.25">
      <c r="A407" s="3">
        <v>369</v>
      </c>
      <c r="B407" s="67">
        <v>-1.0973376749999999</v>
      </c>
      <c r="C407" s="67">
        <v>0.70072315699999999</v>
      </c>
      <c r="D407" s="67">
        <v>-1.3558139709999999</v>
      </c>
      <c r="E407" s="68">
        <f t="shared" si="20"/>
        <v>-2.0128340038949588E-2</v>
      </c>
      <c r="F407" s="68">
        <f t="shared" si="21"/>
        <v>8.7157566905880467E-3</v>
      </c>
      <c r="G407" s="68">
        <f t="shared" si="22"/>
        <v>-3.074592263519162E-2</v>
      </c>
      <c r="H407" s="69">
        <f t="shared" si="23"/>
        <v>-8546.1102681572993</v>
      </c>
    </row>
    <row r="408" spans="1:8" x14ac:dyDescent="0.25">
      <c r="A408" s="3">
        <v>370</v>
      </c>
      <c r="B408" s="67">
        <v>-0.79459945499999995</v>
      </c>
      <c r="C408" s="67">
        <v>1.3035650679999999</v>
      </c>
      <c r="D408" s="67">
        <v>0.84022016300000002</v>
      </c>
      <c r="E408" s="68">
        <f t="shared" si="20"/>
        <v>-1.4180103090770155E-2</v>
      </c>
      <c r="F408" s="68">
        <f t="shared" si="21"/>
        <v>2.137729400319989E-2</v>
      </c>
      <c r="G408" s="68">
        <f t="shared" si="22"/>
        <v>1.9557114818155797E-2</v>
      </c>
      <c r="H408" s="70">
        <f t="shared" si="23"/>
        <v>10289.321366570588</v>
      </c>
    </row>
    <row r="409" spans="1:8" x14ac:dyDescent="0.25">
      <c r="A409" s="3">
        <v>371</v>
      </c>
      <c r="B409" s="67">
        <v>1.48739829</v>
      </c>
      <c r="C409" s="67">
        <v>-0.27167438399999999</v>
      </c>
      <c r="D409" s="67">
        <v>-1.152248841</v>
      </c>
      <c r="E409" s="68">
        <f t="shared" si="20"/>
        <v>3.0656862993231886E-2</v>
      </c>
      <c r="F409" s="68">
        <f t="shared" si="21"/>
        <v>5.6714109473912314E-3</v>
      </c>
      <c r="G409" s="68">
        <f t="shared" si="22"/>
        <v>-2.3288873866783511E-2</v>
      </c>
      <c r="H409" s="70">
        <f t="shared" si="23"/>
        <v>31959.079529790804</v>
      </c>
    </row>
    <row r="410" spans="1:8" x14ac:dyDescent="0.25">
      <c r="A410" s="3">
        <v>372</v>
      </c>
      <c r="B410" s="67">
        <v>-0.24043719699999999</v>
      </c>
      <c r="C410" s="67">
        <v>0.10203129700000001</v>
      </c>
      <c r="D410" s="67">
        <v>7.8988716E-2</v>
      </c>
      <c r="E410" s="68">
        <f t="shared" si="20"/>
        <v>-3.2918564124282419E-3</v>
      </c>
      <c r="F410" s="68">
        <f t="shared" si="21"/>
        <v>2.6876734730913385E-3</v>
      </c>
      <c r="G410" s="68">
        <f t="shared" si="22"/>
        <v>-1.5383890855798113E-4</v>
      </c>
      <c r="H410" s="69">
        <f t="shared" si="23"/>
        <v>-30.436701712775001</v>
      </c>
    </row>
    <row r="411" spans="1:8" x14ac:dyDescent="0.25">
      <c r="A411" s="3">
        <v>373</v>
      </c>
      <c r="B411" s="67">
        <v>1.1336804789999999</v>
      </c>
      <c r="C411" s="67">
        <v>-0.36127042500000001</v>
      </c>
      <c r="D411" s="67">
        <v>0.35203447199999999</v>
      </c>
      <c r="E411" s="68">
        <f t="shared" si="20"/>
        <v>2.3706972911235136E-2</v>
      </c>
      <c r="F411" s="68">
        <f t="shared" si="21"/>
        <v>2.0436986965089578E-3</v>
      </c>
      <c r="G411" s="68">
        <f t="shared" si="22"/>
        <v>7.5582134756103578E-3</v>
      </c>
      <c r="H411" s="70">
        <f t="shared" si="23"/>
        <v>22558.590344592365</v>
      </c>
    </row>
    <row r="412" spans="1:8" x14ac:dyDescent="0.25">
      <c r="A412" s="3">
        <v>374</v>
      </c>
      <c r="B412" s="67">
        <v>-0.98862714900000004</v>
      </c>
      <c r="C412" s="67">
        <v>0.45031727799999999</v>
      </c>
      <c r="D412" s="67">
        <v>3.1085499999999999E-3</v>
      </c>
      <c r="E412" s="68">
        <f t="shared" si="20"/>
        <v>-1.7992382552612977E-2</v>
      </c>
      <c r="F412" s="68">
        <f t="shared" si="21"/>
        <v>4.7824012419035236E-3</v>
      </c>
      <c r="G412" s="68">
        <f t="shared" si="22"/>
        <v>-2.4002002450831256E-3</v>
      </c>
      <c r="H412" s="69">
        <f t="shared" si="23"/>
        <v>-10493.465096586584</v>
      </c>
    </row>
    <row r="413" spans="1:8" x14ac:dyDescent="0.25">
      <c r="A413" s="3">
        <v>375</v>
      </c>
      <c r="B413" s="67">
        <v>-0.74981333800000005</v>
      </c>
      <c r="C413" s="67">
        <v>-0.23582936199999999</v>
      </c>
      <c r="D413" s="67">
        <v>-0.184175747</v>
      </c>
      <c r="E413" s="68">
        <f t="shared" si="20"/>
        <v>-1.3300140078815846E-2</v>
      </c>
      <c r="F413" s="68">
        <f t="shared" si="21"/>
        <v>-6.3295810442551073E-3</v>
      </c>
      <c r="G413" s="68">
        <f t="shared" si="22"/>
        <v>-8.5754470923684791E-3</v>
      </c>
      <c r="H413" s="69">
        <f t="shared" si="23"/>
        <v>-18097.08221638533</v>
      </c>
    </row>
    <row r="414" spans="1:8" x14ac:dyDescent="0.25">
      <c r="A414" s="3">
        <v>376</v>
      </c>
      <c r="B414" s="67">
        <v>-0.27015512899999999</v>
      </c>
      <c r="C414" s="67">
        <v>1.7713412420000001</v>
      </c>
      <c r="D414" s="67">
        <v>-9.8446002000000005E-2</v>
      </c>
      <c r="E414" s="68">
        <f t="shared" si="20"/>
        <v>-3.8757579136852816E-3</v>
      </c>
      <c r="F414" s="68">
        <f t="shared" si="21"/>
        <v>3.2839429884657753E-2</v>
      </c>
      <c r="G414" s="68">
        <f t="shared" si="22"/>
        <v>2.8386288366567813E-3</v>
      </c>
      <c r="H414" s="70">
        <f t="shared" si="23"/>
        <v>30877.235863434631</v>
      </c>
    </row>
    <row r="415" spans="1:8" x14ac:dyDescent="0.25">
      <c r="A415" s="3">
        <v>377</v>
      </c>
      <c r="B415" s="67">
        <v>-0.24389611</v>
      </c>
      <c r="C415" s="67">
        <v>-2.097450958</v>
      </c>
      <c r="D415" s="67">
        <v>-0.89420735200000001</v>
      </c>
      <c r="E415" s="68">
        <f t="shared" si="20"/>
        <v>-3.3598175509562357E-3</v>
      </c>
      <c r="F415" s="68">
        <f t="shared" si="21"/>
        <v>-3.7281272213649415E-2</v>
      </c>
      <c r="G415" s="68">
        <f t="shared" si="22"/>
        <v>-3.0040334641078668E-2</v>
      </c>
      <c r="H415" s="69">
        <f t="shared" si="23"/>
        <v>-42009.704788014547</v>
      </c>
    </row>
    <row r="416" spans="1:8" x14ac:dyDescent="0.25">
      <c r="A416" s="3">
        <v>378</v>
      </c>
      <c r="B416" s="67">
        <v>-0.263073424</v>
      </c>
      <c r="C416" s="67">
        <v>-0.68585267599999999</v>
      </c>
      <c r="D416" s="67">
        <v>1.381707593</v>
      </c>
      <c r="E416" s="68">
        <f t="shared" si="20"/>
        <v>-3.7366157223322803E-3</v>
      </c>
      <c r="F416" s="68">
        <f t="shared" si="21"/>
        <v>-1.1750744710710158E-2</v>
      </c>
      <c r="G416" s="68">
        <f t="shared" si="22"/>
        <v>2.4416047016534624E-2</v>
      </c>
      <c r="H416" s="69">
        <f t="shared" si="23"/>
        <v>-15166.083928298791</v>
      </c>
    </row>
    <row r="417" spans="1:8" x14ac:dyDescent="0.25">
      <c r="A417" s="3">
        <v>379</v>
      </c>
      <c r="B417" s="67">
        <v>-0.16493777500000001</v>
      </c>
      <c r="C417" s="67">
        <v>1.2884442490000001</v>
      </c>
      <c r="D417" s="67">
        <v>6.1704634000000001E-2</v>
      </c>
      <c r="E417" s="68">
        <f t="shared" si="20"/>
        <v>-1.8084346908280062E-3</v>
      </c>
      <c r="F417" s="68">
        <f t="shared" si="21"/>
        <v>2.466356356963148E-2</v>
      </c>
      <c r="G417" s="68">
        <f t="shared" si="22"/>
        <v>4.5670442190463723E-3</v>
      </c>
      <c r="H417" s="70">
        <f t="shared" si="23"/>
        <v>24162.947447675091</v>
      </c>
    </row>
    <row r="418" spans="1:8" x14ac:dyDescent="0.25">
      <c r="A418" s="3">
        <v>380</v>
      </c>
      <c r="B418" s="67">
        <v>3.7227836E-2</v>
      </c>
      <c r="C418" s="67">
        <v>-8.8796448E-2</v>
      </c>
      <c r="D418" s="67">
        <v>3.796252E-3</v>
      </c>
      <c r="E418" s="68">
        <f t="shared" si="20"/>
        <v>2.1637395427440563E-3</v>
      </c>
      <c r="F418" s="68">
        <f t="shared" si="21"/>
        <v>7.919250657571473E-4</v>
      </c>
      <c r="G418" s="68">
        <f t="shared" si="22"/>
        <v>-1.7851088181340305E-3</v>
      </c>
      <c r="H418" s="70">
        <f t="shared" si="23"/>
        <v>2661.6323016625543</v>
      </c>
    </row>
    <row r="419" spans="1:8" x14ac:dyDescent="0.25">
      <c r="A419" s="3">
        <v>381</v>
      </c>
      <c r="B419" s="67">
        <v>1.7187950030000001</v>
      </c>
      <c r="C419" s="67">
        <v>-2.3196107270000001</v>
      </c>
      <c r="D419" s="67">
        <v>-2.001545744</v>
      </c>
      <c r="E419" s="68">
        <f t="shared" si="20"/>
        <v>3.5203373433683946E-2</v>
      </c>
      <c r="F419" s="68">
        <f t="shared" si="21"/>
        <v>-3.0216820082951523E-2</v>
      </c>
      <c r="G419" s="68">
        <f t="shared" si="22"/>
        <v>-4.9255023136561139E-2</v>
      </c>
      <c r="H419" s="69">
        <f t="shared" si="23"/>
        <v>-1769.821053349624</v>
      </c>
    </row>
    <row r="420" spans="1:8" x14ac:dyDescent="0.25">
      <c r="A420" s="3">
        <v>382</v>
      </c>
      <c r="B420" s="67">
        <v>-0.54317083099999997</v>
      </c>
      <c r="C420" s="67">
        <v>1.4527882000000001E-2</v>
      </c>
      <c r="D420" s="67">
        <v>0.69010442500000002</v>
      </c>
      <c r="E420" s="68">
        <f t="shared" si="20"/>
        <v>-9.2400032543282478E-3</v>
      </c>
      <c r="F420" s="68">
        <f t="shared" si="21"/>
        <v>-6.1370066343679726E-4</v>
      </c>
      <c r="G420" s="68">
        <f t="shared" si="22"/>
        <v>1.1730381075287885E-2</v>
      </c>
      <c r="H420" s="69">
        <f t="shared" si="23"/>
        <v>-8440.4353513042533</v>
      </c>
    </row>
    <row r="421" spans="1:8" x14ac:dyDescent="0.25">
      <c r="A421" s="3">
        <v>383</v>
      </c>
      <c r="B421" s="67">
        <v>0.47308719799999999</v>
      </c>
      <c r="C421" s="67">
        <v>-0.38424591299999999</v>
      </c>
      <c r="D421" s="67">
        <v>1.019043693</v>
      </c>
      <c r="E421" s="68">
        <f t="shared" si="20"/>
        <v>1.0727556695590878E-2</v>
      </c>
      <c r="F421" s="68">
        <f t="shared" si="21"/>
        <v>-2.1094440833981207E-3</v>
      </c>
      <c r="G421" s="68">
        <f t="shared" si="22"/>
        <v>1.9920510337646004E-2</v>
      </c>
      <c r="H421" s="70">
        <f t="shared" si="23"/>
        <v>7232.2897932536562</v>
      </c>
    </row>
    <row r="422" spans="1:8" x14ac:dyDescent="0.25">
      <c r="A422" s="3">
        <v>384</v>
      </c>
      <c r="B422" s="67">
        <v>1.030195403</v>
      </c>
      <c r="C422" s="67">
        <v>0.18405783100000001</v>
      </c>
      <c r="D422" s="67">
        <v>0.96265757200000002</v>
      </c>
      <c r="E422" s="68">
        <f t="shared" si="20"/>
        <v>2.1673685694813115E-2</v>
      </c>
      <c r="F422" s="68">
        <f t="shared" si="21"/>
        <v>1.1363305897970062E-2</v>
      </c>
      <c r="G422" s="68">
        <f t="shared" si="22"/>
        <v>2.2584194027489044E-2</v>
      </c>
      <c r="H422" s="70">
        <f t="shared" si="23"/>
        <v>30676.86878320251</v>
      </c>
    </row>
    <row r="423" spans="1:8" x14ac:dyDescent="0.25">
      <c r="A423" s="3">
        <v>385</v>
      </c>
      <c r="B423" s="67">
        <v>0.27264526300000003</v>
      </c>
      <c r="C423" s="67">
        <v>-0.56148302699999997</v>
      </c>
      <c r="D423" s="67">
        <v>0.69781683900000002</v>
      </c>
      <c r="E423" s="68">
        <f t="shared" ref="E423:E486" si="24">$B$14*B423+$B$26</f>
        <v>6.7892494553237585E-3</v>
      </c>
      <c r="F423" s="68">
        <f t="shared" ref="F423:F486" si="25">$B$15*B423+$C$15*C423+$B$27</f>
        <v>-6.4621713372104775E-3</v>
      </c>
      <c r="G423" s="68">
        <f t="shared" ref="G423:G486" si="26">$B$16*B423+$C$16*C423+$D$16*D423+$B$28</f>
        <v>1.1766669348446928E-2</v>
      </c>
      <c r="H423" s="69">
        <f t="shared" ref="H423:H486" si="27">E423*$B$32+F423*$B$33+G423*$B$34</f>
        <v>-767.39949096610235</v>
      </c>
    </row>
    <row r="424" spans="1:8" x14ac:dyDescent="0.25">
      <c r="A424" s="3">
        <v>386</v>
      </c>
      <c r="B424" s="67">
        <v>0.11061312299999999</v>
      </c>
      <c r="C424" s="67">
        <v>1.3398469999999999E-3</v>
      </c>
      <c r="D424" s="67">
        <v>1.472953572</v>
      </c>
      <c r="E424" s="68">
        <f t="shared" si="24"/>
        <v>3.6056224856580756E-3</v>
      </c>
      <c r="F424" s="68">
        <f t="shared" si="25"/>
        <v>2.8440923304346899E-3</v>
      </c>
      <c r="G424" s="68">
        <f t="shared" si="26"/>
        <v>3.0223941700389192E-2</v>
      </c>
      <c r="H424" s="70">
        <f t="shared" si="27"/>
        <v>6387.4170289526492</v>
      </c>
    </row>
    <row r="425" spans="1:8" x14ac:dyDescent="0.25">
      <c r="A425" s="3">
        <v>387</v>
      </c>
      <c r="B425" s="67">
        <v>-2.450872129</v>
      </c>
      <c r="C425" s="67">
        <v>-1.41768417</v>
      </c>
      <c r="D425" s="67">
        <v>-1.187070426</v>
      </c>
      <c r="E425" s="68">
        <f t="shared" si="24"/>
        <v>-4.6722747741804793E-2</v>
      </c>
      <c r="F425" s="68">
        <f t="shared" si="25"/>
        <v>-3.7415667318291393E-2</v>
      </c>
      <c r="G425" s="68">
        <f t="shared" si="26"/>
        <v>-3.9574403235017451E-2</v>
      </c>
      <c r="H425" s="69">
        <f t="shared" si="27"/>
        <v>-79474.740067290855</v>
      </c>
    </row>
    <row r="426" spans="1:8" x14ac:dyDescent="0.25">
      <c r="A426" s="3">
        <v>388</v>
      </c>
      <c r="B426" s="67">
        <v>-0.36326064800000002</v>
      </c>
      <c r="C426" s="67">
        <v>-0.25460817000000002</v>
      </c>
      <c r="D426" s="67">
        <v>-1.5073256479999999</v>
      </c>
      <c r="E426" s="68">
        <f t="shared" si="24"/>
        <v>-5.705106346120481E-3</v>
      </c>
      <c r="F426" s="68">
        <f t="shared" si="25"/>
        <v>-4.4846001698911949E-3</v>
      </c>
      <c r="G426" s="68">
        <f t="shared" si="26"/>
        <v>-3.5902549533972733E-2</v>
      </c>
      <c r="H426" s="69">
        <f t="shared" si="27"/>
        <v>-9959.1657240829736</v>
      </c>
    </row>
    <row r="427" spans="1:8" x14ac:dyDescent="0.25">
      <c r="A427" s="3">
        <v>389</v>
      </c>
      <c r="B427" s="67">
        <v>-0.98515803199999996</v>
      </c>
      <c r="C427" s="67">
        <v>-0.86084167899999997</v>
      </c>
      <c r="D427" s="67">
        <v>2.4574240920000001</v>
      </c>
      <c r="E427" s="68">
        <f t="shared" si="24"/>
        <v>-1.7924220924666036E-2</v>
      </c>
      <c r="F427" s="68">
        <f t="shared" si="25"/>
        <v>-1.9012672380811873E-2</v>
      </c>
      <c r="G427" s="68">
        <f t="shared" si="26"/>
        <v>4.4729001711588584E-2</v>
      </c>
      <c r="H427" s="69">
        <f t="shared" si="27"/>
        <v>-34676.819514420014</v>
      </c>
    </row>
    <row r="428" spans="1:8" x14ac:dyDescent="0.25">
      <c r="A428" s="3">
        <v>390</v>
      </c>
      <c r="B428" s="67">
        <v>1.8017419480000001</v>
      </c>
      <c r="C428" s="67">
        <v>-0.41174941799999998</v>
      </c>
      <c r="D428" s="67">
        <v>-0.36358329</v>
      </c>
      <c r="E428" s="68">
        <f t="shared" si="24"/>
        <v>3.6833124982687593E-2</v>
      </c>
      <c r="F428" s="68">
        <f t="shared" si="25"/>
        <v>4.9049161076424094E-3</v>
      </c>
      <c r="G428" s="68">
        <f t="shared" si="26"/>
        <v>-6.125997968709827E-3</v>
      </c>
      <c r="H428" s="70">
        <f t="shared" si="27"/>
        <v>36651.899048717409</v>
      </c>
    </row>
    <row r="429" spans="1:8" x14ac:dyDescent="0.25">
      <c r="A429" s="3">
        <v>391</v>
      </c>
      <c r="B429" s="67">
        <v>-1.1492039970000001</v>
      </c>
      <c r="C429" s="67">
        <v>-1.9081304130000001</v>
      </c>
      <c r="D429" s="67">
        <v>-0.116880186</v>
      </c>
      <c r="E429" s="68">
        <f t="shared" si="24"/>
        <v>-2.114741577007654E-2</v>
      </c>
      <c r="F429" s="68">
        <f t="shared" si="25"/>
        <v>-3.8962392488718155E-2</v>
      </c>
      <c r="G429" s="68">
        <f t="shared" si="26"/>
        <v>-1.511624871993883E-2</v>
      </c>
      <c r="H429" s="69">
        <f t="shared" si="27"/>
        <v>-58862.450341851407</v>
      </c>
    </row>
    <row r="430" spans="1:8" x14ac:dyDescent="0.25">
      <c r="A430" s="3">
        <v>392</v>
      </c>
      <c r="B430" s="67">
        <v>-0.997851983</v>
      </c>
      <c r="C430" s="67">
        <v>-8.4850532000000006E-2</v>
      </c>
      <c r="D430" s="67">
        <v>-1.600205849</v>
      </c>
      <c r="E430" s="68">
        <f t="shared" si="24"/>
        <v>-1.8173633200250471E-2</v>
      </c>
      <c r="F430" s="68">
        <f t="shared" si="25"/>
        <v>-4.9900665057015497E-3</v>
      </c>
      <c r="G430" s="68">
        <f t="shared" si="26"/>
        <v>-3.8935283358016222E-2</v>
      </c>
      <c r="H430" s="69">
        <f t="shared" si="27"/>
        <v>-21220.803488908143</v>
      </c>
    </row>
    <row r="431" spans="1:8" x14ac:dyDescent="0.25">
      <c r="A431" s="3">
        <v>393</v>
      </c>
      <c r="B431" s="67">
        <v>-0.76197445799999997</v>
      </c>
      <c r="C431" s="67">
        <v>0.14862709499999999</v>
      </c>
      <c r="D431" s="67">
        <v>0.36620959800000003</v>
      </c>
      <c r="E431" s="68">
        <f t="shared" si="24"/>
        <v>-1.3539083226844011E-2</v>
      </c>
      <c r="F431" s="68">
        <f t="shared" si="25"/>
        <v>5.8456002801589085E-4</v>
      </c>
      <c r="G431" s="68">
        <f t="shared" si="26"/>
        <v>4.7504360266321637E-3</v>
      </c>
      <c r="H431" s="69">
        <f t="shared" si="27"/>
        <v>-10960.503812194547</v>
      </c>
    </row>
    <row r="432" spans="1:8" x14ac:dyDescent="0.25">
      <c r="A432" s="3">
        <v>394</v>
      </c>
      <c r="B432" s="67">
        <v>0.417471959</v>
      </c>
      <c r="C432" s="67">
        <v>-1.320488984</v>
      </c>
      <c r="D432" s="67">
        <v>0.85468573000000003</v>
      </c>
      <c r="E432" s="68">
        <f t="shared" si="24"/>
        <v>9.6348217924734931E-3</v>
      </c>
      <c r="F432" s="68">
        <f t="shared" si="25"/>
        <v>-1.9429026670835181E-2</v>
      </c>
      <c r="G432" s="68">
        <f t="shared" si="26"/>
        <v>1.2397268420347819E-2</v>
      </c>
      <c r="H432" s="69">
        <f t="shared" si="27"/>
        <v>-11811.279683837329</v>
      </c>
    </row>
    <row r="433" spans="1:8" x14ac:dyDescent="0.25">
      <c r="A433" s="3">
        <v>395</v>
      </c>
      <c r="B433" s="67">
        <v>-0.80021169700000006</v>
      </c>
      <c r="C433" s="67">
        <v>0.63285791499999999</v>
      </c>
      <c r="D433" s="67">
        <v>-1.0638676999999999E-2</v>
      </c>
      <c r="E433" s="68">
        <f t="shared" si="24"/>
        <v>-1.4290373096409103E-2</v>
      </c>
      <c r="F433" s="68">
        <f t="shared" si="25"/>
        <v>9.1634437630703953E-3</v>
      </c>
      <c r="G433" s="68">
        <f t="shared" si="26"/>
        <v>-1.4252075597040929E-3</v>
      </c>
      <c r="H433" s="69">
        <f t="shared" si="27"/>
        <v>-2746.2313640573193</v>
      </c>
    </row>
    <row r="434" spans="1:8" x14ac:dyDescent="0.25">
      <c r="A434" s="3">
        <v>396</v>
      </c>
      <c r="B434" s="67">
        <v>-1.376387499</v>
      </c>
      <c r="C434" s="67">
        <v>-0.316197705</v>
      </c>
      <c r="D434" s="67">
        <v>0.36536374199999999</v>
      </c>
      <c r="E434" s="68">
        <f t="shared" si="24"/>
        <v>-2.5611144534198875E-2</v>
      </c>
      <c r="F434" s="68">
        <f t="shared" si="25"/>
        <v>-1.1332767667950059E-2</v>
      </c>
      <c r="G434" s="68">
        <f t="shared" si="26"/>
        <v>1.1305529179515461E-3</v>
      </c>
      <c r="H434" s="69">
        <f t="shared" si="27"/>
        <v>-33763.480069935438</v>
      </c>
    </row>
    <row r="435" spans="1:8" x14ac:dyDescent="0.25">
      <c r="A435" s="3">
        <v>397</v>
      </c>
      <c r="B435" s="67">
        <v>0.61296538</v>
      </c>
      <c r="C435" s="67">
        <v>-0.140987897</v>
      </c>
      <c r="D435" s="67">
        <v>1.5317788910000001</v>
      </c>
      <c r="E435" s="68">
        <f t="shared" si="24"/>
        <v>1.3475900034653146E-2</v>
      </c>
      <c r="F435" s="68">
        <f t="shared" si="25"/>
        <v>3.0999217571377161E-3</v>
      </c>
      <c r="G435" s="68">
        <f t="shared" si="26"/>
        <v>3.2277453550138592E-2</v>
      </c>
      <c r="H435" s="70">
        <f t="shared" si="27"/>
        <v>15148.312499515359</v>
      </c>
    </row>
    <row r="436" spans="1:8" x14ac:dyDescent="0.25">
      <c r="A436" s="3">
        <v>398</v>
      </c>
      <c r="B436" s="67">
        <v>1.007510771</v>
      </c>
      <c r="C436" s="67">
        <v>-0.25665411599999999</v>
      </c>
      <c r="D436" s="67">
        <v>0.75012181200000005</v>
      </c>
      <c r="E436" s="68">
        <f t="shared" si="24"/>
        <v>2.1227975317648799E-2</v>
      </c>
      <c r="F436" s="68">
        <f t="shared" si="25"/>
        <v>3.2303292136738339E-3</v>
      </c>
      <c r="G436" s="68">
        <f t="shared" si="26"/>
        <v>1.6160153359448794E-2</v>
      </c>
      <c r="H436" s="70">
        <f t="shared" si="27"/>
        <v>21760.350253284854</v>
      </c>
    </row>
    <row r="437" spans="1:8" x14ac:dyDescent="0.25">
      <c r="A437" s="3">
        <v>399</v>
      </c>
      <c r="B437" s="67">
        <v>1.933793485</v>
      </c>
      <c r="C437" s="67">
        <v>1.9604846010000001</v>
      </c>
      <c r="D437" s="67">
        <v>-1.2279998809999999</v>
      </c>
      <c r="E437" s="68">
        <f t="shared" si="24"/>
        <v>3.9427689459704346E-2</v>
      </c>
      <c r="F437" s="68">
        <f t="shared" si="25"/>
        <v>4.8738793600958612E-2</v>
      </c>
      <c r="G437" s="68">
        <f t="shared" si="26"/>
        <v>-1.4495464973516016E-2</v>
      </c>
      <c r="H437" s="70">
        <f t="shared" si="27"/>
        <v>84400.191820128355</v>
      </c>
    </row>
    <row r="438" spans="1:8" x14ac:dyDescent="0.25">
      <c r="A438" s="3">
        <v>400</v>
      </c>
      <c r="B438" s="67">
        <v>-0.92653311100000002</v>
      </c>
      <c r="C438" s="67">
        <v>1.484918787</v>
      </c>
      <c r="D438" s="67">
        <v>-1.058281051</v>
      </c>
      <c r="E438" s="68">
        <f t="shared" si="24"/>
        <v>-1.6772351427724756E-2</v>
      </c>
      <c r="F438" s="68">
        <f t="shared" si="25"/>
        <v>2.3925115956529731E-2</v>
      </c>
      <c r="G438" s="68">
        <f t="shared" si="26"/>
        <v>-2.0682310080365009E-2</v>
      </c>
      <c r="H438" s="70">
        <f t="shared" si="27"/>
        <v>10272.193922310153</v>
      </c>
    </row>
    <row r="439" spans="1:8" x14ac:dyDescent="0.25">
      <c r="A439" s="3">
        <v>401</v>
      </c>
      <c r="B439" s="67">
        <v>-1.3225411330000001</v>
      </c>
      <c r="C439" s="67">
        <v>-0.48619413099999997</v>
      </c>
      <c r="D439" s="67">
        <v>0.42022670899999998</v>
      </c>
      <c r="E439" s="68">
        <f t="shared" si="24"/>
        <v>-2.4553164660476981E-2</v>
      </c>
      <c r="F439" s="68">
        <f t="shared" si="25"/>
        <v>-1.4115911276857959E-2</v>
      </c>
      <c r="G439" s="68">
        <f t="shared" si="26"/>
        <v>1.7527732832645748E-3</v>
      </c>
      <c r="H439" s="69">
        <f t="shared" si="27"/>
        <v>-35744.654457425917</v>
      </c>
    </row>
    <row r="440" spans="1:8" x14ac:dyDescent="0.25">
      <c r="A440" s="3">
        <v>402</v>
      </c>
      <c r="B440" s="67">
        <v>-0.102396707</v>
      </c>
      <c r="C440" s="67">
        <v>-0.65056362000000001</v>
      </c>
      <c r="D440" s="67">
        <v>-0.67421246199999996</v>
      </c>
      <c r="E440" s="68">
        <f t="shared" si="24"/>
        <v>-5.7962026674834291E-4</v>
      </c>
      <c r="F440" s="68">
        <f t="shared" si="25"/>
        <v>-1.0201115456712465E-2</v>
      </c>
      <c r="G440" s="68">
        <f t="shared" si="26"/>
        <v>-1.8988773845679371E-2</v>
      </c>
      <c r="H440" s="69">
        <f t="shared" si="27"/>
        <v>-11322.000113132002</v>
      </c>
    </row>
    <row r="441" spans="1:8" x14ac:dyDescent="0.25">
      <c r="A441" s="3">
        <v>403</v>
      </c>
      <c r="B441" s="67">
        <v>-0.71233706399999996</v>
      </c>
      <c r="C441" s="67">
        <v>-0.87950962899999996</v>
      </c>
      <c r="D441" s="67">
        <v>2.2816328769999998</v>
      </c>
      <c r="E441" s="68">
        <f t="shared" si="24"/>
        <v>-1.256380174107013E-2</v>
      </c>
      <c r="F441" s="68">
        <f t="shared" si="25"/>
        <v>-1.7808862208580922E-2</v>
      </c>
      <c r="G441" s="68">
        <f t="shared" si="26"/>
        <v>4.1640454456648039E-2</v>
      </c>
      <c r="H441" s="69">
        <f t="shared" si="27"/>
        <v>-28857.103264613885</v>
      </c>
    </row>
    <row r="442" spans="1:8" x14ac:dyDescent="0.25">
      <c r="A442" s="3">
        <v>404</v>
      </c>
      <c r="B442" s="67">
        <v>0.29751107100000002</v>
      </c>
      <c r="C442" s="67">
        <v>0.88675905399999999</v>
      </c>
      <c r="D442" s="67">
        <v>-0.48907746800000002</v>
      </c>
      <c r="E442" s="68">
        <f t="shared" si="24"/>
        <v>7.2778158408033844E-3</v>
      </c>
      <c r="F442" s="68">
        <f t="shared" si="25"/>
        <v>1.9982996615990435E-2</v>
      </c>
      <c r="G442" s="68">
        <f t="shared" si="26"/>
        <v>-7.6007205749064723E-3</v>
      </c>
      <c r="H442" s="70">
        <f t="shared" si="27"/>
        <v>26957.382005103886</v>
      </c>
    </row>
    <row r="443" spans="1:8" x14ac:dyDescent="0.25">
      <c r="A443" s="3">
        <v>405</v>
      </c>
      <c r="B443" s="67">
        <v>-0.18595667699999999</v>
      </c>
      <c r="C443" s="67">
        <v>-0.713553981</v>
      </c>
      <c r="D443" s="67">
        <v>-2.6517083349999999</v>
      </c>
      <c r="E443" s="68">
        <f t="shared" si="24"/>
        <v>-2.2214166046628779E-3</v>
      </c>
      <c r="F443" s="68">
        <f t="shared" si="25"/>
        <v>-1.1817769433021543E-2</v>
      </c>
      <c r="G443" s="68">
        <f t="shared" si="26"/>
        <v>-6.1791256148985833E-2</v>
      </c>
      <c r="H443" s="69">
        <f t="shared" si="27"/>
        <v>-14885.105842928646</v>
      </c>
    </row>
    <row r="444" spans="1:8" x14ac:dyDescent="0.25">
      <c r="A444" s="3">
        <v>406</v>
      </c>
      <c r="B444" s="67">
        <v>-1.3780092770000001</v>
      </c>
      <c r="C444" s="67">
        <v>-1.8106186799999999</v>
      </c>
      <c r="D444" s="67">
        <v>-2.2497837779999998</v>
      </c>
      <c r="E444" s="68">
        <f t="shared" si="24"/>
        <v>-2.5643009423347476E-2</v>
      </c>
      <c r="F444" s="68">
        <f t="shared" si="25"/>
        <v>-3.8485235433745102E-2</v>
      </c>
      <c r="G444" s="68">
        <f t="shared" si="26"/>
        <v>-6.0982631859581665E-2</v>
      </c>
      <c r="H444" s="69">
        <f t="shared" si="27"/>
        <v>-62730.024853384661</v>
      </c>
    </row>
    <row r="445" spans="1:8" x14ac:dyDescent="0.25">
      <c r="A445" s="3">
        <v>407</v>
      </c>
      <c r="B445" s="67">
        <v>-1.1953589739999999</v>
      </c>
      <c r="C445" s="67">
        <v>1.3249556790000001</v>
      </c>
      <c r="D445" s="67">
        <v>-4.4436167999999998E-2</v>
      </c>
      <c r="E445" s="68">
        <f t="shared" si="24"/>
        <v>-2.2054274307904277E-2</v>
      </c>
      <c r="F445" s="68">
        <f t="shared" si="25"/>
        <v>1.9499407997886554E-2</v>
      </c>
      <c r="G445" s="68">
        <f t="shared" si="26"/>
        <v>-3.8572458401379831E-4</v>
      </c>
      <c r="H445" s="70">
        <f t="shared" si="27"/>
        <v>1356.7487402795277</v>
      </c>
    </row>
    <row r="446" spans="1:8" x14ac:dyDescent="0.25">
      <c r="A446" s="3">
        <v>408</v>
      </c>
      <c r="B446" s="67">
        <v>1.2905637619999999</v>
      </c>
      <c r="C446" s="67">
        <v>0.41098257700000002</v>
      </c>
      <c r="D446" s="67">
        <v>0.78255882600000004</v>
      </c>
      <c r="E446" s="68">
        <f t="shared" si="24"/>
        <v>2.6789434519459858E-2</v>
      </c>
      <c r="F446" s="68">
        <f t="shared" si="25"/>
        <v>1.6957414307297879E-2</v>
      </c>
      <c r="G446" s="68">
        <f t="shared" si="26"/>
        <v>2.0380102025563739E-2</v>
      </c>
      <c r="H446" s="70">
        <f t="shared" si="27"/>
        <v>40864.859560310702</v>
      </c>
    </row>
    <row r="447" spans="1:8" x14ac:dyDescent="0.25">
      <c r="A447" s="3">
        <v>409</v>
      </c>
      <c r="B447" s="67">
        <v>-0.90089699499999998</v>
      </c>
      <c r="C447" s="67">
        <v>0.52395095400000002</v>
      </c>
      <c r="D447" s="67">
        <v>0.72871423400000002</v>
      </c>
      <c r="E447" s="68">
        <f t="shared" si="24"/>
        <v>-1.6268649938038338E-2</v>
      </c>
      <c r="F447" s="68">
        <f t="shared" si="25"/>
        <v>6.6159541997151874E-3</v>
      </c>
      <c r="G447" s="68">
        <f t="shared" si="26"/>
        <v>1.3670165634367376E-2</v>
      </c>
      <c r="H447" s="69">
        <f t="shared" si="27"/>
        <v>-6928.8597785869424</v>
      </c>
    </row>
    <row r="448" spans="1:8" x14ac:dyDescent="0.25">
      <c r="A448" s="3">
        <v>410</v>
      </c>
      <c r="B448" s="67">
        <v>-0.57664729199999998</v>
      </c>
      <c r="C448" s="67">
        <v>0.55954037099999998</v>
      </c>
      <c r="D448" s="67">
        <v>0.56618775899999996</v>
      </c>
      <c r="E448" s="68">
        <f t="shared" si="24"/>
        <v>-9.8977527853074815E-3</v>
      </c>
      <c r="F448" s="68">
        <f t="shared" si="25"/>
        <v>9.0960892429158488E-3</v>
      </c>
      <c r="G448" s="68">
        <f t="shared" si="26"/>
        <v>1.1230113399422715E-2</v>
      </c>
      <c r="H448" s="70">
        <f t="shared" si="27"/>
        <v>1093.4776337830044</v>
      </c>
    </row>
    <row r="449" spans="1:8" x14ac:dyDescent="0.25">
      <c r="A449" s="3">
        <v>411</v>
      </c>
      <c r="B449" s="67">
        <v>-0.54955262100000002</v>
      </c>
      <c r="C449" s="67">
        <v>-1.122768432</v>
      </c>
      <c r="D449" s="67">
        <v>-1.184128332</v>
      </c>
      <c r="E449" s="68">
        <f t="shared" si="24"/>
        <v>-9.3653934316026023E-3</v>
      </c>
      <c r="F449" s="68">
        <f t="shared" si="25"/>
        <v>-2.1306601803608407E-2</v>
      </c>
      <c r="G449" s="68">
        <f t="shared" si="26"/>
        <v>-3.307221370200239E-2</v>
      </c>
      <c r="H449" s="69">
        <f t="shared" si="27"/>
        <v>-30574.709978883544</v>
      </c>
    </row>
    <row r="450" spans="1:8" x14ac:dyDescent="0.25">
      <c r="A450" s="3">
        <v>412</v>
      </c>
      <c r="B450" s="67">
        <v>8.6505542000000005E-2</v>
      </c>
      <c r="C450" s="67">
        <v>0.32700986900000001</v>
      </c>
      <c r="D450" s="67">
        <v>-0.79252582999999999</v>
      </c>
      <c r="E450" s="68">
        <f t="shared" si="24"/>
        <v>3.1319538354446057E-3</v>
      </c>
      <c r="F450" s="68">
        <f t="shared" si="25"/>
        <v>8.6229298201351452E-3</v>
      </c>
      <c r="G450" s="68">
        <f t="shared" si="26"/>
        <v>-1.6977580813334753E-2</v>
      </c>
      <c r="H450" s="70">
        <f t="shared" si="27"/>
        <v>11474.234417617014</v>
      </c>
    </row>
    <row r="451" spans="1:8" x14ac:dyDescent="0.25">
      <c r="A451" s="3">
        <v>413</v>
      </c>
      <c r="B451" s="67">
        <v>2.6585340999999998E-2</v>
      </c>
      <c r="C451" s="67">
        <v>0.57053703600000005</v>
      </c>
      <c r="D451" s="67">
        <v>0.618190715</v>
      </c>
      <c r="E451" s="68">
        <f t="shared" si="24"/>
        <v>1.9546345213172448E-3</v>
      </c>
      <c r="F451" s="68">
        <f t="shared" si="25"/>
        <v>1.270726936514246E-2</v>
      </c>
      <c r="G451" s="68">
        <f t="shared" si="26"/>
        <v>1.4045968629948145E-2</v>
      </c>
      <c r="H451" s="70">
        <f t="shared" si="27"/>
        <v>15055.67127149009</v>
      </c>
    </row>
    <row r="452" spans="1:8" x14ac:dyDescent="0.25">
      <c r="A452" s="3">
        <v>414</v>
      </c>
      <c r="B452" s="67">
        <v>1.5518801200000001</v>
      </c>
      <c r="C452" s="67">
        <v>1.276980832</v>
      </c>
      <c r="D452" s="67">
        <v>-1.001291433</v>
      </c>
      <c r="E452" s="68">
        <f t="shared" si="24"/>
        <v>3.1923809742447178E-2</v>
      </c>
      <c r="F452" s="68">
        <f t="shared" si="25"/>
        <v>3.4164430792050643E-2</v>
      </c>
      <c r="G452" s="68">
        <f t="shared" si="26"/>
        <v>-1.3507340361174264E-2</v>
      </c>
      <c r="H452" s="70">
        <f t="shared" si="27"/>
        <v>62804.131496009788</v>
      </c>
    </row>
    <row r="453" spans="1:8" x14ac:dyDescent="0.25">
      <c r="A453" s="3">
        <v>415</v>
      </c>
      <c r="B453" s="67">
        <v>1.6835862100000001</v>
      </c>
      <c r="C453" s="67">
        <v>-0.53097650500000004</v>
      </c>
      <c r="D453" s="67">
        <v>1.0448728119999999</v>
      </c>
      <c r="E453" s="68">
        <f t="shared" si="24"/>
        <v>3.451158683527096E-2</v>
      </c>
      <c r="F453" s="68">
        <f t="shared" si="25"/>
        <v>2.0711810598476568E-3</v>
      </c>
      <c r="G453" s="68">
        <f t="shared" si="26"/>
        <v>2.3196054161391526E-2</v>
      </c>
      <c r="H453" s="70">
        <f t="shared" si="27"/>
        <v>32033.5185086331</v>
      </c>
    </row>
    <row r="454" spans="1:8" x14ac:dyDescent="0.25">
      <c r="A454" s="3">
        <v>416</v>
      </c>
      <c r="B454" s="67">
        <v>6.7986625999999994E-2</v>
      </c>
      <c r="C454" s="67">
        <v>-0.41214937800000001</v>
      </c>
      <c r="D454" s="67">
        <v>-1.8076968600000001</v>
      </c>
      <c r="E454" s="68">
        <f t="shared" si="24"/>
        <v>2.7680919471391539E-3</v>
      </c>
      <c r="F454" s="68">
        <f t="shared" si="25"/>
        <v>-4.9072124639258571E-3</v>
      </c>
      <c r="G454" s="68">
        <f t="shared" si="26"/>
        <v>-4.1792998946265238E-2</v>
      </c>
      <c r="H454" s="69">
        <f t="shared" si="27"/>
        <v>-3190.9516032313122</v>
      </c>
    </row>
    <row r="455" spans="1:8" x14ac:dyDescent="0.25">
      <c r="A455" s="3">
        <v>417</v>
      </c>
      <c r="B455" s="67">
        <v>-0.17156451</v>
      </c>
      <c r="C455" s="67">
        <v>-1.5593832350000001</v>
      </c>
      <c r="D455" s="67">
        <v>0.96729923600000001</v>
      </c>
      <c r="E455" s="68">
        <f t="shared" si="24"/>
        <v>-1.9386375769148497E-3</v>
      </c>
      <c r="F455" s="68">
        <f t="shared" si="25"/>
        <v>-2.7099246947719972E-2</v>
      </c>
      <c r="G455" s="68">
        <f t="shared" si="26"/>
        <v>1.2204800659377504E-2</v>
      </c>
      <c r="H455" s="69">
        <f t="shared" si="27"/>
        <v>-29728.986958654525</v>
      </c>
    </row>
    <row r="456" spans="1:8" x14ac:dyDescent="0.25">
      <c r="A456" s="3">
        <v>418</v>
      </c>
      <c r="B456" s="67">
        <v>1.5167926570000001</v>
      </c>
      <c r="C456" s="67">
        <v>-0.79691098900000001</v>
      </c>
      <c r="D456" s="67">
        <v>0.30197074299999999</v>
      </c>
      <c r="E456" s="68">
        <f t="shared" si="24"/>
        <v>3.123440705046307E-2</v>
      </c>
      <c r="F456" s="68">
        <f t="shared" si="25"/>
        <v>-3.7022732504357592E-3</v>
      </c>
      <c r="G456" s="68">
        <f t="shared" si="26"/>
        <v>5.7467968801263947E-3</v>
      </c>
      <c r="H456" s="70">
        <f t="shared" si="27"/>
        <v>23020.477313589505</v>
      </c>
    </row>
    <row r="457" spans="1:8" x14ac:dyDescent="0.25">
      <c r="A457" s="3">
        <v>419</v>
      </c>
      <c r="B457" s="67">
        <v>-0.72539152200000001</v>
      </c>
      <c r="C457" s="67">
        <v>-0.62848473000000005</v>
      </c>
      <c r="D457" s="67">
        <v>0.77449470399999998</v>
      </c>
      <c r="E457" s="68">
        <f t="shared" si="24"/>
        <v>-1.2820297301538369E-2</v>
      </c>
      <c r="F457" s="68">
        <f t="shared" si="25"/>
        <v>-1.3323302025061316E-2</v>
      </c>
      <c r="G457" s="68">
        <f t="shared" si="26"/>
        <v>1.0388718387959819E-2</v>
      </c>
      <c r="H457" s="69">
        <f t="shared" si="27"/>
        <v>-24753.925850580683</v>
      </c>
    </row>
    <row r="458" spans="1:8" x14ac:dyDescent="0.25">
      <c r="A458" s="3">
        <v>420</v>
      </c>
      <c r="B458" s="67">
        <v>-3.8538261999999997E-2</v>
      </c>
      <c r="C458" s="67">
        <v>1.739648042</v>
      </c>
      <c r="D458" s="67">
        <v>-0.48223247899999999</v>
      </c>
      <c r="E458" s="68">
        <f t="shared" si="24"/>
        <v>6.7507813903036672E-4</v>
      </c>
      <c r="F458" s="68">
        <f t="shared" si="25"/>
        <v>3.3573640781032442E-2</v>
      </c>
      <c r="G458" s="68">
        <f t="shared" si="26"/>
        <v>-4.8673598909299409E-3</v>
      </c>
      <c r="H458" s="70">
        <f t="shared" si="27"/>
        <v>35462.515021678642</v>
      </c>
    </row>
    <row r="459" spans="1:8" x14ac:dyDescent="0.25">
      <c r="A459" s="3">
        <v>421</v>
      </c>
      <c r="B459" s="67">
        <v>0.99933633200000005</v>
      </c>
      <c r="C459" s="67">
        <v>9.7413413000000004E-2</v>
      </c>
      <c r="D459" s="67">
        <v>0.79577801000000004</v>
      </c>
      <c r="E459" s="68">
        <f t="shared" si="24"/>
        <v>2.1067362957272108E-2</v>
      </c>
      <c r="F459" s="68">
        <f t="shared" si="25"/>
        <v>9.6150593634472745E-3</v>
      </c>
      <c r="G459" s="68">
        <f t="shared" si="26"/>
        <v>1.8571945583766181E-2</v>
      </c>
      <c r="H459" s="70">
        <f t="shared" si="27"/>
        <v>28293.007175730745</v>
      </c>
    </row>
    <row r="460" spans="1:8" x14ac:dyDescent="0.25">
      <c r="A460" s="3">
        <v>422</v>
      </c>
      <c r="B460" s="67">
        <v>-0.44715765699999999</v>
      </c>
      <c r="C460" s="67">
        <v>-4.9558838000000001E-2</v>
      </c>
      <c r="D460" s="67">
        <v>-0.115498879</v>
      </c>
      <c r="E460" s="68">
        <f t="shared" si="24"/>
        <v>-7.3535248668330031E-3</v>
      </c>
      <c r="F460" s="68">
        <f t="shared" si="25"/>
        <v>-1.2347322933662203E-3</v>
      </c>
      <c r="G460" s="68">
        <f t="shared" si="26"/>
        <v>-5.5074633924483843E-3</v>
      </c>
      <c r="H460" s="69">
        <f t="shared" si="27"/>
        <v>-7657.3669556000314</v>
      </c>
    </row>
    <row r="461" spans="1:8" x14ac:dyDescent="0.25">
      <c r="A461" s="3">
        <v>423</v>
      </c>
      <c r="B461" s="67">
        <v>-0.83605711500000002</v>
      </c>
      <c r="C461" s="67">
        <v>0.662081535</v>
      </c>
      <c r="D461" s="67">
        <v>0.65024900600000002</v>
      </c>
      <c r="E461" s="68">
        <f t="shared" si="24"/>
        <v>-1.4994668179370665E-2</v>
      </c>
      <c r="F461" s="68">
        <f t="shared" si="25"/>
        <v>9.4915191604840153E-3</v>
      </c>
      <c r="G461" s="68">
        <f t="shared" si="26"/>
        <v>1.2737940274699421E-2</v>
      </c>
      <c r="H461" s="69">
        <f t="shared" si="27"/>
        <v>-2853.3115122538734</v>
      </c>
    </row>
    <row r="462" spans="1:8" x14ac:dyDescent="0.25">
      <c r="A462" s="3">
        <v>424</v>
      </c>
      <c r="B462" s="67">
        <v>0.59355469500000002</v>
      </c>
      <c r="C462" s="67">
        <v>1.5369656540000001</v>
      </c>
      <c r="D462" s="67">
        <v>1.4493448010000001</v>
      </c>
      <c r="E462" s="68">
        <f t="shared" si="24"/>
        <v>1.3094516561808283E-2</v>
      </c>
      <c r="F462" s="68">
        <f t="shared" si="25"/>
        <v>3.3466963046634698E-2</v>
      </c>
      <c r="G462" s="68">
        <f t="shared" si="26"/>
        <v>3.7366606132269477E-2</v>
      </c>
      <c r="H462" s="70">
        <f t="shared" si="27"/>
        <v>46476.940891392886</v>
      </c>
    </row>
    <row r="463" spans="1:8" x14ac:dyDescent="0.25">
      <c r="A463" s="3">
        <v>425</v>
      </c>
      <c r="B463" s="67">
        <v>-0.37494469000000002</v>
      </c>
      <c r="C463" s="67">
        <v>0.37305231799999999</v>
      </c>
      <c r="D463" s="67">
        <v>-0.62360068899999999</v>
      </c>
      <c r="E463" s="68">
        <f t="shared" si="24"/>
        <v>-5.9346758082401974E-3</v>
      </c>
      <c r="F463" s="68">
        <f t="shared" si="25"/>
        <v>6.8495745551186444E-3</v>
      </c>
      <c r="G463" s="68">
        <f t="shared" si="26"/>
        <v>-1.4441686134957821E-2</v>
      </c>
      <c r="H463" s="70">
        <f t="shared" si="27"/>
        <v>1874.57230140205</v>
      </c>
    </row>
    <row r="464" spans="1:8" x14ac:dyDescent="0.25">
      <c r="A464" s="3">
        <v>426</v>
      </c>
      <c r="B464" s="67">
        <v>2.3355316000000001E-2</v>
      </c>
      <c r="C464" s="67">
        <v>-0.59974944900000005</v>
      </c>
      <c r="D464" s="67">
        <v>1.6200703089999999</v>
      </c>
      <c r="E464" s="68">
        <f t="shared" si="24"/>
        <v>1.8911706017350283E-3</v>
      </c>
      <c r="F464" s="68">
        <f t="shared" si="25"/>
        <v>-8.5670109769614023E-3</v>
      </c>
      <c r="G464" s="68">
        <f t="shared" si="26"/>
        <v>3.0658011666658932E-2</v>
      </c>
      <c r="H464" s="69">
        <f t="shared" si="27"/>
        <v>-6953.7657087785656</v>
      </c>
    </row>
    <row r="465" spans="1:8" x14ac:dyDescent="0.25">
      <c r="A465" s="3">
        <v>427</v>
      </c>
      <c r="B465" s="67">
        <v>0.36369815</v>
      </c>
      <c r="C465" s="67">
        <v>-0.21802912799999999</v>
      </c>
      <c r="D465" s="67">
        <v>1.1936185720000001</v>
      </c>
      <c r="E465" s="68">
        <f t="shared" si="24"/>
        <v>8.5782675274119358E-3</v>
      </c>
      <c r="F465" s="68">
        <f t="shared" si="25"/>
        <v>2.9094041139698283E-4</v>
      </c>
      <c r="G465" s="68">
        <f t="shared" si="26"/>
        <v>2.4039493912314486E-2</v>
      </c>
      <c r="H465" s="70">
        <f t="shared" si="27"/>
        <v>7930.6895945639317</v>
      </c>
    </row>
    <row r="466" spans="1:8" x14ac:dyDescent="0.25">
      <c r="A466" s="3">
        <v>428</v>
      </c>
      <c r="B466" s="67">
        <v>-2.1706154099999999</v>
      </c>
      <c r="C466" s="67">
        <v>-2.0141025950000002</v>
      </c>
      <c r="D466" s="67">
        <v>0.79583865499999995</v>
      </c>
      <c r="E466" s="68">
        <f t="shared" si="24"/>
        <v>-4.1216230028476956E-2</v>
      </c>
      <c r="F466" s="68">
        <f t="shared" si="25"/>
        <v>-4.66635372863934E-2</v>
      </c>
      <c r="G466" s="68">
        <f t="shared" si="26"/>
        <v>1.1703890345360725E-3</v>
      </c>
      <c r="H466" s="69">
        <f t="shared" si="27"/>
        <v>-83922.673772944079</v>
      </c>
    </row>
    <row r="467" spans="1:8" x14ac:dyDescent="0.25">
      <c r="A467" s="3">
        <v>429</v>
      </c>
      <c r="B467" s="67">
        <v>6.0468448000000001E-2</v>
      </c>
      <c r="C467" s="67">
        <v>0.25044630000000001</v>
      </c>
      <c r="D467" s="67">
        <v>-1.326396103</v>
      </c>
      <c r="E467" s="68">
        <f t="shared" si="24"/>
        <v>2.6203738818000974E-3</v>
      </c>
      <c r="F467" s="68">
        <f t="shared" si="25"/>
        <v>7.0850522179920425E-3</v>
      </c>
      <c r="G467" s="68">
        <f t="shared" si="26"/>
        <v>-2.8787787341214212E-2</v>
      </c>
      <c r="H467" s="70">
        <f t="shared" si="27"/>
        <v>9304.6861297690994</v>
      </c>
    </row>
    <row r="468" spans="1:8" x14ac:dyDescent="0.25">
      <c r="A468" s="3">
        <v>430</v>
      </c>
      <c r="B468" s="67">
        <v>-2.3233711000000001E-2</v>
      </c>
      <c r="C468" s="67">
        <v>2.0035094099999999</v>
      </c>
      <c r="D468" s="67">
        <v>0.82419962000000002</v>
      </c>
      <c r="E468" s="68">
        <f t="shared" si="24"/>
        <v>9.7578379731657998E-4</v>
      </c>
      <c r="F468" s="68">
        <f t="shared" si="25"/>
        <v>3.8452728860347341E-2</v>
      </c>
      <c r="G468" s="68">
        <f t="shared" si="26"/>
        <v>2.4215191815521408E-2</v>
      </c>
      <c r="H468" s="70">
        <f t="shared" si="27"/>
        <v>41118.228447360714</v>
      </c>
    </row>
    <row r="469" spans="1:8" x14ac:dyDescent="0.25">
      <c r="A469" s="3">
        <v>431</v>
      </c>
      <c r="B469" s="67">
        <v>0.16970654499999999</v>
      </c>
      <c r="C469" s="67">
        <v>-0.43905390999999999</v>
      </c>
      <c r="D469" s="67">
        <v>-0.39457285199999997</v>
      </c>
      <c r="E469" s="68">
        <f t="shared" si="24"/>
        <v>4.7666971465805032E-3</v>
      </c>
      <c r="F469" s="68">
        <f t="shared" si="25"/>
        <v>-4.8206276131920137E-3</v>
      </c>
      <c r="G469" s="68">
        <f t="shared" si="26"/>
        <v>-1.1386787486947582E-2</v>
      </c>
      <c r="H469" s="69">
        <f t="shared" si="27"/>
        <v>-1050.3530693952755</v>
      </c>
    </row>
    <row r="470" spans="1:8" x14ac:dyDescent="0.25">
      <c r="A470" s="3">
        <v>432</v>
      </c>
      <c r="B470" s="67">
        <v>-2.1291978889999998</v>
      </c>
      <c r="C470" s="67">
        <v>0.25764042100000001</v>
      </c>
      <c r="D470" s="67">
        <v>0.84548310800000004</v>
      </c>
      <c r="E470" s="68">
        <f t="shared" si="24"/>
        <v>-4.0402453595774809E-2</v>
      </c>
      <c r="F470" s="68">
        <f t="shared" si="25"/>
        <v>-5.1674468212270716E-3</v>
      </c>
      <c r="G470" s="68">
        <f t="shared" si="26"/>
        <v>1.1696885044738928E-2</v>
      </c>
      <c r="H470" s="69">
        <f t="shared" si="27"/>
        <v>-39927.405734696484</v>
      </c>
    </row>
    <row r="471" spans="1:8" x14ac:dyDescent="0.25">
      <c r="A471" s="3">
        <v>433</v>
      </c>
      <c r="B471" s="67">
        <v>-1.5756193270000001</v>
      </c>
      <c r="C471" s="67">
        <v>-0.66141689199999998</v>
      </c>
      <c r="D471" s="67">
        <v>-1.1574646319999999</v>
      </c>
      <c r="E471" s="68">
        <f t="shared" si="24"/>
        <v>-2.9525675446625231E-2</v>
      </c>
      <c r="F471" s="68">
        <f t="shared" si="25"/>
        <v>-1.8729724212613184E-2</v>
      </c>
      <c r="G471" s="68">
        <f t="shared" si="26"/>
        <v>-3.3422699863583746E-2</v>
      </c>
      <c r="H471" s="69">
        <f t="shared" si="27"/>
        <v>-45201.451855874337</v>
      </c>
    </row>
    <row r="472" spans="1:8" x14ac:dyDescent="0.25">
      <c r="A472" s="3">
        <v>434</v>
      </c>
      <c r="B472" s="67">
        <v>-0.965351195</v>
      </c>
      <c r="C472" s="67">
        <v>5.3481626999999997E-2</v>
      </c>
      <c r="D472" s="67">
        <v>-2.0844021549999998</v>
      </c>
      <c r="E472" s="68">
        <f t="shared" si="24"/>
        <v>-1.7535053809691371E-2</v>
      </c>
      <c r="F472" s="68">
        <f t="shared" si="25"/>
        <v>-2.2937267424081973E-3</v>
      </c>
      <c r="G472" s="68">
        <f t="shared" si="26"/>
        <v>-4.8637207812958182E-2</v>
      </c>
      <c r="H472" s="69">
        <f t="shared" si="27"/>
        <v>-17973.772597116891</v>
      </c>
    </row>
    <row r="473" spans="1:8" x14ac:dyDescent="0.25">
      <c r="A473" s="3">
        <v>435</v>
      </c>
      <c r="B473" s="67">
        <v>0.61427043800000003</v>
      </c>
      <c r="C473" s="67">
        <v>0.75385506999999996</v>
      </c>
      <c r="D473" s="67">
        <v>-0.25110258800000002</v>
      </c>
      <c r="E473" s="68">
        <f t="shared" si="24"/>
        <v>1.350154197115894E-2</v>
      </c>
      <c r="F473" s="68">
        <f t="shared" si="25"/>
        <v>1.936041167160173E-2</v>
      </c>
      <c r="G473" s="68">
        <f t="shared" si="26"/>
        <v>-2.1851218369392167E-3</v>
      </c>
      <c r="H473" s="70">
        <f t="shared" si="27"/>
        <v>31711.262888182257</v>
      </c>
    </row>
    <row r="474" spans="1:8" x14ac:dyDescent="0.25">
      <c r="A474" s="3">
        <v>436</v>
      </c>
      <c r="B474" s="67">
        <v>-2.4807085099999999</v>
      </c>
      <c r="C474" s="67">
        <v>-0.99641862599999997</v>
      </c>
      <c r="D474" s="67">
        <v>1.232901934</v>
      </c>
      <c r="E474" s="68">
        <f t="shared" si="24"/>
        <v>-4.730897654325629E-2</v>
      </c>
      <c r="F474" s="68">
        <f t="shared" si="25"/>
        <v>-2.9932918117369988E-2</v>
      </c>
      <c r="G474" s="68">
        <f t="shared" si="26"/>
        <v>1.3858992168464142E-2</v>
      </c>
      <c r="H474" s="69">
        <f t="shared" si="27"/>
        <v>-71602.653210443561</v>
      </c>
    </row>
    <row r="475" spans="1:8" x14ac:dyDescent="0.25">
      <c r="A475" s="3">
        <v>437</v>
      </c>
      <c r="B475" s="67">
        <v>-2.7779942809999998</v>
      </c>
      <c r="C475" s="67">
        <v>-0.34752341199999998</v>
      </c>
      <c r="D475" s="67">
        <v>-1.1800007779999999</v>
      </c>
      <c r="E475" s="68">
        <f t="shared" si="24"/>
        <v>-5.3150083117874482E-2</v>
      </c>
      <c r="F475" s="68">
        <f t="shared" si="25"/>
        <v>-1.9828211717320094E-2</v>
      </c>
      <c r="G475" s="68">
        <f t="shared" si="26"/>
        <v>-3.5917419435271387E-2</v>
      </c>
      <c r="H475" s="69">
        <f t="shared" si="27"/>
        <v>-66649.797755565785</v>
      </c>
    </row>
    <row r="476" spans="1:8" x14ac:dyDescent="0.25">
      <c r="A476" s="3">
        <v>438</v>
      </c>
      <c r="B476" s="67">
        <v>0.80457030200000001</v>
      </c>
      <c r="C476" s="67">
        <v>-0.67511395200000002</v>
      </c>
      <c r="D476" s="67">
        <v>0.403954021</v>
      </c>
      <c r="E476" s="68">
        <f t="shared" si="24"/>
        <v>1.7240576580922852E-2</v>
      </c>
      <c r="F476" s="68">
        <f t="shared" si="25"/>
        <v>-5.517876898484356E-3</v>
      </c>
      <c r="G476" s="68">
        <f t="shared" si="26"/>
        <v>6.4729080890545965E-3</v>
      </c>
      <c r="H476" s="70">
        <f t="shared" si="27"/>
        <v>9127.6978211086025</v>
      </c>
    </row>
    <row r="477" spans="1:8" x14ac:dyDescent="0.25">
      <c r="A477" s="3">
        <v>439</v>
      </c>
      <c r="B477" s="67">
        <v>0.56546041899999999</v>
      </c>
      <c r="C477" s="67">
        <v>1.83622584</v>
      </c>
      <c r="D477" s="67">
        <v>-0.20294194400000001</v>
      </c>
      <c r="E477" s="68">
        <f t="shared" si="24"/>
        <v>1.2542516848869655E-2</v>
      </c>
      <c r="F477" s="68">
        <f t="shared" si="25"/>
        <v>3.8743570564378854E-2</v>
      </c>
      <c r="G477" s="68">
        <f t="shared" si="26"/>
        <v>3.166246680543874E-3</v>
      </c>
      <c r="H477" s="70">
        <f t="shared" si="27"/>
        <v>51117.150403707084</v>
      </c>
    </row>
    <row r="478" spans="1:8" x14ac:dyDescent="0.25">
      <c r="A478" s="3">
        <v>440</v>
      </c>
      <c r="B478" s="67">
        <v>0.37604437000000002</v>
      </c>
      <c r="C478" s="67">
        <v>-1.4850554789999999</v>
      </c>
      <c r="D478" s="67">
        <v>1.1904135629999999</v>
      </c>
      <c r="E478" s="68">
        <f t="shared" si="24"/>
        <v>8.8208475424967573E-3</v>
      </c>
      <c r="F478" s="68">
        <f t="shared" si="25"/>
        <v>-2.2652346445177361E-2</v>
      </c>
      <c r="G478" s="68">
        <f t="shared" si="26"/>
        <v>1.8789818231400836E-2</v>
      </c>
      <c r="H478" s="69">
        <f t="shared" si="27"/>
        <v>-15793.696561604873</v>
      </c>
    </row>
    <row r="479" spans="1:8" x14ac:dyDescent="0.25">
      <c r="A479" s="3">
        <v>441</v>
      </c>
      <c r="B479" s="67">
        <v>-0.76050884799999996</v>
      </c>
      <c r="C479" s="67">
        <v>-0.560754164</v>
      </c>
      <c r="D479" s="67">
        <v>-2.2247795000000001E-2</v>
      </c>
      <c r="E479" s="68">
        <f t="shared" si="24"/>
        <v>-1.3510286745337245E-2</v>
      </c>
      <c r="F479" s="68">
        <f t="shared" si="25"/>
        <v>-1.229170410849657E-2</v>
      </c>
      <c r="G479" s="68">
        <f t="shared" si="26"/>
        <v>-6.4773566140163882E-3</v>
      </c>
      <c r="H479" s="69">
        <f t="shared" si="27"/>
        <v>-24458.522043763423</v>
      </c>
    </row>
    <row r="480" spans="1:8" x14ac:dyDescent="0.25">
      <c r="A480" s="3">
        <v>442</v>
      </c>
      <c r="B480" s="67">
        <v>-1.5628843450000001</v>
      </c>
      <c r="C480" s="67">
        <v>0.22877002900000001</v>
      </c>
      <c r="D480" s="67">
        <v>0.96746627299999999</v>
      </c>
      <c r="E480" s="68">
        <f t="shared" si="24"/>
        <v>-2.9275456989019184E-2</v>
      </c>
      <c r="F480" s="68">
        <f t="shared" si="25"/>
        <v>-2.4891630908175483E-3</v>
      </c>
      <c r="G480" s="68">
        <f t="shared" si="26"/>
        <v>1.5744589944661751E-2</v>
      </c>
      <c r="H480" s="69">
        <f t="shared" si="27"/>
        <v>-27545.042483086094</v>
      </c>
    </row>
    <row r="481" spans="1:8" x14ac:dyDescent="0.25">
      <c r="A481" s="3">
        <v>443</v>
      </c>
      <c r="B481" s="67">
        <v>0.29293382299999998</v>
      </c>
      <c r="C481" s="67">
        <v>-1.588897564</v>
      </c>
      <c r="D481" s="67">
        <v>-0.123809294</v>
      </c>
      <c r="E481" s="68">
        <f t="shared" si="24"/>
        <v>7.1878815217254009E-3</v>
      </c>
      <c r="F481" s="68">
        <f t="shared" si="25"/>
        <v>-2.500845217250228E-2</v>
      </c>
      <c r="G481" s="68">
        <f t="shared" si="26"/>
        <v>-9.9871544232409334E-3</v>
      </c>
      <c r="H481" s="69">
        <f t="shared" si="27"/>
        <v>-19964.162564331189</v>
      </c>
    </row>
    <row r="482" spans="1:8" x14ac:dyDescent="0.25">
      <c r="A482" s="3">
        <v>444</v>
      </c>
      <c r="B482" s="67">
        <v>0.74202890300000002</v>
      </c>
      <c r="C482" s="67">
        <v>-1.8779887660000001</v>
      </c>
      <c r="D482" s="67">
        <v>-1.0747660139999999</v>
      </c>
      <c r="E482" s="68">
        <f t="shared" si="24"/>
        <v>1.601175565331539E-2</v>
      </c>
      <c r="F482" s="68">
        <f t="shared" si="25"/>
        <v>-2.7719484013958771E-2</v>
      </c>
      <c r="G482" s="68">
        <f t="shared" si="26"/>
        <v>-3.0290944049085628E-2</v>
      </c>
      <c r="H482" s="69">
        <f t="shared" si="27"/>
        <v>-15435.082619507575</v>
      </c>
    </row>
    <row r="483" spans="1:8" x14ac:dyDescent="0.25">
      <c r="A483" s="3">
        <v>445</v>
      </c>
      <c r="B483" s="67">
        <v>0.87654360399999998</v>
      </c>
      <c r="C483" s="67">
        <v>0.27009543400000002</v>
      </c>
      <c r="D483" s="67">
        <v>0.411971582</v>
      </c>
      <c r="E483" s="68">
        <f t="shared" si="24"/>
        <v>1.8654716672778043E-2</v>
      </c>
      <c r="F483" s="68">
        <f t="shared" si="25"/>
        <v>1.2057070989808204E-2</v>
      </c>
      <c r="G483" s="68">
        <f t="shared" si="26"/>
        <v>1.0732709868310734E-2</v>
      </c>
      <c r="H483" s="70">
        <f t="shared" si="27"/>
        <v>28676.918521164782</v>
      </c>
    </row>
    <row r="484" spans="1:8" x14ac:dyDescent="0.25">
      <c r="A484" s="3">
        <v>446</v>
      </c>
      <c r="B484" s="67">
        <v>1.859494808</v>
      </c>
      <c r="C484" s="67">
        <v>0.46855277899999997</v>
      </c>
      <c r="D484" s="67">
        <v>0.65788800999999997</v>
      </c>
      <c r="E484" s="68">
        <f t="shared" si="24"/>
        <v>3.7967860120243183E-2</v>
      </c>
      <c r="F484" s="68">
        <f t="shared" si="25"/>
        <v>2.1220528645100583E-2</v>
      </c>
      <c r="G484" s="68">
        <f t="shared" si="26"/>
        <v>1.9512995186603172E-2</v>
      </c>
      <c r="H484" s="70">
        <f t="shared" si="27"/>
        <v>54886.388124138546</v>
      </c>
    </row>
    <row r="485" spans="1:8" x14ac:dyDescent="0.25">
      <c r="A485" s="3">
        <v>447</v>
      </c>
      <c r="B485" s="67">
        <v>2.7107455269999998</v>
      </c>
      <c r="C485" s="67">
        <v>-0.21380455800000001</v>
      </c>
      <c r="D485" s="67">
        <v>-0.79788276400000002</v>
      </c>
      <c r="E485" s="68">
        <f t="shared" si="24"/>
        <v>5.4693336602598487E-2</v>
      </c>
      <c r="F485" s="68">
        <f t="shared" si="25"/>
        <v>1.3640871259125921E-2</v>
      </c>
      <c r="G485" s="68">
        <f t="shared" si="26"/>
        <v>-1.2106006208933789E-2</v>
      </c>
      <c r="H485" s="70">
        <f t="shared" si="27"/>
        <v>61006.771554439525</v>
      </c>
    </row>
    <row r="486" spans="1:8" x14ac:dyDescent="0.25">
      <c r="A486" s="3">
        <v>448</v>
      </c>
      <c r="B486" s="67">
        <v>0.42779639800000002</v>
      </c>
      <c r="C486" s="67">
        <v>0.43899102899999998</v>
      </c>
      <c r="D486" s="67">
        <v>-0.52671539199999995</v>
      </c>
      <c r="E486" s="68">
        <f t="shared" si="24"/>
        <v>9.8376776113688561E-3</v>
      </c>
      <c r="F486" s="68">
        <f t="shared" si="25"/>
        <v>1.2586947050032916E-2</v>
      </c>
      <c r="G486" s="68">
        <f t="shared" si="26"/>
        <v>-9.8910126934981073E-3</v>
      </c>
      <c r="H486" s="70">
        <f t="shared" si="27"/>
        <v>21433.057536402586</v>
      </c>
    </row>
    <row r="487" spans="1:8" x14ac:dyDescent="0.25">
      <c r="A487" s="3">
        <v>449</v>
      </c>
      <c r="B487" s="67">
        <v>-1.0323970200000001</v>
      </c>
      <c r="C487" s="67">
        <v>2.3098444219999998</v>
      </c>
      <c r="D487" s="67">
        <v>0.32684347000000002</v>
      </c>
      <c r="E487" s="68">
        <f t="shared" ref="E487:E538" si="28">$B$14*B487+$B$26</f>
        <v>-1.8852378240964605E-2</v>
      </c>
      <c r="F487" s="68">
        <f t="shared" ref="F487:F538" si="29">$B$15*B487+$C$15*C487+$B$27</f>
        <v>3.8309621343880516E-2</v>
      </c>
      <c r="G487" s="68">
        <f t="shared" ref="G487:G538" si="30">$B$16*B487+$C$16*C487+$D$16*D487+$B$28</f>
        <v>1.2060377841256286E-2</v>
      </c>
      <c r="H487" s="70">
        <f t="shared" ref="H487:H550" si="31">E487*$B$32+F487*$B$33+G487*$B$34</f>
        <v>23816.084564526125</v>
      </c>
    </row>
    <row r="488" spans="1:8" x14ac:dyDescent="0.25">
      <c r="A488" s="3">
        <v>450</v>
      </c>
      <c r="B488" s="67">
        <v>-0.73228538099999996</v>
      </c>
      <c r="C488" s="67">
        <v>0.91593030200000003</v>
      </c>
      <c r="D488" s="67">
        <v>-0.109145152</v>
      </c>
      <c r="E488" s="68">
        <f t="shared" si="28"/>
        <v>-1.2955748672096533E-2</v>
      </c>
      <c r="F488" s="68">
        <f t="shared" si="29"/>
        <v>1.468905380632889E-2</v>
      </c>
      <c r="G488" s="68">
        <f t="shared" si="30"/>
        <v>-2.1812097219409072E-3</v>
      </c>
      <c r="H488" s="70">
        <f t="shared" si="31"/>
        <v>4140.9448178883531</v>
      </c>
    </row>
    <row r="489" spans="1:8" x14ac:dyDescent="0.25">
      <c r="A489" s="3">
        <v>451</v>
      </c>
      <c r="B489" s="67">
        <v>-0.25288144600000001</v>
      </c>
      <c r="C489" s="67">
        <v>0.56227287199999998</v>
      </c>
      <c r="D489" s="67">
        <v>-1.2918822679999999</v>
      </c>
      <c r="E489" s="68">
        <f t="shared" si="28"/>
        <v>-3.5363625130921924E-3</v>
      </c>
      <c r="F489" s="68">
        <f t="shared" si="29"/>
        <v>1.0976704961995244E-2</v>
      </c>
      <c r="G489" s="68">
        <f t="shared" si="30"/>
        <v>-2.7626986696142372E-2</v>
      </c>
      <c r="H489" s="70">
        <f t="shared" si="31"/>
        <v>8082.5526678416409</v>
      </c>
    </row>
    <row r="490" spans="1:8" x14ac:dyDescent="0.25">
      <c r="A490" s="3">
        <v>452</v>
      </c>
      <c r="B490" s="67">
        <v>0.35262720400000003</v>
      </c>
      <c r="C490" s="67">
        <v>1.9129548080000001</v>
      </c>
      <c r="D490" s="67">
        <v>0.46617766199999999</v>
      </c>
      <c r="E490" s="68">
        <f t="shared" si="28"/>
        <v>8.3607442492196447E-3</v>
      </c>
      <c r="F490" s="68">
        <f t="shared" si="29"/>
        <v>3.8933574907145677E-2</v>
      </c>
      <c r="G490" s="68">
        <f t="shared" si="30"/>
        <v>1.7214653949524948E-2</v>
      </c>
      <c r="H490" s="70">
        <f t="shared" si="31"/>
        <v>47880.271390891932</v>
      </c>
    </row>
    <row r="491" spans="1:8" x14ac:dyDescent="0.25">
      <c r="A491" s="3">
        <v>453</v>
      </c>
      <c r="B491" s="67">
        <v>-0.37621210399999999</v>
      </c>
      <c r="C491" s="67">
        <v>-0.50710527999999999</v>
      </c>
      <c r="D491" s="67">
        <v>-0.41033997300000002</v>
      </c>
      <c r="E491" s="68">
        <f t="shared" si="28"/>
        <v>-5.9595781109076295E-3</v>
      </c>
      <c r="F491" s="68">
        <f t="shared" si="29"/>
        <v>-9.1439708572212119E-3</v>
      </c>
      <c r="G491" s="68">
        <f t="shared" si="30"/>
        <v>-1.3504603965620657E-2</v>
      </c>
      <c r="H491" s="69">
        <f t="shared" si="31"/>
        <v>-14779.3449322632</v>
      </c>
    </row>
    <row r="492" spans="1:8" x14ac:dyDescent="0.25">
      <c r="A492" s="3">
        <v>454</v>
      </c>
      <c r="B492" s="67">
        <v>-0.253962678</v>
      </c>
      <c r="C492" s="67">
        <v>-0.377806533</v>
      </c>
      <c r="D492" s="67">
        <v>0.91631144099999995</v>
      </c>
      <c r="E492" s="68">
        <f t="shared" si="28"/>
        <v>-3.5576066894368701E-3</v>
      </c>
      <c r="F492" s="68">
        <f t="shared" si="29"/>
        <v>-6.1041524526081262E-3</v>
      </c>
      <c r="G492" s="68">
        <f t="shared" si="30"/>
        <v>1.5750652872885375E-2</v>
      </c>
      <c r="H492" s="69">
        <f t="shared" si="31"/>
        <v>-9232.0703704893567</v>
      </c>
    </row>
    <row r="493" spans="1:8" x14ac:dyDescent="0.25">
      <c r="A493" s="3">
        <v>455</v>
      </c>
      <c r="B493" s="67">
        <v>-1.7332091030000001</v>
      </c>
      <c r="C493" s="67">
        <v>0.86200005000000002</v>
      </c>
      <c r="D493" s="67">
        <v>-0.379686525</v>
      </c>
      <c r="E493" s="68">
        <f t="shared" si="28"/>
        <v>-3.2622018314263548E-2</v>
      </c>
      <c r="F493" s="68">
        <f t="shared" si="29"/>
        <v>8.049014578345684E-3</v>
      </c>
      <c r="G493" s="68">
        <f t="shared" si="30"/>
        <v>-1.0942934785431103E-2</v>
      </c>
      <c r="H493" s="69">
        <f t="shared" si="31"/>
        <v>-19745.555934118911</v>
      </c>
    </row>
    <row r="494" spans="1:8" x14ac:dyDescent="0.25">
      <c r="A494" s="3">
        <v>456</v>
      </c>
      <c r="B494" s="67">
        <v>0.37694778600000001</v>
      </c>
      <c r="C494" s="67">
        <v>-1.12698791</v>
      </c>
      <c r="D494" s="67">
        <v>1.3286310670000001</v>
      </c>
      <c r="E494" s="68">
        <f t="shared" si="28"/>
        <v>8.8385979686926193E-3</v>
      </c>
      <c r="F494" s="68">
        <f t="shared" si="29"/>
        <v>-1.6143625454953323E-2</v>
      </c>
      <c r="G494" s="68">
        <f t="shared" si="30"/>
        <v>2.3223608327482551E-2</v>
      </c>
      <c r="H494" s="69">
        <f t="shared" si="31"/>
        <v>-8956.6406077991469</v>
      </c>
    </row>
    <row r="495" spans="1:8" x14ac:dyDescent="0.25">
      <c r="A495" s="3">
        <v>457</v>
      </c>
      <c r="B495" s="67">
        <v>1.2456349600000001</v>
      </c>
      <c r="C495" s="67">
        <v>0.95959052600000005</v>
      </c>
      <c r="D495" s="67">
        <v>-1.514754776</v>
      </c>
      <c r="E495" s="68">
        <f t="shared" si="28"/>
        <v>2.5906668015468926E-2</v>
      </c>
      <c r="F495" s="68">
        <f t="shared" si="29"/>
        <v>2.6667742717651183E-2</v>
      </c>
      <c r="G495" s="68">
        <f t="shared" si="30"/>
        <v>-2.6642213992987492E-2</v>
      </c>
      <c r="H495" s="70">
        <f t="shared" si="31"/>
        <v>49693.611914867965</v>
      </c>
    </row>
    <row r="496" spans="1:8" x14ac:dyDescent="0.25">
      <c r="A496" s="3">
        <v>458</v>
      </c>
      <c r="B496" s="67">
        <v>0.82912107099999999</v>
      </c>
      <c r="C496" s="67">
        <v>0.40485508799999997</v>
      </c>
      <c r="D496" s="67">
        <v>-1.6052712469999999</v>
      </c>
      <c r="E496" s="68">
        <f t="shared" si="28"/>
        <v>1.7722953042249794E-2</v>
      </c>
      <c r="F496" s="68">
        <f t="shared" si="29"/>
        <v>1.4236534636525782E-2</v>
      </c>
      <c r="G496" s="68">
        <f t="shared" si="30"/>
        <v>-3.2007013090608244E-2</v>
      </c>
      <c r="H496" s="70">
        <f t="shared" si="31"/>
        <v>29674.189950286458</v>
      </c>
    </row>
    <row r="497" spans="1:8" x14ac:dyDescent="0.25">
      <c r="A497" s="3">
        <v>459</v>
      </c>
      <c r="B497" s="67">
        <v>-2.4297384000000002E-2</v>
      </c>
      <c r="C497" s="67">
        <v>0.36453448900000002</v>
      </c>
      <c r="D497" s="67">
        <v>0.55607527400000001</v>
      </c>
      <c r="E497" s="68">
        <f t="shared" si="28"/>
        <v>9.5488462231521783E-4</v>
      </c>
      <c r="F497" s="68">
        <f t="shared" si="29"/>
        <v>8.6778716300320614E-3</v>
      </c>
      <c r="G497" s="68">
        <f t="shared" si="30"/>
        <v>1.1729112019196691E-2</v>
      </c>
      <c r="H497" s="70">
        <f t="shared" si="31"/>
        <v>9979.0315632852853</v>
      </c>
    </row>
    <row r="498" spans="1:8" x14ac:dyDescent="0.25">
      <c r="A498" s="3">
        <v>460</v>
      </c>
      <c r="B498" s="67">
        <v>0.177261367</v>
      </c>
      <c r="C498" s="67">
        <v>0.29123141699999999</v>
      </c>
      <c r="D498" s="67">
        <v>1.473611392</v>
      </c>
      <c r="E498" s="68">
        <f t="shared" si="28"/>
        <v>4.9151351976376807E-3</v>
      </c>
      <c r="F498" s="68">
        <f t="shared" si="29"/>
        <v>8.4863319292580591E-3</v>
      </c>
      <c r="G498" s="68">
        <f t="shared" si="30"/>
        <v>3.161436760288331E-2</v>
      </c>
      <c r="H498" s="70">
        <f t="shared" si="31"/>
        <v>13398.052767042902</v>
      </c>
    </row>
    <row r="499" spans="1:8" x14ac:dyDescent="0.25">
      <c r="A499" s="3">
        <v>461</v>
      </c>
      <c r="B499" s="67">
        <v>1.2260339099999999</v>
      </c>
      <c r="C499" s="67">
        <v>-2.8670549539999999</v>
      </c>
      <c r="D499" s="67">
        <v>-0.31743855500000001</v>
      </c>
      <c r="E499" s="68">
        <f t="shared" si="28"/>
        <v>2.5521544228214336E-2</v>
      </c>
      <c r="F499" s="68">
        <f t="shared" si="29"/>
        <v>-4.2946796221929942E-2</v>
      </c>
      <c r="G499" s="68">
        <f t="shared" si="30"/>
        <v>-1.6826760179095072E-2</v>
      </c>
      <c r="H499" s="69">
        <f t="shared" si="31"/>
        <v>-22969.628172551853</v>
      </c>
    </row>
    <row r="500" spans="1:8" x14ac:dyDescent="0.25">
      <c r="A500" s="3">
        <v>462</v>
      </c>
      <c r="B500" s="67">
        <v>-0.164651028</v>
      </c>
      <c r="C500" s="67">
        <v>-1.752098573</v>
      </c>
      <c r="D500" s="67">
        <v>9.4183058E-2</v>
      </c>
      <c r="E500" s="68">
        <f t="shared" si="28"/>
        <v>-1.8028006512931906E-3</v>
      </c>
      <c r="F500" s="68">
        <f t="shared" si="29"/>
        <v>-3.0560454492011484E-2</v>
      </c>
      <c r="G500" s="68">
        <f t="shared" si="30"/>
        <v>-7.251955685754357E-3</v>
      </c>
      <c r="H500" s="69">
        <f t="shared" si="31"/>
        <v>-33428.496342709303</v>
      </c>
    </row>
    <row r="501" spans="1:8" x14ac:dyDescent="0.25">
      <c r="A501" s="3">
        <v>463</v>
      </c>
      <c r="B501" s="67">
        <v>1.248757772</v>
      </c>
      <c r="C501" s="67">
        <v>-1.0865678599999999</v>
      </c>
      <c r="D501" s="67">
        <v>0.33640093900000001</v>
      </c>
      <c r="E501" s="68">
        <f t="shared" si="28"/>
        <v>2.5968025401135721E-2</v>
      </c>
      <c r="F501" s="68">
        <f t="shared" si="29"/>
        <v>-1.0479146936032097E-2</v>
      </c>
      <c r="G501" s="68">
        <f t="shared" si="30"/>
        <v>4.5546659657007341E-3</v>
      </c>
      <c r="H501" s="70">
        <f t="shared" si="31"/>
        <v>11434.988409932863</v>
      </c>
    </row>
    <row r="502" spans="1:8" x14ac:dyDescent="0.25">
      <c r="A502" s="3">
        <v>464</v>
      </c>
      <c r="B502" s="67">
        <v>-0.915823477</v>
      </c>
      <c r="C502" s="67">
        <v>-0.67191202400000005</v>
      </c>
      <c r="D502" s="67">
        <v>1.477393634</v>
      </c>
      <c r="E502" s="68">
        <f t="shared" si="28"/>
        <v>-1.6561927251153068E-2</v>
      </c>
      <c r="F502" s="68">
        <f t="shared" si="29"/>
        <v>-1.5189020862514405E-2</v>
      </c>
      <c r="G502" s="68">
        <f t="shared" si="30"/>
        <v>2.4726927478003587E-2</v>
      </c>
      <c r="H502" s="69">
        <f t="shared" si="31"/>
        <v>-29749.003270313711</v>
      </c>
    </row>
    <row r="503" spans="1:8" x14ac:dyDescent="0.25">
      <c r="A503" s="3">
        <v>465</v>
      </c>
      <c r="B503" s="67">
        <v>-0.54255781999999997</v>
      </c>
      <c r="C503" s="67">
        <v>0.462212489</v>
      </c>
      <c r="D503" s="67">
        <v>-1.8712181160000001</v>
      </c>
      <c r="E503" s="68">
        <f t="shared" si="28"/>
        <v>-9.2279587404910449E-3</v>
      </c>
      <c r="F503" s="68">
        <f t="shared" si="29"/>
        <v>7.521099943283165E-3</v>
      </c>
      <c r="G503" s="68">
        <f t="shared" si="30"/>
        <v>-4.1231313986956682E-2</v>
      </c>
      <c r="H503" s="69">
        <f t="shared" si="31"/>
        <v>-548.56364294085381</v>
      </c>
    </row>
    <row r="504" spans="1:8" x14ac:dyDescent="0.25">
      <c r="A504" s="3">
        <v>466</v>
      </c>
      <c r="B504" s="67">
        <v>1.862317561</v>
      </c>
      <c r="C504" s="67">
        <v>0.60265244600000001</v>
      </c>
      <c r="D504" s="67">
        <v>-0.18249984299999999</v>
      </c>
      <c r="E504" s="68">
        <f t="shared" si="28"/>
        <v>3.8023321910598505E-2</v>
      </c>
      <c r="F504" s="68">
        <f t="shared" si="29"/>
        <v>2.3672155828296609E-2</v>
      </c>
      <c r="G504" s="68">
        <f t="shared" si="30"/>
        <v>2.0904592069234144E-3</v>
      </c>
      <c r="H504" s="70">
        <f t="shared" si="31"/>
        <v>57293.192491054622</v>
      </c>
    </row>
    <row r="505" spans="1:8" x14ac:dyDescent="0.25">
      <c r="A505" s="3">
        <v>467</v>
      </c>
      <c r="B505" s="67">
        <v>0.57554651000000001</v>
      </c>
      <c r="C505" s="67">
        <v>-1.4098194289999999</v>
      </c>
      <c r="D505" s="67">
        <v>1.182530742</v>
      </c>
      <c r="E505" s="68">
        <f t="shared" si="28"/>
        <v>1.2740689577601759E-2</v>
      </c>
      <c r="F505" s="68">
        <f t="shared" si="29"/>
        <v>-2.0157588052744917E-2</v>
      </c>
      <c r="G505" s="68">
        <f t="shared" si="30"/>
        <v>1.9479103087312558E-2</v>
      </c>
      <c r="H505" s="69">
        <f t="shared" si="31"/>
        <v>-9825.5017202436029</v>
      </c>
    </row>
    <row r="506" spans="1:8" x14ac:dyDescent="0.25">
      <c r="A506" s="3">
        <v>468</v>
      </c>
      <c r="B506" s="67">
        <v>-0.323984775</v>
      </c>
      <c r="C506" s="67">
        <v>-0.20406951500000001</v>
      </c>
      <c r="D506" s="67">
        <v>-0.49165561499999999</v>
      </c>
      <c r="E506" s="68">
        <f t="shared" si="28"/>
        <v>-4.9334092708367486E-3</v>
      </c>
      <c r="F506" s="68">
        <f t="shared" si="29"/>
        <v>-3.3445463666832878E-3</v>
      </c>
      <c r="G506" s="68">
        <f t="shared" si="30"/>
        <v>-1.3853741317982225E-2</v>
      </c>
      <c r="H506" s="69">
        <f t="shared" si="31"/>
        <v>-7867.5146399958057</v>
      </c>
    </row>
    <row r="507" spans="1:8" x14ac:dyDescent="0.25">
      <c r="A507" s="3">
        <v>469</v>
      </c>
      <c r="B507" s="67">
        <v>-0.58065140299999995</v>
      </c>
      <c r="C507" s="67">
        <v>0.69467061200000002</v>
      </c>
      <c r="D507" s="67">
        <v>0.25590685000000002</v>
      </c>
      <c r="E507" s="68">
        <f t="shared" si="28"/>
        <v>-9.9764260396947597E-3</v>
      </c>
      <c r="F507" s="68">
        <f t="shared" si="29"/>
        <v>1.1527827032951245E-2</v>
      </c>
      <c r="G507" s="68">
        <f t="shared" si="30"/>
        <v>5.1360476347402373E-3</v>
      </c>
      <c r="H507" s="70">
        <f t="shared" si="31"/>
        <v>3489.2687285900001</v>
      </c>
    </row>
    <row r="508" spans="1:8" x14ac:dyDescent="0.25">
      <c r="A508" s="3">
        <v>470</v>
      </c>
      <c r="B508" s="67">
        <v>0.651748141</v>
      </c>
      <c r="C508" s="67">
        <v>-8.7946889999999996E-3</v>
      </c>
      <c r="D508" s="67">
        <v>0.51319981100000001</v>
      </c>
      <c r="E508" s="68">
        <f t="shared" si="28"/>
        <v>1.4237908386068478E-2</v>
      </c>
      <c r="F508" s="68">
        <f t="shared" si="29"/>
        <v>5.7202855158702114E-3</v>
      </c>
      <c r="G508" s="68">
        <f t="shared" si="30"/>
        <v>1.1133043204480799E-2</v>
      </c>
      <c r="H508" s="70">
        <f t="shared" si="31"/>
        <v>18296.153541654014</v>
      </c>
    </row>
    <row r="509" spans="1:8" x14ac:dyDescent="0.25">
      <c r="A509" s="3">
        <v>471</v>
      </c>
      <c r="B509" s="67">
        <v>-0.418848744</v>
      </c>
      <c r="C509" s="67">
        <v>2.229731841</v>
      </c>
      <c r="D509" s="67">
        <v>-1.567930416</v>
      </c>
      <c r="E509" s="68">
        <f t="shared" si="28"/>
        <v>-6.7973079403101586E-3</v>
      </c>
      <c r="F509" s="68">
        <f t="shared" si="29"/>
        <v>4.0324314231139503E-2</v>
      </c>
      <c r="G509" s="68">
        <f t="shared" si="30"/>
        <v>-2.7126676040069169E-2</v>
      </c>
      <c r="H509" s="70">
        <f t="shared" si="31"/>
        <v>35828.158050514234</v>
      </c>
    </row>
    <row r="510" spans="1:8" x14ac:dyDescent="0.25">
      <c r="A510" s="3">
        <v>472</v>
      </c>
      <c r="B510" s="67">
        <v>1.2609373239999999</v>
      </c>
      <c r="C510" s="67">
        <v>1.367907451</v>
      </c>
      <c r="D510" s="67">
        <v>-0.85215880600000005</v>
      </c>
      <c r="E510" s="68">
        <f t="shared" si="28"/>
        <v>2.620733070331617E-2</v>
      </c>
      <c r="F510" s="68">
        <f t="shared" si="29"/>
        <v>3.4170577083119713E-2</v>
      </c>
      <c r="G510" s="68">
        <f t="shared" si="30"/>
        <v>-1.0741611980980278E-2</v>
      </c>
      <c r="H510" s="70">
        <f t="shared" si="31"/>
        <v>57934.317497195254</v>
      </c>
    </row>
    <row r="511" spans="1:8" x14ac:dyDescent="0.25">
      <c r="A511" s="3">
        <v>473</v>
      </c>
      <c r="B511" s="67">
        <v>2.229273611</v>
      </c>
      <c r="C511" s="67">
        <v>0.99549028299999998</v>
      </c>
      <c r="D511" s="67">
        <v>0.971139007</v>
      </c>
      <c r="E511" s="68">
        <f t="shared" si="28"/>
        <v>4.5233318504249546E-2</v>
      </c>
      <c r="F511" s="68">
        <f t="shared" si="29"/>
        <v>3.2882540681435188E-2</v>
      </c>
      <c r="G511" s="68">
        <f t="shared" si="30"/>
        <v>2.9400911120568349E-2</v>
      </c>
      <c r="H511" s="70">
        <f t="shared" si="31"/>
        <v>73367.044794224756</v>
      </c>
    </row>
    <row r="512" spans="1:8" x14ac:dyDescent="0.25">
      <c r="A512" s="3">
        <v>474</v>
      </c>
      <c r="B512" s="67">
        <v>2.8022187E-2</v>
      </c>
      <c r="C512" s="67">
        <v>-0.217226158</v>
      </c>
      <c r="D512" s="67">
        <v>-0.20940882699999999</v>
      </c>
      <c r="E512" s="68">
        <f t="shared" si="28"/>
        <v>1.9828658442933916E-3</v>
      </c>
      <c r="F512" s="68">
        <f t="shared" si="29"/>
        <v>-1.5928152384420747E-3</v>
      </c>
      <c r="G512" s="68">
        <f t="shared" si="30"/>
        <v>-6.9010865473077172E-3</v>
      </c>
      <c r="H512" s="69">
        <f t="shared" si="31"/>
        <v>-31.545047095031094</v>
      </c>
    </row>
    <row r="513" spans="1:8" x14ac:dyDescent="0.25">
      <c r="A513" s="3">
        <v>475</v>
      </c>
      <c r="B513" s="67">
        <v>0.39053059600000001</v>
      </c>
      <c r="C513" s="67">
        <v>1.4011862749999999</v>
      </c>
      <c r="D513" s="67">
        <v>0.181314218</v>
      </c>
      <c r="E513" s="68">
        <f t="shared" si="28"/>
        <v>9.1054746527865563E-3</v>
      </c>
      <c r="F513" s="68">
        <f t="shared" si="29"/>
        <v>2.985263333552611E-2</v>
      </c>
      <c r="G513" s="68">
        <f t="shared" si="30"/>
        <v>9.1170254022789037E-3</v>
      </c>
      <c r="H513" s="70">
        <f t="shared" si="31"/>
        <v>38980.664895670263</v>
      </c>
    </row>
    <row r="514" spans="1:8" x14ac:dyDescent="0.25">
      <c r="A514" s="3">
        <v>476</v>
      </c>
      <c r="B514" s="67">
        <v>-0.91144362300000004</v>
      </c>
      <c r="C514" s="67">
        <v>0.82442706200000004</v>
      </c>
      <c r="D514" s="67">
        <v>0.92115074600000002</v>
      </c>
      <c r="E514" s="68">
        <f t="shared" si="28"/>
        <v>-1.6475871353121986E-2</v>
      </c>
      <c r="F514" s="68">
        <f t="shared" si="29"/>
        <v>1.2013883397396261E-2</v>
      </c>
      <c r="G514" s="68">
        <f t="shared" si="30"/>
        <v>1.8995597678341105E-2</v>
      </c>
      <c r="H514" s="69">
        <f t="shared" si="31"/>
        <v>-1430.9708725716107</v>
      </c>
    </row>
    <row r="515" spans="1:8" x14ac:dyDescent="0.25">
      <c r="A515" s="3">
        <v>477</v>
      </c>
      <c r="B515" s="67">
        <v>0.65465952800000005</v>
      </c>
      <c r="C515" s="67">
        <v>0.74549890699999999</v>
      </c>
      <c r="D515" s="67">
        <v>-0.27092812999999999</v>
      </c>
      <c r="E515" s="68">
        <f t="shared" si="28"/>
        <v>1.4295111667913267E-2</v>
      </c>
      <c r="F515" s="68">
        <f t="shared" si="29"/>
        <v>1.9437049400073216E-2</v>
      </c>
      <c r="G515" s="68">
        <f t="shared" si="30"/>
        <v>-2.5327326244753241E-3</v>
      </c>
      <c r="H515" s="70">
        <f t="shared" si="31"/>
        <v>32468.334669646996</v>
      </c>
    </row>
    <row r="516" spans="1:8" x14ac:dyDescent="0.25">
      <c r="A516" s="3">
        <v>478</v>
      </c>
      <c r="B516" s="67">
        <v>-0.928989167</v>
      </c>
      <c r="C516" s="67">
        <v>-0.86819343100000002</v>
      </c>
      <c r="D516" s="67">
        <v>-1.635463248</v>
      </c>
      <c r="E516" s="68">
        <f t="shared" si="28"/>
        <v>-1.6820608311331975E-2</v>
      </c>
      <c r="F516" s="68">
        <f t="shared" si="29"/>
        <v>-1.8828552473745829E-2</v>
      </c>
      <c r="G516" s="68">
        <f t="shared" si="30"/>
        <v>-4.2724656975169494E-2</v>
      </c>
      <c r="H516" s="69">
        <f t="shared" si="31"/>
        <v>-34501.514084128532</v>
      </c>
    </row>
    <row r="517" spans="1:8" x14ac:dyDescent="0.25">
      <c r="A517" s="3">
        <v>479</v>
      </c>
      <c r="B517" s="67">
        <v>0.236948612</v>
      </c>
      <c r="C517" s="67">
        <v>-8.3448782999999999E-2</v>
      </c>
      <c r="D517" s="67">
        <v>-0.43998770500000001</v>
      </c>
      <c r="E517" s="68">
        <f t="shared" si="28"/>
        <v>6.0878773642661227E-3</v>
      </c>
      <c r="F517" s="68">
        <f t="shared" si="29"/>
        <v>2.0185311823986314E-3</v>
      </c>
      <c r="G517" s="68">
        <f t="shared" si="30"/>
        <v>-1.0710097734223444E-2</v>
      </c>
      <c r="H517" s="70">
        <f t="shared" si="31"/>
        <v>7207.9463298813434</v>
      </c>
    </row>
    <row r="518" spans="1:8" x14ac:dyDescent="0.25">
      <c r="A518" s="3">
        <v>480</v>
      </c>
      <c r="B518" s="67">
        <v>-2.9556188240000001</v>
      </c>
      <c r="C518" s="67">
        <v>-1.24731747</v>
      </c>
      <c r="D518" s="67">
        <v>1.120840651</v>
      </c>
      <c r="E518" s="68">
        <f t="shared" si="28"/>
        <v>-5.6640071496534064E-2</v>
      </c>
      <c r="F518" s="68">
        <f t="shared" si="29"/>
        <v>-3.717576399231453E-2</v>
      </c>
      <c r="G518" s="68">
        <f t="shared" si="30"/>
        <v>9.1232752826728106E-3</v>
      </c>
      <c r="H518" s="69">
        <f t="shared" si="31"/>
        <v>-87200.981555909064</v>
      </c>
    </row>
    <row r="519" spans="1:8" x14ac:dyDescent="0.25">
      <c r="A519" s="3">
        <v>481</v>
      </c>
      <c r="B519" s="67">
        <v>-0.66462600000000005</v>
      </c>
      <c r="C519" s="67">
        <v>0.36059167800000003</v>
      </c>
      <c r="D519" s="67">
        <v>-1.39068543</v>
      </c>
      <c r="E519" s="68">
        <f t="shared" si="28"/>
        <v>-1.1626369018760562E-2</v>
      </c>
      <c r="F519" s="68">
        <f t="shared" si="29"/>
        <v>4.9850232568914837E-3</v>
      </c>
      <c r="G519" s="68">
        <f t="shared" si="30"/>
        <v>-3.1702836721698255E-2</v>
      </c>
      <c r="H519" s="69">
        <f t="shared" si="31"/>
        <v>-5141.2692224645907</v>
      </c>
    </row>
    <row r="520" spans="1:8" x14ac:dyDescent="0.25">
      <c r="A520" s="3">
        <v>482</v>
      </c>
      <c r="B520" s="67">
        <v>1.438705482</v>
      </c>
      <c r="C520" s="67">
        <v>-0.14402766</v>
      </c>
      <c r="D520" s="67">
        <v>0.29004039599999998</v>
      </c>
      <c r="E520" s="68">
        <f t="shared" si="28"/>
        <v>2.9700140846764193E-2</v>
      </c>
      <c r="F520" s="68">
        <f t="shared" si="29"/>
        <v>7.7144980821688101E-3</v>
      </c>
      <c r="G520" s="68">
        <f t="shared" si="30"/>
        <v>7.9641509538739448E-3</v>
      </c>
      <c r="H520" s="70">
        <f t="shared" si="31"/>
        <v>33608.266899428141</v>
      </c>
    </row>
    <row r="521" spans="1:8" x14ac:dyDescent="0.25">
      <c r="A521" s="3">
        <v>483</v>
      </c>
      <c r="B521" s="67">
        <v>2.3257797920000001</v>
      </c>
      <c r="C521" s="67">
        <v>1.5164401009999999</v>
      </c>
      <c r="D521" s="67">
        <v>-0.30656562100000001</v>
      </c>
      <c r="E521" s="68">
        <f t="shared" si="28"/>
        <v>4.7129483552560567E-2</v>
      </c>
      <c r="F521" s="68">
        <f t="shared" si="29"/>
        <v>4.2890365889325842E-2</v>
      </c>
      <c r="G521" s="68">
        <f t="shared" si="30"/>
        <v>4.4705950579037269E-3</v>
      </c>
      <c r="H521" s="70">
        <f t="shared" si="31"/>
        <v>85134.049782919406</v>
      </c>
    </row>
    <row r="522" spans="1:8" x14ac:dyDescent="0.25">
      <c r="A522" s="3">
        <v>484</v>
      </c>
      <c r="B522" s="67">
        <v>-0.59322018499999996</v>
      </c>
      <c r="C522" s="67">
        <v>-0.32554501200000002</v>
      </c>
      <c r="D522" s="67">
        <v>0.50989824800000005</v>
      </c>
      <c r="E522" s="68">
        <f t="shared" si="28"/>
        <v>-1.0223378979716711E-2</v>
      </c>
      <c r="F522" s="68">
        <f t="shared" si="29"/>
        <v>-7.0735166514457413E-3</v>
      </c>
      <c r="G522" s="68">
        <f t="shared" si="30"/>
        <v>6.3371342845586626E-3</v>
      </c>
      <c r="H522" s="69">
        <f t="shared" si="31"/>
        <v>-16066.006921880562</v>
      </c>
    </row>
    <row r="523" spans="1:8" x14ac:dyDescent="0.25">
      <c r="A523" s="3">
        <v>485</v>
      </c>
      <c r="B523" s="67">
        <v>-0.105224134</v>
      </c>
      <c r="C523" s="67">
        <v>-0.39524414499999999</v>
      </c>
      <c r="D523" s="67">
        <v>1.467181251</v>
      </c>
      <c r="E523" s="68">
        <f t="shared" si="28"/>
        <v>-6.3517389241767551E-4</v>
      </c>
      <c r="F523" s="68">
        <f t="shared" si="29"/>
        <v>-5.5797158432243175E-3</v>
      </c>
      <c r="G523" s="68">
        <f t="shared" si="30"/>
        <v>2.7874921971726779E-2</v>
      </c>
      <c r="H523" s="69">
        <f t="shared" si="31"/>
        <v>-6044.3159952766837</v>
      </c>
    </row>
    <row r="524" spans="1:8" x14ac:dyDescent="0.25">
      <c r="A524" s="3">
        <v>486</v>
      </c>
      <c r="B524" s="67">
        <v>-0.11420989199999999</v>
      </c>
      <c r="C524" s="67">
        <v>2.2995890929999998</v>
      </c>
      <c r="D524" s="67">
        <v>9.0742563999999998E-2</v>
      </c>
      <c r="E524" s="68">
        <f t="shared" si="28"/>
        <v>-8.1172714606037337E-4</v>
      </c>
      <c r="F524" s="68">
        <f t="shared" si="29"/>
        <v>4.3315954130477979E-2</v>
      </c>
      <c r="G524" s="68">
        <f t="shared" si="30"/>
        <v>9.4896294577437382E-3</v>
      </c>
      <c r="H524" s="70">
        <f t="shared" si="31"/>
        <v>44482.357411037214</v>
      </c>
    </row>
    <row r="525" spans="1:8" x14ac:dyDescent="0.25">
      <c r="A525" s="3">
        <v>487</v>
      </c>
      <c r="B525" s="67">
        <v>1.7853183939999999</v>
      </c>
      <c r="C525" s="67">
        <v>0.35731942300000002</v>
      </c>
      <c r="D525" s="67">
        <v>0.96296057300000004</v>
      </c>
      <c r="E525" s="68">
        <f t="shared" si="28"/>
        <v>3.6510433018907065E-2</v>
      </c>
      <c r="F525" s="68">
        <f t="shared" si="29"/>
        <v>1.8780699613369662E-2</v>
      </c>
      <c r="G525" s="68">
        <f t="shared" si="30"/>
        <v>2.5379111014441309E-2</v>
      </c>
      <c r="H525" s="70">
        <f t="shared" si="31"/>
        <v>51161.169359578656</v>
      </c>
    </row>
    <row r="526" spans="1:8" x14ac:dyDescent="0.25">
      <c r="A526" s="3">
        <v>488</v>
      </c>
      <c r="B526" s="67">
        <v>-0.72461105199999998</v>
      </c>
      <c r="C526" s="67">
        <v>-0.85375922299999996</v>
      </c>
      <c r="D526" s="67">
        <v>0.459705955</v>
      </c>
      <c r="E526" s="68">
        <f t="shared" si="28"/>
        <v>-1.2804962533133686E-2</v>
      </c>
      <c r="F526" s="68">
        <f t="shared" si="29"/>
        <v>-1.7410568163018069E-2</v>
      </c>
      <c r="G526" s="68">
        <f t="shared" si="30"/>
        <v>2.7279345276976803E-3</v>
      </c>
      <c r="H526" s="69">
        <f t="shared" si="31"/>
        <v>-29078.374977932235</v>
      </c>
    </row>
    <row r="527" spans="1:8" x14ac:dyDescent="0.25">
      <c r="A527" s="3">
        <v>489</v>
      </c>
      <c r="B527" s="67">
        <v>0.98855324200000005</v>
      </c>
      <c r="C527" s="67">
        <v>4.0256502E-2</v>
      </c>
      <c r="D527" s="67">
        <v>-1.2863933350000001</v>
      </c>
      <c r="E527" s="68">
        <f t="shared" si="28"/>
        <v>2.0855495508379979E-2</v>
      </c>
      <c r="F527" s="68">
        <f t="shared" si="29"/>
        <v>8.515932148415126E-3</v>
      </c>
      <c r="G527" s="68">
        <f t="shared" si="30"/>
        <v>-2.6246313397407999E-2</v>
      </c>
      <c r="H527" s="70">
        <f t="shared" si="31"/>
        <v>26473.594611358858</v>
      </c>
    </row>
    <row r="528" spans="1:8" x14ac:dyDescent="0.25">
      <c r="A528" s="3">
        <v>490</v>
      </c>
      <c r="B528" s="67">
        <v>-1.3602583660000001</v>
      </c>
      <c r="C528" s="67">
        <v>-1.4271364019999999</v>
      </c>
      <c r="D528" s="67">
        <v>-1.7676221130000001</v>
      </c>
      <c r="E528" s="68">
        <f t="shared" si="28"/>
        <v>-2.5294237389627904E-2</v>
      </c>
      <c r="F528" s="68">
        <f t="shared" si="29"/>
        <v>-3.1419627680839966E-2</v>
      </c>
      <c r="G528" s="68">
        <f t="shared" si="30"/>
        <v>-4.9038371223632186E-2</v>
      </c>
      <c r="H528" s="69">
        <f t="shared" si="31"/>
        <v>-54946.593640209583</v>
      </c>
    </row>
    <row r="529" spans="1:12" x14ac:dyDescent="0.25">
      <c r="A529" s="3">
        <v>491</v>
      </c>
      <c r="B529" s="67">
        <v>0.109485359</v>
      </c>
      <c r="C529" s="67">
        <v>1.1250439219999999</v>
      </c>
      <c r="D529" s="67">
        <v>-1.3415787E-2</v>
      </c>
      <c r="E529" s="68">
        <f t="shared" si="28"/>
        <v>3.5834640429823323E-3</v>
      </c>
      <c r="F529" s="68">
        <f t="shared" si="29"/>
        <v>2.3247647872441757E-2</v>
      </c>
      <c r="G529" s="68">
        <f t="shared" si="30"/>
        <v>3.0412962805615286E-3</v>
      </c>
      <c r="H529" s="70">
        <f t="shared" si="31"/>
        <v>27300.818657487704</v>
      </c>
    </row>
    <row r="530" spans="1:12" x14ac:dyDescent="0.25">
      <c r="A530" s="3">
        <v>492</v>
      </c>
      <c r="B530" s="67">
        <v>-2.2604147569999999</v>
      </c>
      <c r="C530" s="67">
        <v>-0.19076045999999999</v>
      </c>
      <c r="D530" s="67">
        <v>-0.162798997</v>
      </c>
      <c r="E530" s="68">
        <f t="shared" si="28"/>
        <v>-4.2980618395917929E-2</v>
      </c>
      <c r="F530" s="68">
        <f t="shared" si="29"/>
        <v>-1.4053857971802048E-2</v>
      </c>
      <c r="G530" s="68">
        <f t="shared" si="30"/>
        <v>-1.208410424252614E-2</v>
      </c>
      <c r="H530" s="69">
        <f t="shared" si="31"/>
        <v>-51649.557206095582</v>
      </c>
    </row>
    <row r="531" spans="1:12" x14ac:dyDescent="0.25">
      <c r="A531" s="3">
        <v>493</v>
      </c>
      <c r="B531" s="67">
        <v>2.0959987500000001</v>
      </c>
      <c r="C531" s="67">
        <v>-1.457137913</v>
      </c>
      <c r="D531" s="67">
        <v>-0.39067760299999998</v>
      </c>
      <c r="E531" s="68">
        <f t="shared" si="28"/>
        <v>4.2614718010186799E-2</v>
      </c>
      <c r="F531" s="68">
        <f t="shared" si="29"/>
        <v>-1.241846136869363E-2</v>
      </c>
      <c r="G531" s="68">
        <f t="shared" si="30"/>
        <v>-1.0199822446169467E-2</v>
      </c>
      <c r="H531" s="70">
        <f t="shared" si="31"/>
        <v>23542.896931350617</v>
      </c>
    </row>
    <row r="532" spans="1:12" x14ac:dyDescent="0.25">
      <c r="A532" s="3">
        <v>494</v>
      </c>
      <c r="B532" s="67">
        <v>1.7058526810000001</v>
      </c>
      <c r="C532" s="67">
        <v>0.449978341</v>
      </c>
      <c r="D532" s="67">
        <v>0.56331307399999997</v>
      </c>
      <c r="E532" s="68">
        <f t="shared" si="28"/>
        <v>3.494908113482708E-2</v>
      </c>
      <c r="F532" s="68">
        <f t="shared" si="29"/>
        <v>2.001427097418125E-2</v>
      </c>
      <c r="G532" s="68">
        <f t="shared" si="30"/>
        <v>1.699061858216518E-2</v>
      </c>
      <c r="H532" s="70">
        <f t="shared" si="31"/>
        <v>51012.227298267811</v>
      </c>
    </row>
    <row r="533" spans="1:12" x14ac:dyDescent="0.25">
      <c r="A533" s="3">
        <v>495</v>
      </c>
      <c r="B533" s="67">
        <v>0.114584437</v>
      </c>
      <c r="C533" s="67">
        <v>0.32994353900000001</v>
      </c>
      <c r="D533" s="67">
        <v>0.77760952999999999</v>
      </c>
      <c r="E533" s="68">
        <f t="shared" si="28"/>
        <v>3.6836513406458015E-3</v>
      </c>
      <c r="F533" s="68">
        <f t="shared" si="29"/>
        <v>8.8350082076777848E-3</v>
      </c>
      <c r="G533" s="68">
        <f t="shared" si="30"/>
        <v>1.6708715115031258E-2</v>
      </c>
      <c r="H533" s="70">
        <f t="shared" si="31"/>
        <v>12539.622620768629</v>
      </c>
    </row>
    <row r="534" spans="1:12" x14ac:dyDescent="0.25">
      <c r="A534" s="3">
        <v>496</v>
      </c>
      <c r="B534" s="67">
        <v>-0.80948631900000001</v>
      </c>
      <c r="C534" s="67">
        <v>0.87805857899999995</v>
      </c>
      <c r="D534" s="67">
        <v>-1.373003017</v>
      </c>
      <c r="E534" s="68">
        <f t="shared" si="28"/>
        <v>-1.4472601984657168E-2</v>
      </c>
      <c r="F534" s="68">
        <f t="shared" si="29"/>
        <v>1.3564593881519843E-2</v>
      </c>
      <c r="G534" s="68">
        <f t="shared" si="30"/>
        <v>-2.9592722313799794E-2</v>
      </c>
      <c r="H534" s="70">
        <f t="shared" si="31"/>
        <v>1366.8370265515869</v>
      </c>
    </row>
    <row r="535" spans="1:12" x14ac:dyDescent="0.25">
      <c r="A535" s="3">
        <v>497</v>
      </c>
      <c r="B535" s="67">
        <v>0.32836797299999998</v>
      </c>
      <c r="C535" s="67">
        <v>0.178740963</v>
      </c>
      <c r="D535" s="67">
        <v>-0.61629308800000004</v>
      </c>
      <c r="E535" s="68">
        <f t="shared" si="28"/>
        <v>7.8840959615715904E-3</v>
      </c>
      <c r="F535" s="68">
        <f t="shared" si="29"/>
        <v>7.2977076713350488E-3</v>
      </c>
      <c r="G535" s="68">
        <f t="shared" si="30"/>
        <v>-1.315219243518573E-2</v>
      </c>
      <c r="H535" s="70">
        <f t="shared" si="31"/>
        <v>14216.311376488062</v>
      </c>
    </row>
    <row r="536" spans="1:12" x14ac:dyDescent="0.25">
      <c r="A536" s="3">
        <v>498</v>
      </c>
      <c r="B536" s="67">
        <v>-2.2685275000000001E-2</v>
      </c>
      <c r="C536" s="67">
        <v>-0.62254015299999999</v>
      </c>
      <c r="D536" s="67">
        <v>-1.071701327</v>
      </c>
      <c r="E536" s="68">
        <f t="shared" si="28"/>
        <v>9.8655953378920546E-4</v>
      </c>
      <c r="F536" s="68">
        <f t="shared" si="29"/>
        <v>-9.2413327138130379E-3</v>
      </c>
      <c r="G536" s="68">
        <f t="shared" si="30"/>
        <v>-2.7159648835413747E-2</v>
      </c>
      <c r="H536" s="69">
        <f t="shared" si="31"/>
        <v>-9068.9630812970954</v>
      </c>
    </row>
    <row r="537" spans="1:12" x14ac:dyDescent="0.25">
      <c r="A537" s="3">
        <v>499</v>
      </c>
      <c r="B537" s="67">
        <v>-0.35361474199999998</v>
      </c>
      <c r="C537" s="67">
        <v>-1.1039886350000001</v>
      </c>
      <c r="D537" s="67">
        <v>0.32279746399999998</v>
      </c>
      <c r="E537" s="68">
        <f t="shared" si="28"/>
        <v>-5.5155824251967665E-3</v>
      </c>
      <c r="F537" s="68">
        <f t="shared" si="29"/>
        <v>-1.9857420047876672E-2</v>
      </c>
      <c r="G537" s="68">
        <f t="shared" si="30"/>
        <v>-2.1190071105060154E-4</v>
      </c>
      <c r="H537" s="69">
        <f t="shared" si="31"/>
        <v>-25400.191185278163</v>
      </c>
    </row>
    <row r="538" spans="1:12" x14ac:dyDescent="0.25">
      <c r="A538" s="3">
        <v>500</v>
      </c>
      <c r="B538" s="67">
        <v>-1.150085494</v>
      </c>
      <c r="C538" s="67">
        <v>0.71197702299999999</v>
      </c>
      <c r="D538" s="67">
        <v>-1.181479068</v>
      </c>
      <c r="E538" s="68">
        <f t="shared" si="28"/>
        <v>-2.1164735529124838E-2</v>
      </c>
      <c r="F538" s="68">
        <f t="shared" si="29"/>
        <v>8.6218581720785264E-3</v>
      </c>
      <c r="G538" s="68">
        <f t="shared" si="30"/>
        <v>-2.7114228378322763E-2</v>
      </c>
      <c r="H538" s="69">
        <f t="shared" si="31"/>
        <v>-9493.3866703346303</v>
      </c>
    </row>
    <row r="540" spans="1:12" x14ac:dyDescent="0.25">
      <c r="A540" s="77" t="s">
        <v>447</v>
      </c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</row>
    <row r="541" spans="1:12" x14ac:dyDescent="0.25">
      <c r="A541" s="1" t="s">
        <v>393</v>
      </c>
      <c r="B541" s="1" t="s">
        <v>394</v>
      </c>
      <c r="C541" s="1" t="s">
        <v>448</v>
      </c>
    </row>
    <row r="542" spans="1:12" x14ac:dyDescent="0.25">
      <c r="A542" s="44" t="s">
        <v>449</v>
      </c>
      <c r="B542" s="11">
        <v>5</v>
      </c>
      <c r="C542" s="75"/>
      <c r="D542" s="78"/>
      <c r="E542" s="78"/>
      <c r="F542" s="78"/>
      <c r="G542" s="78"/>
      <c r="H542" s="78"/>
    </row>
    <row r="543" spans="1:12" x14ac:dyDescent="0.25">
      <c r="A543" s="44" t="s">
        <v>450</v>
      </c>
      <c r="B543" s="49">
        <f>-SMALL($H$39:$H$538,6)</f>
        <v>73763.06849481682</v>
      </c>
      <c r="C543" s="75"/>
      <c r="D543" s="78"/>
      <c r="E543" s="78"/>
      <c r="F543" s="78"/>
      <c r="G543" s="78"/>
      <c r="H543" s="78"/>
    </row>
    <row r="544" spans="1:12" x14ac:dyDescent="0.25">
      <c r="A544" s="44" t="s">
        <v>451</v>
      </c>
      <c r="B544" s="49">
        <f>-(SMALL($H$39:$H$538,1)+SMALL($H$39:$H$538,2)+SMALL($H$39:$H$538,3)+SMALL($H$39:$H$538,4)+SMALL($H$39:$H$538,5))/5</f>
        <v>82463.528139506161</v>
      </c>
      <c r="C544" s="75"/>
      <c r="D544" s="78"/>
      <c r="E544" s="78"/>
      <c r="F544" s="78"/>
      <c r="G544" s="78"/>
      <c r="H544" s="78"/>
    </row>
    <row r="545" spans="1:11" x14ac:dyDescent="0.25">
      <c r="A545" s="44" t="s">
        <v>400</v>
      </c>
      <c r="B545" s="58">
        <f>B543/①基本設定!$G$8</f>
        <v>3.8620277050643977E-2</v>
      </c>
      <c r="C545" s="84" t="s">
        <v>502</v>
      </c>
      <c r="D545" s="78"/>
      <c r="E545" s="78"/>
      <c r="F545" s="78"/>
      <c r="G545" s="78"/>
      <c r="H545" s="78"/>
    </row>
    <row r="546" spans="1:11" x14ac:dyDescent="0.25">
      <c r="A546" s="44" t="s">
        <v>357</v>
      </c>
      <c r="B546" s="55">
        <f>B544/B543</f>
        <v>1.1179514331796094</v>
      </c>
      <c r="C546" s="84" t="s">
        <v>503</v>
      </c>
      <c r="D546" s="78"/>
      <c r="E546" s="78"/>
      <c r="F546" s="78"/>
      <c r="G546" s="78"/>
      <c r="H546" s="78"/>
    </row>
    <row r="547" spans="1:11" x14ac:dyDescent="0.25">
      <c r="A547" s="44" t="s">
        <v>452</v>
      </c>
      <c r="B547" s="11">
        <f>COUNTIF($H$39:$H$538,"&lt;"&amp;(-B543))</f>
        <v>5</v>
      </c>
      <c r="C547" s="75" t="s">
        <v>453</v>
      </c>
      <c r="D547" s="78"/>
      <c r="E547" s="78"/>
      <c r="F547" s="78"/>
      <c r="G547" s="78"/>
      <c r="H547" s="78"/>
    </row>
    <row r="549" spans="1:11" x14ac:dyDescent="0.25">
      <c r="A549" s="80" t="s">
        <v>454</v>
      </c>
      <c r="B549" s="78"/>
      <c r="C549" s="78"/>
      <c r="D549" s="78"/>
      <c r="E549" s="78"/>
      <c r="F549" s="78"/>
      <c r="G549" s="78"/>
      <c r="H549" s="78"/>
      <c r="I549" s="78"/>
      <c r="J549" s="78"/>
      <c r="K549" s="78"/>
    </row>
  </sheetData>
  <mergeCells count="28">
    <mergeCell ref="A1:L1"/>
    <mergeCell ref="A36:L36"/>
    <mergeCell ref="C545:H545"/>
    <mergeCell ref="A3:L3"/>
    <mergeCell ref="A12:L12"/>
    <mergeCell ref="E15:J15"/>
    <mergeCell ref="B10:J10"/>
    <mergeCell ref="C542:H542"/>
    <mergeCell ref="B9:J9"/>
    <mergeCell ref="B6:J6"/>
    <mergeCell ref="A37:K37"/>
    <mergeCell ref="E16:J16"/>
    <mergeCell ref="B5:J5"/>
    <mergeCell ref="B4:J4"/>
    <mergeCell ref="A23:K23"/>
    <mergeCell ref="B7:J7"/>
    <mergeCell ref="A24:L24"/>
    <mergeCell ref="A30:L30"/>
    <mergeCell ref="A540:L540"/>
    <mergeCell ref="B11:J11"/>
    <mergeCell ref="C546:H546"/>
    <mergeCell ref="A549:K549"/>
    <mergeCell ref="B8:J8"/>
    <mergeCell ref="A18:L18"/>
    <mergeCell ref="C544:H544"/>
    <mergeCell ref="C547:H547"/>
    <mergeCell ref="C543:H543"/>
    <mergeCell ref="E14:J14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"/>
  <sheetViews>
    <sheetView workbookViewId="0">
      <selection sqref="A1:H1"/>
    </sheetView>
  </sheetViews>
  <sheetFormatPr defaultRowHeight="15.75" x14ac:dyDescent="0.25"/>
  <cols>
    <col min="1" max="1" width="30" customWidth="1"/>
    <col min="2" max="2" width="24.140625" customWidth="1"/>
    <col min="3" max="3" width="26.42578125" customWidth="1"/>
    <col min="4" max="4" width="23" customWidth="1"/>
    <col min="5" max="5" width="30" customWidth="1"/>
    <col min="6" max="6" width="9.140625" customWidth="1"/>
    <col min="7" max="7" width="8" customWidth="1"/>
    <col min="8" max="8" width="10.28515625" customWidth="1"/>
    <col min="9" max="12" width="8" customWidth="1"/>
  </cols>
  <sheetData>
    <row r="1" spans="1:12" x14ac:dyDescent="0.25">
      <c r="A1" s="79" t="s">
        <v>455</v>
      </c>
      <c r="B1" s="78"/>
      <c r="C1" s="78"/>
      <c r="D1" s="78"/>
      <c r="E1" s="78"/>
      <c r="F1" s="78"/>
      <c r="G1" s="78"/>
      <c r="H1" s="78"/>
    </row>
    <row r="3" spans="1:12" x14ac:dyDescent="0.25">
      <c r="A3" s="77" t="s">
        <v>456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x14ac:dyDescent="0.25">
      <c r="A4" s="1" t="s">
        <v>457</v>
      </c>
      <c r="B4" s="1" t="s">
        <v>458</v>
      </c>
      <c r="C4" s="1" t="s">
        <v>459</v>
      </c>
      <c r="D4" s="1" t="s">
        <v>460</v>
      </c>
      <c r="E4" s="1" t="s">
        <v>43</v>
      </c>
    </row>
    <row r="5" spans="1:12" x14ac:dyDescent="0.25">
      <c r="A5" s="44" t="s">
        <v>461</v>
      </c>
      <c r="B5" s="71">
        <v>52735.256300000001</v>
      </c>
      <c r="C5" s="5">
        <v>68932.580400000006</v>
      </c>
      <c r="D5" s="5">
        <v>66135.644</v>
      </c>
      <c r="E5" s="2" t="s">
        <v>462</v>
      </c>
    </row>
    <row r="6" spans="1:12" x14ac:dyDescent="0.25">
      <c r="A6" s="44" t="s">
        <v>463</v>
      </c>
      <c r="B6" s="71">
        <v>68722.3024</v>
      </c>
      <c r="C6" s="5">
        <v>78973.611699999994</v>
      </c>
      <c r="D6" s="5">
        <v>74402.645199999999</v>
      </c>
      <c r="E6" s="2" t="s">
        <v>464</v>
      </c>
    </row>
    <row r="7" spans="1:12" x14ac:dyDescent="0.25">
      <c r="A7" s="44" t="s">
        <v>465</v>
      </c>
      <c r="B7" s="72">
        <v>2.76E-2</v>
      </c>
      <c r="C7" s="8">
        <v>3.61E-2</v>
      </c>
      <c r="D7" s="8">
        <v>3.4599999999999999E-2</v>
      </c>
      <c r="E7" s="2" t="s">
        <v>466</v>
      </c>
    </row>
    <row r="8" spans="1:12" x14ac:dyDescent="0.25">
      <c r="A8" s="44" t="s">
        <v>467</v>
      </c>
      <c r="B8" s="73">
        <v>1.3031999999999999</v>
      </c>
      <c r="C8" s="48">
        <v>1.1456999999999999</v>
      </c>
      <c r="D8" s="48">
        <v>1.125</v>
      </c>
      <c r="E8" s="2" t="s">
        <v>468</v>
      </c>
    </row>
    <row r="9" spans="1:12" x14ac:dyDescent="0.25">
      <c r="A9" s="44" t="s">
        <v>469</v>
      </c>
      <c r="B9" s="71">
        <v>29571.921699999999</v>
      </c>
      <c r="C9" s="5">
        <v>29631.243600000002</v>
      </c>
      <c r="D9" s="5">
        <v>29868.076400000002</v>
      </c>
      <c r="E9" s="2" t="s">
        <v>470</v>
      </c>
    </row>
    <row r="11" spans="1:12" x14ac:dyDescent="0.25">
      <c r="A11" s="77" t="s">
        <v>471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</row>
    <row r="12" spans="1:12" ht="28.5" x14ac:dyDescent="0.25">
      <c r="A12" s="1" t="s">
        <v>361</v>
      </c>
      <c r="B12" s="1" t="s">
        <v>3</v>
      </c>
      <c r="C12" s="1" t="s">
        <v>4</v>
      </c>
      <c r="D12" s="1" t="s">
        <v>472</v>
      </c>
      <c r="E12" s="1" t="s">
        <v>473</v>
      </c>
      <c r="F12" s="1" t="s">
        <v>474</v>
      </c>
      <c r="G12" s="1" t="s">
        <v>475</v>
      </c>
      <c r="H12" s="1" t="s">
        <v>476</v>
      </c>
      <c r="I12" s="1" t="s">
        <v>477</v>
      </c>
    </row>
    <row r="13" spans="1:12" x14ac:dyDescent="0.25">
      <c r="A13" s="2" t="s">
        <v>10</v>
      </c>
      <c r="B13" s="3" t="s">
        <v>11</v>
      </c>
      <c r="C13" s="3" t="s">
        <v>12</v>
      </c>
      <c r="D13" s="5">
        <v>37369.67</v>
      </c>
      <c r="E13" s="5">
        <v>30160.55</v>
      </c>
      <c r="F13" s="5">
        <v>38488.620000000003</v>
      </c>
      <c r="G13" s="8">
        <v>0.70860000000000001</v>
      </c>
      <c r="H13" s="8">
        <v>0.4375</v>
      </c>
      <c r="I13" s="8">
        <v>0.58199999999999996</v>
      </c>
    </row>
    <row r="14" spans="1:12" x14ac:dyDescent="0.25">
      <c r="A14" s="2" t="s">
        <v>13</v>
      </c>
      <c r="B14" s="3" t="s">
        <v>14</v>
      </c>
      <c r="C14" s="3" t="s">
        <v>15</v>
      </c>
      <c r="D14" s="5">
        <v>37181.89</v>
      </c>
      <c r="E14" s="5">
        <v>38646.080000000002</v>
      </c>
      <c r="F14" s="5">
        <v>43723.62</v>
      </c>
      <c r="G14" s="8">
        <v>0.70509999999999995</v>
      </c>
      <c r="H14" s="8">
        <v>0.56059999999999999</v>
      </c>
      <c r="I14" s="8">
        <v>0.66110000000000002</v>
      </c>
    </row>
    <row r="15" spans="1:12" x14ac:dyDescent="0.25">
      <c r="A15" s="2" t="s">
        <v>16</v>
      </c>
      <c r="B15" s="3" t="s">
        <v>17</v>
      </c>
      <c r="C15" s="3" t="s">
        <v>18</v>
      </c>
      <c r="D15" s="5">
        <v>598.82000000000005</v>
      </c>
      <c r="E15" s="5">
        <v>125.95</v>
      </c>
      <c r="F15" s="5">
        <v>586.55999999999995</v>
      </c>
      <c r="G15" s="8">
        <v>1.14E-2</v>
      </c>
      <c r="H15" s="8">
        <v>1.8E-3</v>
      </c>
      <c r="I15" s="8">
        <v>8.8999999999999999E-3</v>
      </c>
    </row>
    <row r="17" spans="1:12" x14ac:dyDescent="0.25">
      <c r="A17" s="77" t="s">
        <v>478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</row>
    <row r="18" spans="1:12" x14ac:dyDescent="0.25">
      <c r="A18" s="33" t="s">
        <v>479</v>
      </c>
      <c r="B18" s="33" t="s">
        <v>480</v>
      </c>
      <c r="C18" s="33" t="s">
        <v>481</v>
      </c>
      <c r="D18" s="33" t="s">
        <v>482</v>
      </c>
      <c r="E18" s="33" t="s">
        <v>483</v>
      </c>
      <c r="F18" s="33" t="s">
        <v>484</v>
      </c>
    </row>
    <row r="19" spans="1:12" x14ac:dyDescent="0.25">
      <c r="A19" s="2" t="s">
        <v>485</v>
      </c>
      <c r="B19" s="2" t="s">
        <v>486</v>
      </c>
      <c r="C19" s="2" t="s">
        <v>487</v>
      </c>
      <c r="D19" s="2" t="s">
        <v>488</v>
      </c>
      <c r="E19" s="2" t="s">
        <v>489</v>
      </c>
      <c r="F19" s="74" t="s">
        <v>490</v>
      </c>
    </row>
    <row r="20" spans="1:12" x14ac:dyDescent="0.25">
      <c r="A20" s="2" t="s">
        <v>491</v>
      </c>
      <c r="B20" s="2" t="s">
        <v>492</v>
      </c>
      <c r="C20" s="2" t="s">
        <v>492</v>
      </c>
      <c r="D20" s="2" t="s">
        <v>492</v>
      </c>
      <c r="E20" s="2" t="s">
        <v>493</v>
      </c>
      <c r="F20" s="74" t="s">
        <v>492</v>
      </c>
    </row>
    <row r="21" spans="1:12" x14ac:dyDescent="0.25">
      <c r="A21" s="2" t="s">
        <v>494</v>
      </c>
      <c r="B21" s="2" t="s">
        <v>492</v>
      </c>
      <c r="C21" s="2" t="s">
        <v>492</v>
      </c>
      <c r="D21" s="2" t="s">
        <v>492</v>
      </c>
      <c r="E21" s="2" t="s">
        <v>495</v>
      </c>
      <c r="F21" s="74" t="s">
        <v>492</v>
      </c>
    </row>
    <row r="22" spans="1:12" x14ac:dyDescent="0.25">
      <c r="A22" s="2" t="s">
        <v>496</v>
      </c>
      <c r="B22" s="2" t="s">
        <v>427</v>
      </c>
      <c r="C22" s="2" t="s">
        <v>497</v>
      </c>
      <c r="D22" s="2" t="s">
        <v>498</v>
      </c>
      <c r="E22" s="2" t="s">
        <v>499</v>
      </c>
      <c r="F22" s="74" t="s">
        <v>492</v>
      </c>
    </row>
    <row r="24" spans="1:12" x14ac:dyDescent="0.25">
      <c r="A24" s="80" t="s">
        <v>500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</row>
  </sheetData>
  <mergeCells count="5">
    <mergeCell ref="A11:L11"/>
    <mergeCell ref="A24:K24"/>
    <mergeCell ref="A17:L17"/>
    <mergeCell ref="A1:H1"/>
    <mergeCell ref="A3:L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①基本設定</vt:lpstr>
      <vt:lpstr>②原始價格與FX</vt:lpstr>
      <vt:lpstr>③回報計算FX調整</vt:lpstr>
      <vt:lpstr>④HS歷史模擬法</vt:lpstr>
      <vt:lpstr>⑤參數法Parametric</vt:lpstr>
      <vt:lpstr>⑥Monte Carlo模擬</vt:lpstr>
      <vt:lpstr>⑦三法彙總比較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Chihsuan Wang</cp:lastModifiedBy>
  <dcterms:created xsi:type="dcterms:W3CDTF">2026-04-14T06:41:04Z</dcterms:created>
  <dcterms:modified xsi:type="dcterms:W3CDTF">2026-04-14T06:43:02Z</dcterms:modified>
</cp:coreProperties>
</file>