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hs\Claude_DoctoCode\var_system\"/>
    </mc:Choice>
  </mc:AlternateContent>
  <xr:revisionPtr revIDLastSave="0" documentId="13_ncr:20001_{88451FB0-2509-425E-8157-2AF0BA3AA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①基本設定" sheetId="1" r:id="rId1"/>
    <sheet name="②原始價格與FX" sheetId="2" r:id="rId2"/>
    <sheet name="③回報計算FX調整" sheetId="3" r:id="rId3"/>
    <sheet name="④HS歷史模擬法" sheetId="4" r:id="rId4"/>
    <sheet name="⑤參數法Parametric" sheetId="5" r:id="rId5"/>
    <sheet name="⑥Monte Carlo模擬" sheetId="6" r:id="rId6"/>
    <sheet name="⑦三法彙總比較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6" i="3"/>
  <c r="F265" i="3"/>
  <c r="E265" i="3"/>
  <c r="D265" i="3"/>
  <c r="I265" i="3" s="1"/>
  <c r="C265" i="3"/>
  <c r="B265" i="3"/>
  <c r="G265" i="3" s="1"/>
  <c r="I264" i="3"/>
  <c r="F264" i="3"/>
  <c r="E264" i="3"/>
  <c r="D264" i="3"/>
  <c r="C264" i="3"/>
  <c r="H264" i="3" s="1"/>
  <c r="J264" i="3" s="1"/>
  <c r="C262" i="4" s="1"/>
  <c r="B264" i="3"/>
  <c r="G264" i="3" s="1"/>
  <c r="G263" i="3"/>
  <c r="F263" i="3"/>
  <c r="I263" i="3" s="1"/>
  <c r="E263" i="3"/>
  <c r="H263" i="3" s="1"/>
  <c r="J263" i="3" s="1"/>
  <c r="C261" i="4" s="1"/>
  <c r="D263" i="3"/>
  <c r="C263" i="3"/>
  <c r="B263" i="3"/>
  <c r="I262" i="3"/>
  <c r="H262" i="3"/>
  <c r="F262" i="3"/>
  <c r="E262" i="3"/>
  <c r="D262" i="3"/>
  <c r="C262" i="3"/>
  <c r="B262" i="3"/>
  <c r="G262" i="3" s="1"/>
  <c r="J262" i="3" s="1"/>
  <c r="C260" i="4" s="1"/>
  <c r="F261" i="3"/>
  <c r="E261" i="3"/>
  <c r="D261" i="3"/>
  <c r="I261" i="3" s="1"/>
  <c r="C261" i="3"/>
  <c r="H261" i="3" s="1"/>
  <c r="B261" i="3"/>
  <c r="G261" i="3" s="1"/>
  <c r="J261" i="3" s="1"/>
  <c r="C259" i="4" s="1"/>
  <c r="I260" i="3"/>
  <c r="F260" i="3"/>
  <c r="E260" i="3"/>
  <c r="D260" i="3"/>
  <c r="C260" i="3"/>
  <c r="H260" i="3" s="1"/>
  <c r="J260" i="3" s="1"/>
  <c r="C258" i="4" s="1"/>
  <c r="B260" i="3"/>
  <c r="G260" i="3" s="1"/>
  <c r="H259" i="3"/>
  <c r="G259" i="3"/>
  <c r="J259" i="3" s="1"/>
  <c r="C257" i="4" s="1"/>
  <c r="F259" i="3"/>
  <c r="I259" i="3" s="1"/>
  <c r="E259" i="3"/>
  <c r="D259" i="3"/>
  <c r="C259" i="3"/>
  <c r="B259" i="3"/>
  <c r="F258" i="3"/>
  <c r="E258" i="3"/>
  <c r="D258" i="3"/>
  <c r="I258" i="3" s="1"/>
  <c r="C258" i="3"/>
  <c r="H258" i="3" s="1"/>
  <c r="B258" i="3"/>
  <c r="G258" i="3" s="1"/>
  <c r="J258" i="3" s="1"/>
  <c r="C256" i="4" s="1"/>
  <c r="F257" i="3"/>
  <c r="E257" i="3"/>
  <c r="D257" i="3"/>
  <c r="C257" i="3"/>
  <c r="B257" i="3"/>
  <c r="G257" i="3" s="1"/>
  <c r="I256" i="3"/>
  <c r="F256" i="3"/>
  <c r="E256" i="3"/>
  <c r="D256" i="3"/>
  <c r="C256" i="3"/>
  <c r="H256" i="3" s="1"/>
  <c r="J256" i="3" s="1"/>
  <c r="C254" i="4" s="1"/>
  <c r="B256" i="3"/>
  <c r="G256" i="3" s="1"/>
  <c r="G255" i="3"/>
  <c r="F255" i="3"/>
  <c r="I255" i="3" s="1"/>
  <c r="E255" i="3"/>
  <c r="H255" i="3" s="1"/>
  <c r="J255" i="3" s="1"/>
  <c r="C253" i="4" s="1"/>
  <c r="D255" i="3"/>
  <c r="C255" i="3"/>
  <c r="B255" i="3"/>
  <c r="I254" i="3"/>
  <c r="H254" i="3"/>
  <c r="F254" i="3"/>
  <c r="E254" i="3"/>
  <c r="D254" i="3"/>
  <c r="C254" i="3"/>
  <c r="B254" i="3"/>
  <c r="G254" i="3" s="1"/>
  <c r="J254" i="3" s="1"/>
  <c r="C252" i="4" s="1"/>
  <c r="F253" i="3"/>
  <c r="E253" i="3"/>
  <c r="D253" i="3"/>
  <c r="I253" i="3" s="1"/>
  <c r="C253" i="3"/>
  <c r="H253" i="3" s="1"/>
  <c r="B253" i="3"/>
  <c r="G253" i="3" s="1"/>
  <c r="J253" i="3" s="1"/>
  <c r="C251" i="4" s="1"/>
  <c r="I252" i="3"/>
  <c r="F252" i="3"/>
  <c r="E252" i="3"/>
  <c r="D252" i="3"/>
  <c r="C252" i="3"/>
  <c r="H252" i="3" s="1"/>
  <c r="J252" i="3" s="1"/>
  <c r="C250" i="4" s="1"/>
  <c r="B252" i="3"/>
  <c r="G252" i="3" s="1"/>
  <c r="H251" i="3"/>
  <c r="G251" i="3"/>
  <c r="J251" i="3" s="1"/>
  <c r="C249" i="4" s="1"/>
  <c r="F251" i="3"/>
  <c r="I251" i="3" s="1"/>
  <c r="E251" i="3"/>
  <c r="D251" i="3"/>
  <c r="C251" i="3"/>
  <c r="B251" i="3"/>
  <c r="F250" i="3"/>
  <c r="E250" i="3"/>
  <c r="D250" i="3"/>
  <c r="I250" i="3" s="1"/>
  <c r="C250" i="3"/>
  <c r="H250" i="3" s="1"/>
  <c r="B250" i="3"/>
  <c r="G250" i="3" s="1"/>
  <c r="J250" i="3" s="1"/>
  <c r="C248" i="4" s="1"/>
  <c r="F249" i="3"/>
  <c r="E249" i="3"/>
  <c r="D249" i="3"/>
  <c r="C249" i="3"/>
  <c r="B249" i="3"/>
  <c r="G249" i="3" s="1"/>
  <c r="I248" i="3"/>
  <c r="F248" i="3"/>
  <c r="E248" i="3"/>
  <c r="D248" i="3"/>
  <c r="C248" i="3"/>
  <c r="H248" i="3" s="1"/>
  <c r="J248" i="3" s="1"/>
  <c r="C246" i="4" s="1"/>
  <c r="B248" i="3"/>
  <c r="G248" i="3" s="1"/>
  <c r="G247" i="3"/>
  <c r="F247" i="3"/>
  <c r="I247" i="3" s="1"/>
  <c r="E247" i="3"/>
  <c r="H247" i="3" s="1"/>
  <c r="J247" i="3" s="1"/>
  <c r="C245" i="4" s="1"/>
  <c r="D247" i="3"/>
  <c r="C247" i="3"/>
  <c r="B247" i="3"/>
  <c r="I246" i="3"/>
  <c r="H246" i="3"/>
  <c r="F246" i="3"/>
  <c r="E246" i="3"/>
  <c r="D246" i="3"/>
  <c r="C246" i="3"/>
  <c r="B246" i="3"/>
  <c r="G246" i="3" s="1"/>
  <c r="J246" i="3" s="1"/>
  <c r="C244" i="4" s="1"/>
  <c r="F245" i="3"/>
  <c r="E245" i="3"/>
  <c r="D245" i="3"/>
  <c r="I245" i="3" s="1"/>
  <c r="C245" i="3"/>
  <c r="H245" i="3" s="1"/>
  <c r="B245" i="3"/>
  <c r="G245" i="3" s="1"/>
  <c r="J245" i="3" s="1"/>
  <c r="C243" i="4" s="1"/>
  <c r="I244" i="3"/>
  <c r="F244" i="3"/>
  <c r="E244" i="3"/>
  <c r="D244" i="3"/>
  <c r="C244" i="3"/>
  <c r="H244" i="3" s="1"/>
  <c r="J244" i="3" s="1"/>
  <c r="C242" i="4" s="1"/>
  <c r="B244" i="3"/>
  <c r="G244" i="3" s="1"/>
  <c r="H243" i="3"/>
  <c r="G243" i="3"/>
  <c r="J243" i="3" s="1"/>
  <c r="C241" i="4" s="1"/>
  <c r="F243" i="3"/>
  <c r="I243" i="3" s="1"/>
  <c r="E243" i="3"/>
  <c r="D243" i="3"/>
  <c r="C243" i="3"/>
  <c r="B243" i="3"/>
  <c r="F242" i="3"/>
  <c r="E242" i="3"/>
  <c r="D242" i="3"/>
  <c r="I242" i="3" s="1"/>
  <c r="C242" i="3"/>
  <c r="H242" i="3" s="1"/>
  <c r="B242" i="3"/>
  <c r="G242" i="3" s="1"/>
  <c r="J242" i="3" s="1"/>
  <c r="C240" i="4" s="1"/>
  <c r="F241" i="3"/>
  <c r="E241" i="3"/>
  <c r="D241" i="3"/>
  <c r="C241" i="3"/>
  <c r="B241" i="3"/>
  <c r="G241" i="3" s="1"/>
  <c r="I240" i="3"/>
  <c r="F240" i="3"/>
  <c r="E240" i="3"/>
  <c r="D240" i="3"/>
  <c r="C240" i="3"/>
  <c r="H240" i="3" s="1"/>
  <c r="J240" i="3" s="1"/>
  <c r="C238" i="4" s="1"/>
  <c r="B240" i="3"/>
  <c r="G240" i="3" s="1"/>
  <c r="G239" i="3"/>
  <c r="J239" i="3" s="1"/>
  <c r="C237" i="4" s="1"/>
  <c r="F239" i="3"/>
  <c r="I239" i="3" s="1"/>
  <c r="E239" i="3"/>
  <c r="H239" i="3" s="1"/>
  <c r="D239" i="3"/>
  <c r="C239" i="3"/>
  <c r="B239" i="3"/>
  <c r="I238" i="3"/>
  <c r="H238" i="3"/>
  <c r="F238" i="3"/>
  <c r="E238" i="3"/>
  <c r="D238" i="3"/>
  <c r="C238" i="3"/>
  <c r="B238" i="3"/>
  <c r="G238" i="3" s="1"/>
  <c r="J238" i="3" s="1"/>
  <c r="C236" i="4" s="1"/>
  <c r="F237" i="3"/>
  <c r="E237" i="3"/>
  <c r="D237" i="3"/>
  <c r="I237" i="3" s="1"/>
  <c r="C237" i="3"/>
  <c r="H237" i="3" s="1"/>
  <c r="B237" i="3"/>
  <c r="G237" i="3" s="1"/>
  <c r="J237" i="3" s="1"/>
  <c r="C235" i="4" s="1"/>
  <c r="I236" i="3"/>
  <c r="F236" i="3"/>
  <c r="E236" i="3"/>
  <c r="D236" i="3"/>
  <c r="C236" i="3"/>
  <c r="H236" i="3" s="1"/>
  <c r="J236" i="3" s="1"/>
  <c r="C234" i="4" s="1"/>
  <c r="B236" i="3"/>
  <c r="G236" i="3" s="1"/>
  <c r="H235" i="3"/>
  <c r="G235" i="3"/>
  <c r="J235" i="3" s="1"/>
  <c r="C233" i="4" s="1"/>
  <c r="F235" i="3"/>
  <c r="I235" i="3" s="1"/>
  <c r="E235" i="3"/>
  <c r="D235" i="3"/>
  <c r="C235" i="3"/>
  <c r="B235" i="3"/>
  <c r="F234" i="3"/>
  <c r="E234" i="3"/>
  <c r="D234" i="3"/>
  <c r="I234" i="3" s="1"/>
  <c r="C234" i="3"/>
  <c r="H234" i="3" s="1"/>
  <c r="B234" i="3"/>
  <c r="G234" i="3" s="1"/>
  <c r="J234" i="3" s="1"/>
  <c r="C232" i="4" s="1"/>
  <c r="F233" i="3"/>
  <c r="E233" i="3"/>
  <c r="D233" i="3"/>
  <c r="C233" i="3"/>
  <c r="B233" i="3"/>
  <c r="G233" i="3" s="1"/>
  <c r="I232" i="3"/>
  <c r="F232" i="3"/>
  <c r="E232" i="3"/>
  <c r="D232" i="3"/>
  <c r="C232" i="3"/>
  <c r="H232" i="3" s="1"/>
  <c r="J232" i="3" s="1"/>
  <c r="C230" i="4" s="1"/>
  <c r="B232" i="3"/>
  <c r="G232" i="3" s="1"/>
  <c r="G231" i="3"/>
  <c r="J231" i="3" s="1"/>
  <c r="C229" i="4" s="1"/>
  <c r="F231" i="3"/>
  <c r="I231" i="3" s="1"/>
  <c r="E231" i="3"/>
  <c r="H231" i="3" s="1"/>
  <c r="D231" i="3"/>
  <c r="C231" i="3"/>
  <c r="B231" i="3"/>
  <c r="I230" i="3"/>
  <c r="H230" i="3"/>
  <c r="F230" i="3"/>
  <c r="E230" i="3"/>
  <c r="D230" i="3"/>
  <c r="C230" i="3"/>
  <c r="B230" i="3"/>
  <c r="G230" i="3" s="1"/>
  <c r="J230" i="3" s="1"/>
  <c r="C228" i="4" s="1"/>
  <c r="F229" i="3"/>
  <c r="E229" i="3"/>
  <c r="D229" i="3"/>
  <c r="C229" i="3"/>
  <c r="H229" i="3" s="1"/>
  <c r="B229" i="3"/>
  <c r="G229" i="3" s="1"/>
  <c r="I228" i="3"/>
  <c r="F228" i="3"/>
  <c r="E228" i="3"/>
  <c r="D228" i="3"/>
  <c r="C228" i="3"/>
  <c r="H228" i="3" s="1"/>
  <c r="J228" i="3" s="1"/>
  <c r="C226" i="4" s="1"/>
  <c r="B228" i="3"/>
  <c r="G228" i="3" s="1"/>
  <c r="H227" i="3"/>
  <c r="G227" i="3"/>
  <c r="J227" i="3" s="1"/>
  <c r="C225" i="4" s="1"/>
  <c r="F227" i="3"/>
  <c r="I227" i="3" s="1"/>
  <c r="E227" i="3"/>
  <c r="D227" i="3"/>
  <c r="C227" i="3"/>
  <c r="B227" i="3"/>
  <c r="F226" i="3"/>
  <c r="E226" i="3"/>
  <c r="D226" i="3"/>
  <c r="I226" i="3" s="1"/>
  <c r="C226" i="3"/>
  <c r="H226" i="3" s="1"/>
  <c r="B226" i="3"/>
  <c r="G226" i="3" s="1"/>
  <c r="J226" i="3" s="1"/>
  <c r="C224" i="4" s="1"/>
  <c r="F225" i="3"/>
  <c r="E225" i="3"/>
  <c r="D225" i="3"/>
  <c r="C225" i="3"/>
  <c r="B225" i="3"/>
  <c r="G225" i="3" s="1"/>
  <c r="I224" i="3"/>
  <c r="F224" i="3"/>
  <c r="E224" i="3"/>
  <c r="D224" i="3"/>
  <c r="C224" i="3"/>
  <c r="H224" i="3" s="1"/>
  <c r="J224" i="3" s="1"/>
  <c r="C222" i="4" s="1"/>
  <c r="B224" i="3"/>
  <c r="G224" i="3" s="1"/>
  <c r="G223" i="3"/>
  <c r="J223" i="3" s="1"/>
  <c r="C221" i="4" s="1"/>
  <c r="F223" i="3"/>
  <c r="I223" i="3" s="1"/>
  <c r="E223" i="3"/>
  <c r="H223" i="3" s="1"/>
  <c r="D223" i="3"/>
  <c r="C223" i="3"/>
  <c r="B223" i="3"/>
  <c r="I222" i="3"/>
  <c r="H222" i="3"/>
  <c r="F222" i="3"/>
  <c r="E222" i="3"/>
  <c r="D222" i="3"/>
  <c r="C222" i="3"/>
  <c r="B222" i="3"/>
  <c r="G222" i="3" s="1"/>
  <c r="J222" i="3" s="1"/>
  <c r="C220" i="4" s="1"/>
  <c r="F221" i="3"/>
  <c r="E221" i="3"/>
  <c r="D221" i="3"/>
  <c r="C221" i="3"/>
  <c r="H221" i="3" s="1"/>
  <c r="B221" i="3"/>
  <c r="G221" i="3" s="1"/>
  <c r="I220" i="3"/>
  <c r="F220" i="3"/>
  <c r="E220" i="3"/>
  <c r="D220" i="3"/>
  <c r="C220" i="3"/>
  <c r="H220" i="3" s="1"/>
  <c r="J220" i="3" s="1"/>
  <c r="C218" i="4" s="1"/>
  <c r="B220" i="3"/>
  <c r="G220" i="3" s="1"/>
  <c r="H219" i="3"/>
  <c r="G219" i="3"/>
  <c r="J219" i="3" s="1"/>
  <c r="C217" i="4" s="1"/>
  <c r="F219" i="3"/>
  <c r="I219" i="3" s="1"/>
  <c r="E219" i="3"/>
  <c r="D219" i="3"/>
  <c r="C219" i="3"/>
  <c r="B219" i="3"/>
  <c r="F218" i="3"/>
  <c r="E218" i="3"/>
  <c r="D218" i="3"/>
  <c r="I218" i="3" s="1"/>
  <c r="C218" i="3"/>
  <c r="H218" i="3" s="1"/>
  <c r="B218" i="3"/>
  <c r="G218" i="3" s="1"/>
  <c r="J218" i="3" s="1"/>
  <c r="C216" i="4" s="1"/>
  <c r="F217" i="3"/>
  <c r="E217" i="3"/>
  <c r="D217" i="3"/>
  <c r="C217" i="3"/>
  <c r="B217" i="3"/>
  <c r="G217" i="3" s="1"/>
  <c r="I216" i="3"/>
  <c r="F216" i="3"/>
  <c r="E216" i="3"/>
  <c r="D216" i="3"/>
  <c r="C216" i="3"/>
  <c r="H216" i="3" s="1"/>
  <c r="J216" i="3" s="1"/>
  <c r="C214" i="4" s="1"/>
  <c r="B216" i="3"/>
  <c r="G216" i="3" s="1"/>
  <c r="F215" i="3"/>
  <c r="I215" i="3" s="1"/>
  <c r="E215" i="3"/>
  <c r="H215" i="3" s="1"/>
  <c r="D215" i="3"/>
  <c r="C215" i="3"/>
  <c r="B215" i="3"/>
  <c r="G215" i="3" s="1"/>
  <c r="I214" i="3"/>
  <c r="H214" i="3"/>
  <c r="F214" i="3"/>
  <c r="E214" i="3"/>
  <c r="D214" i="3"/>
  <c r="C214" i="3"/>
  <c r="B214" i="3"/>
  <c r="G214" i="3" s="1"/>
  <c r="J214" i="3" s="1"/>
  <c r="C212" i="4" s="1"/>
  <c r="F213" i="3"/>
  <c r="E213" i="3"/>
  <c r="D213" i="3"/>
  <c r="I213" i="3" s="1"/>
  <c r="C213" i="3"/>
  <c r="H213" i="3" s="1"/>
  <c r="B213" i="3"/>
  <c r="G213" i="3" s="1"/>
  <c r="I212" i="3"/>
  <c r="F212" i="3"/>
  <c r="E212" i="3"/>
  <c r="D212" i="3"/>
  <c r="C212" i="3"/>
  <c r="H212" i="3" s="1"/>
  <c r="J212" i="3" s="1"/>
  <c r="C210" i="4" s="1"/>
  <c r="B212" i="3"/>
  <c r="G212" i="3" s="1"/>
  <c r="I211" i="3"/>
  <c r="H211" i="3"/>
  <c r="G211" i="3"/>
  <c r="F211" i="3"/>
  <c r="E211" i="3"/>
  <c r="D211" i="3"/>
  <c r="C211" i="3"/>
  <c r="B211" i="3"/>
  <c r="F210" i="3"/>
  <c r="E210" i="3"/>
  <c r="D210" i="3"/>
  <c r="I210" i="3" s="1"/>
  <c r="C210" i="3"/>
  <c r="H210" i="3" s="1"/>
  <c r="B210" i="3"/>
  <c r="G210" i="3" s="1"/>
  <c r="J210" i="3" s="1"/>
  <c r="C208" i="4" s="1"/>
  <c r="F209" i="3"/>
  <c r="E209" i="3"/>
  <c r="D209" i="3"/>
  <c r="I209" i="3" s="1"/>
  <c r="C209" i="3"/>
  <c r="H209" i="3" s="1"/>
  <c r="B209" i="3"/>
  <c r="G209" i="3" s="1"/>
  <c r="I208" i="3"/>
  <c r="F208" i="3"/>
  <c r="E208" i="3"/>
  <c r="H208" i="3" s="1"/>
  <c r="J208" i="3" s="1"/>
  <c r="C206" i="4" s="1"/>
  <c r="D208" i="3"/>
  <c r="C208" i="3"/>
  <c r="B208" i="3"/>
  <c r="G208" i="3" s="1"/>
  <c r="I207" i="3"/>
  <c r="F207" i="3"/>
  <c r="E207" i="3"/>
  <c r="H207" i="3" s="1"/>
  <c r="D207" i="3"/>
  <c r="C207" i="3"/>
  <c r="B207" i="3"/>
  <c r="G207" i="3" s="1"/>
  <c r="F206" i="3"/>
  <c r="E206" i="3"/>
  <c r="D206" i="3"/>
  <c r="I206" i="3" s="1"/>
  <c r="C206" i="3"/>
  <c r="H206" i="3" s="1"/>
  <c r="B206" i="3"/>
  <c r="G206" i="3" s="1"/>
  <c r="F205" i="3"/>
  <c r="E205" i="3"/>
  <c r="H205" i="3" s="1"/>
  <c r="D205" i="3"/>
  <c r="I205" i="3" s="1"/>
  <c r="C205" i="3"/>
  <c r="B205" i="3"/>
  <c r="G205" i="3" s="1"/>
  <c r="I204" i="3"/>
  <c r="F204" i="3"/>
  <c r="E204" i="3"/>
  <c r="H204" i="3" s="1"/>
  <c r="D204" i="3"/>
  <c r="C204" i="3"/>
  <c r="B204" i="3"/>
  <c r="G204" i="3" s="1"/>
  <c r="J204" i="3" s="1"/>
  <c r="C202" i="4" s="1"/>
  <c r="I203" i="3"/>
  <c r="J203" i="3" s="1"/>
  <c r="C201" i="4" s="1"/>
  <c r="H203" i="3"/>
  <c r="F203" i="3"/>
  <c r="E203" i="3"/>
  <c r="D203" i="3"/>
  <c r="C203" i="3"/>
  <c r="B203" i="3"/>
  <c r="G203" i="3" s="1"/>
  <c r="G202" i="3"/>
  <c r="F202" i="3"/>
  <c r="E202" i="3"/>
  <c r="H202" i="3" s="1"/>
  <c r="D202" i="3"/>
  <c r="C202" i="3"/>
  <c r="B202" i="3"/>
  <c r="F201" i="3"/>
  <c r="E201" i="3"/>
  <c r="D201" i="3"/>
  <c r="I201" i="3" s="1"/>
  <c r="C201" i="3"/>
  <c r="H201" i="3" s="1"/>
  <c r="B201" i="3"/>
  <c r="G201" i="3" s="1"/>
  <c r="I200" i="3"/>
  <c r="H200" i="3"/>
  <c r="J200" i="3" s="1"/>
  <c r="C198" i="4" s="1"/>
  <c r="F200" i="3"/>
  <c r="E200" i="3"/>
  <c r="D200" i="3"/>
  <c r="C200" i="3"/>
  <c r="B200" i="3"/>
  <c r="G200" i="3" s="1"/>
  <c r="G199" i="3"/>
  <c r="F199" i="3"/>
  <c r="I199" i="3" s="1"/>
  <c r="E199" i="3"/>
  <c r="H199" i="3" s="1"/>
  <c r="D199" i="3"/>
  <c r="C199" i="3"/>
  <c r="B199" i="3"/>
  <c r="F198" i="3"/>
  <c r="E198" i="3"/>
  <c r="D198" i="3"/>
  <c r="I198" i="3" s="1"/>
  <c r="C198" i="3"/>
  <c r="H198" i="3" s="1"/>
  <c r="B198" i="3"/>
  <c r="G198" i="3" s="1"/>
  <c r="H197" i="3"/>
  <c r="F197" i="3"/>
  <c r="E197" i="3"/>
  <c r="D197" i="3"/>
  <c r="C197" i="3"/>
  <c r="B197" i="3"/>
  <c r="G197" i="3" s="1"/>
  <c r="I196" i="3"/>
  <c r="F196" i="3"/>
  <c r="E196" i="3"/>
  <c r="D196" i="3"/>
  <c r="C196" i="3"/>
  <c r="H196" i="3" s="1"/>
  <c r="B196" i="3"/>
  <c r="G196" i="3" s="1"/>
  <c r="F195" i="3"/>
  <c r="I195" i="3" s="1"/>
  <c r="E195" i="3"/>
  <c r="H195" i="3" s="1"/>
  <c r="D195" i="3"/>
  <c r="C195" i="3"/>
  <c r="B195" i="3"/>
  <c r="G195" i="3" s="1"/>
  <c r="I194" i="3"/>
  <c r="H194" i="3"/>
  <c r="G194" i="3"/>
  <c r="J194" i="3" s="1"/>
  <c r="C192" i="4" s="1"/>
  <c r="F194" i="3"/>
  <c r="E194" i="3"/>
  <c r="D194" i="3"/>
  <c r="C194" i="3"/>
  <c r="B194" i="3"/>
  <c r="F193" i="3"/>
  <c r="E193" i="3"/>
  <c r="D193" i="3"/>
  <c r="C193" i="3"/>
  <c r="H193" i="3" s="1"/>
  <c r="B193" i="3"/>
  <c r="G193" i="3" s="1"/>
  <c r="I192" i="3"/>
  <c r="F192" i="3"/>
  <c r="E192" i="3"/>
  <c r="D192" i="3"/>
  <c r="C192" i="3"/>
  <c r="H192" i="3" s="1"/>
  <c r="J192" i="3" s="1"/>
  <c r="C190" i="4" s="1"/>
  <c r="B192" i="3"/>
  <c r="G192" i="3" s="1"/>
  <c r="H191" i="3"/>
  <c r="G191" i="3"/>
  <c r="J191" i="3" s="1"/>
  <c r="C189" i="4" s="1"/>
  <c r="F191" i="3"/>
  <c r="I191" i="3" s="1"/>
  <c r="E191" i="3"/>
  <c r="D191" i="3"/>
  <c r="C191" i="3"/>
  <c r="B191" i="3"/>
  <c r="F190" i="3"/>
  <c r="E190" i="3"/>
  <c r="D190" i="3"/>
  <c r="I190" i="3" s="1"/>
  <c r="C190" i="3"/>
  <c r="H190" i="3" s="1"/>
  <c r="B190" i="3"/>
  <c r="G190" i="3" s="1"/>
  <c r="F189" i="3"/>
  <c r="E189" i="3"/>
  <c r="D189" i="3"/>
  <c r="C189" i="3"/>
  <c r="H189" i="3" s="1"/>
  <c r="B189" i="3"/>
  <c r="G189" i="3" s="1"/>
  <c r="I188" i="3"/>
  <c r="F188" i="3"/>
  <c r="E188" i="3"/>
  <c r="H188" i="3" s="1"/>
  <c r="J188" i="3" s="1"/>
  <c r="C186" i="4" s="1"/>
  <c r="D188" i="3"/>
  <c r="C188" i="3"/>
  <c r="B188" i="3"/>
  <c r="G188" i="3" s="1"/>
  <c r="H187" i="3"/>
  <c r="F187" i="3"/>
  <c r="I187" i="3" s="1"/>
  <c r="E187" i="3"/>
  <c r="D187" i="3"/>
  <c r="C187" i="3"/>
  <c r="B187" i="3"/>
  <c r="G187" i="3" s="1"/>
  <c r="I186" i="3"/>
  <c r="F186" i="3"/>
  <c r="E186" i="3"/>
  <c r="D186" i="3"/>
  <c r="C186" i="3"/>
  <c r="H186" i="3" s="1"/>
  <c r="B186" i="3"/>
  <c r="G186" i="3" s="1"/>
  <c r="F185" i="3"/>
  <c r="E185" i="3"/>
  <c r="H185" i="3" s="1"/>
  <c r="D185" i="3"/>
  <c r="I185" i="3" s="1"/>
  <c r="C185" i="3"/>
  <c r="B185" i="3"/>
  <c r="G185" i="3" s="1"/>
  <c r="I184" i="3"/>
  <c r="F184" i="3"/>
  <c r="E184" i="3"/>
  <c r="D184" i="3"/>
  <c r="C184" i="3"/>
  <c r="H184" i="3" s="1"/>
  <c r="B184" i="3"/>
  <c r="G184" i="3" s="1"/>
  <c r="J184" i="3" s="1"/>
  <c r="C182" i="4" s="1"/>
  <c r="F183" i="3"/>
  <c r="E183" i="3"/>
  <c r="H183" i="3" s="1"/>
  <c r="D183" i="3"/>
  <c r="I183" i="3" s="1"/>
  <c r="C183" i="3"/>
  <c r="B183" i="3"/>
  <c r="G183" i="3" s="1"/>
  <c r="J183" i="3" s="1"/>
  <c r="C181" i="4" s="1"/>
  <c r="H182" i="3"/>
  <c r="G182" i="3"/>
  <c r="F182" i="3"/>
  <c r="E182" i="3"/>
  <c r="D182" i="3"/>
  <c r="I182" i="3" s="1"/>
  <c r="C182" i="3"/>
  <c r="B182" i="3"/>
  <c r="F181" i="3"/>
  <c r="E181" i="3"/>
  <c r="D181" i="3"/>
  <c r="C181" i="3"/>
  <c r="H181" i="3" s="1"/>
  <c r="B181" i="3"/>
  <c r="G181" i="3" s="1"/>
  <c r="F180" i="3"/>
  <c r="E180" i="3"/>
  <c r="D180" i="3"/>
  <c r="I180" i="3" s="1"/>
  <c r="C180" i="3"/>
  <c r="H180" i="3" s="1"/>
  <c r="B180" i="3"/>
  <c r="G180" i="3" s="1"/>
  <c r="J180" i="3" s="1"/>
  <c r="C178" i="4" s="1"/>
  <c r="I179" i="3"/>
  <c r="H179" i="3"/>
  <c r="G179" i="3"/>
  <c r="J179" i="3" s="1"/>
  <c r="C177" i="4" s="1"/>
  <c r="F179" i="3"/>
  <c r="E179" i="3"/>
  <c r="D179" i="3"/>
  <c r="C179" i="3"/>
  <c r="B179" i="3"/>
  <c r="F178" i="3"/>
  <c r="E178" i="3"/>
  <c r="D178" i="3"/>
  <c r="I178" i="3" s="1"/>
  <c r="C178" i="3"/>
  <c r="B178" i="3"/>
  <c r="G178" i="3" s="1"/>
  <c r="F177" i="3"/>
  <c r="E177" i="3"/>
  <c r="D177" i="3"/>
  <c r="C177" i="3"/>
  <c r="H177" i="3" s="1"/>
  <c r="B177" i="3"/>
  <c r="G177" i="3" s="1"/>
  <c r="I176" i="3"/>
  <c r="F176" i="3"/>
  <c r="E176" i="3"/>
  <c r="D176" i="3"/>
  <c r="C176" i="3"/>
  <c r="H176" i="3" s="1"/>
  <c r="J176" i="3" s="1"/>
  <c r="C174" i="4" s="1"/>
  <c r="B176" i="3"/>
  <c r="G176" i="3" s="1"/>
  <c r="H175" i="3"/>
  <c r="G175" i="3"/>
  <c r="F175" i="3"/>
  <c r="E175" i="3"/>
  <c r="D175" i="3"/>
  <c r="C175" i="3"/>
  <c r="B175" i="3"/>
  <c r="F174" i="3"/>
  <c r="E174" i="3"/>
  <c r="D174" i="3"/>
  <c r="I174" i="3" s="1"/>
  <c r="C174" i="3"/>
  <c r="H174" i="3" s="1"/>
  <c r="B174" i="3"/>
  <c r="G174" i="3" s="1"/>
  <c r="F173" i="3"/>
  <c r="E173" i="3"/>
  <c r="D173" i="3"/>
  <c r="I173" i="3" s="1"/>
  <c r="C173" i="3"/>
  <c r="H173" i="3" s="1"/>
  <c r="B173" i="3"/>
  <c r="G173" i="3" s="1"/>
  <c r="J173" i="3" s="1"/>
  <c r="C171" i="4" s="1"/>
  <c r="I172" i="3"/>
  <c r="H172" i="3"/>
  <c r="F172" i="3"/>
  <c r="E172" i="3"/>
  <c r="D172" i="3"/>
  <c r="C172" i="3"/>
  <c r="B172" i="3"/>
  <c r="G172" i="3" s="1"/>
  <c r="G171" i="3"/>
  <c r="F171" i="3"/>
  <c r="E171" i="3"/>
  <c r="H171" i="3" s="1"/>
  <c r="D171" i="3"/>
  <c r="C171" i="3"/>
  <c r="B171" i="3"/>
  <c r="F170" i="3"/>
  <c r="E170" i="3"/>
  <c r="D170" i="3"/>
  <c r="I170" i="3" s="1"/>
  <c r="C170" i="3"/>
  <c r="H170" i="3" s="1"/>
  <c r="B170" i="3"/>
  <c r="G170" i="3" s="1"/>
  <c r="F169" i="3"/>
  <c r="E169" i="3"/>
  <c r="D169" i="3"/>
  <c r="I169" i="3" s="1"/>
  <c r="C169" i="3"/>
  <c r="H169" i="3" s="1"/>
  <c r="B169" i="3"/>
  <c r="G169" i="3" s="1"/>
  <c r="I168" i="3"/>
  <c r="H168" i="3"/>
  <c r="G168" i="3"/>
  <c r="F168" i="3"/>
  <c r="E168" i="3"/>
  <c r="D168" i="3"/>
  <c r="C168" i="3"/>
  <c r="B168" i="3"/>
  <c r="G167" i="3"/>
  <c r="F167" i="3"/>
  <c r="E167" i="3"/>
  <c r="D167" i="3"/>
  <c r="I167" i="3" s="1"/>
  <c r="C167" i="3"/>
  <c r="B167" i="3"/>
  <c r="F166" i="3"/>
  <c r="E166" i="3"/>
  <c r="D166" i="3"/>
  <c r="I166" i="3" s="1"/>
  <c r="C166" i="3"/>
  <c r="H166" i="3" s="1"/>
  <c r="B166" i="3"/>
  <c r="G166" i="3" s="1"/>
  <c r="F165" i="3"/>
  <c r="E165" i="3"/>
  <c r="D165" i="3"/>
  <c r="I165" i="3" s="1"/>
  <c r="C165" i="3"/>
  <c r="H165" i="3" s="1"/>
  <c r="B165" i="3"/>
  <c r="G165" i="3" s="1"/>
  <c r="J165" i="3" s="1"/>
  <c r="C163" i="4" s="1"/>
  <c r="I164" i="3"/>
  <c r="H164" i="3"/>
  <c r="G164" i="3"/>
  <c r="J164" i="3" s="1"/>
  <c r="C162" i="4" s="1"/>
  <c r="F164" i="3"/>
  <c r="E164" i="3"/>
  <c r="D164" i="3"/>
  <c r="C164" i="3"/>
  <c r="B164" i="3"/>
  <c r="F163" i="3"/>
  <c r="E163" i="3"/>
  <c r="D163" i="3"/>
  <c r="I163" i="3" s="1"/>
  <c r="C163" i="3"/>
  <c r="B163" i="3"/>
  <c r="G163" i="3" s="1"/>
  <c r="F162" i="3"/>
  <c r="E162" i="3"/>
  <c r="D162" i="3"/>
  <c r="I162" i="3" s="1"/>
  <c r="C162" i="3"/>
  <c r="H162" i="3" s="1"/>
  <c r="B162" i="3"/>
  <c r="G162" i="3" s="1"/>
  <c r="J162" i="3" s="1"/>
  <c r="C160" i="4" s="1"/>
  <c r="F161" i="3"/>
  <c r="E161" i="3"/>
  <c r="D161" i="3"/>
  <c r="I161" i="3" s="1"/>
  <c r="C161" i="3"/>
  <c r="H161" i="3" s="1"/>
  <c r="B161" i="3"/>
  <c r="G161" i="3" s="1"/>
  <c r="J161" i="3" s="1"/>
  <c r="C159" i="4" s="1"/>
  <c r="I160" i="3"/>
  <c r="H160" i="3"/>
  <c r="G160" i="3"/>
  <c r="J160" i="3" s="1"/>
  <c r="C158" i="4" s="1"/>
  <c r="F160" i="3"/>
  <c r="E160" i="3"/>
  <c r="D160" i="3"/>
  <c r="C160" i="3"/>
  <c r="B160" i="3"/>
  <c r="F159" i="3"/>
  <c r="E159" i="3"/>
  <c r="D159" i="3"/>
  <c r="I159" i="3" s="1"/>
  <c r="C159" i="3"/>
  <c r="B159" i="3"/>
  <c r="G159" i="3" s="1"/>
  <c r="F158" i="3"/>
  <c r="E158" i="3"/>
  <c r="D158" i="3"/>
  <c r="I158" i="3" s="1"/>
  <c r="C158" i="3"/>
  <c r="H158" i="3" s="1"/>
  <c r="B158" i="3"/>
  <c r="G158" i="3" s="1"/>
  <c r="J158" i="3" s="1"/>
  <c r="C156" i="4" s="1"/>
  <c r="F157" i="3"/>
  <c r="E157" i="3"/>
  <c r="D157" i="3"/>
  <c r="I157" i="3" s="1"/>
  <c r="C157" i="3"/>
  <c r="H157" i="3" s="1"/>
  <c r="B157" i="3"/>
  <c r="G157" i="3" s="1"/>
  <c r="J157" i="3" s="1"/>
  <c r="C155" i="4" s="1"/>
  <c r="I156" i="3"/>
  <c r="H156" i="3"/>
  <c r="G156" i="3"/>
  <c r="J156" i="3" s="1"/>
  <c r="C154" i="4" s="1"/>
  <c r="F156" i="3"/>
  <c r="E156" i="3"/>
  <c r="D156" i="3"/>
  <c r="C156" i="3"/>
  <c r="B156" i="3"/>
  <c r="F155" i="3"/>
  <c r="E155" i="3"/>
  <c r="D155" i="3"/>
  <c r="I155" i="3" s="1"/>
  <c r="C155" i="3"/>
  <c r="B155" i="3"/>
  <c r="G155" i="3" s="1"/>
  <c r="F154" i="3"/>
  <c r="E154" i="3"/>
  <c r="D154" i="3"/>
  <c r="I154" i="3" s="1"/>
  <c r="C154" i="3"/>
  <c r="H154" i="3" s="1"/>
  <c r="B154" i="3"/>
  <c r="G154" i="3" s="1"/>
  <c r="J154" i="3" s="1"/>
  <c r="C152" i="4" s="1"/>
  <c r="F153" i="3"/>
  <c r="E153" i="3"/>
  <c r="D153" i="3"/>
  <c r="I153" i="3" s="1"/>
  <c r="C153" i="3"/>
  <c r="H153" i="3" s="1"/>
  <c r="B153" i="3"/>
  <c r="G153" i="3" s="1"/>
  <c r="J153" i="3" s="1"/>
  <c r="C151" i="4" s="1"/>
  <c r="I152" i="3"/>
  <c r="H152" i="3"/>
  <c r="G152" i="3"/>
  <c r="J152" i="3" s="1"/>
  <c r="C150" i="4" s="1"/>
  <c r="F152" i="3"/>
  <c r="E152" i="3"/>
  <c r="D152" i="3"/>
  <c r="C152" i="3"/>
  <c r="B152" i="3"/>
  <c r="F151" i="3"/>
  <c r="E151" i="3"/>
  <c r="H151" i="3" s="1"/>
  <c r="D151" i="3"/>
  <c r="I151" i="3" s="1"/>
  <c r="C151" i="3"/>
  <c r="B151" i="3"/>
  <c r="G151" i="3" s="1"/>
  <c r="F150" i="3"/>
  <c r="E150" i="3"/>
  <c r="D150" i="3"/>
  <c r="I150" i="3" s="1"/>
  <c r="C150" i="3"/>
  <c r="H150" i="3" s="1"/>
  <c r="B150" i="3"/>
  <c r="G150" i="3" s="1"/>
  <c r="J150" i="3" s="1"/>
  <c r="C148" i="4" s="1"/>
  <c r="F149" i="3"/>
  <c r="E149" i="3"/>
  <c r="D149" i="3"/>
  <c r="I149" i="3" s="1"/>
  <c r="C149" i="3"/>
  <c r="H149" i="3" s="1"/>
  <c r="B149" i="3"/>
  <c r="G149" i="3" s="1"/>
  <c r="J149" i="3" s="1"/>
  <c r="C147" i="4" s="1"/>
  <c r="I148" i="3"/>
  <c r="H148" i="3"/>
  <c r="G148" i="3"/>
  <c r="J148" i="3" s="1"/>
  <c r="C146" i="4" s="1"/>
  <c r="F148" i="3"/>
  <c r="E148" i="3"/>
  <c r="D148" i="3"/>
  <c r="C148" i="3"/>
  <c r="B148" i="3"/>
  <c r="F147" i="3"/>
  <c r="E147" i="3"/>
  <c r="H147" i="3" s="1"/>
  <c r="D147" i="3"/>
  <c r="I147" i="3" s="1"/>
  <c r="C147" i="3"/>
  <c r="B147" i="3"/>
  <c r="G147" i="3" s="1"/>
  <c r="F146" i="3"/>
  <c r="I146" i="3" s="1"/>
  <c r="E146" i="3"/>
  <c r="D146" i="3"/>
  <c r="C146" i="3"/>
  <c r="H146" i="3" s="1"/>
  <c r="B146" i="3"/>
  <c r="G146" i="3" s="1"/>
  <c r="J146" i="3" s="1"/>
  <c r="C144" i="4" s="1"/>
  <c r="F145" i="3"/>
  <c r="E145" i="3"/>
  <c r="D145" i="3"/>
  <c r="I145" i="3" s="1"/>
  <c r="C145" i="3"/>
  <c r="H145" i="3" s="1"/>
  <c r="B145" i="3"/>
  <c r="G145" i="3" s="1"/>
  <c r="J145" i="3" s="1"/>
  <c r="C143" i="4" s="1"/>
  <c r="I144" i="3"/>
  <c r="H144" i="3"/>
  <c r="G144" i="3"/>
  <c r="J144" i="3" s="1"/>
  <c r="C142" i="4" s="1"/>
  <c r="F144" i="3"/>
  <c r="E144" i="3"/>
  <c r="D144" i="3"/>
  <c r="C144" i="3"/>
  <c r="B144" i="3"/>
  <c r="F143" i="3"/>
  <c r="E143" i="3"/>
  <c r="H143" i="3" s="1"/>
  <c r="D143" i="3"/>
  <c r="I143" i="3" s="1"/>
  <c r="C143" i="3"/>
  <c r="B143" i="3"/>
  <c r="G143" i="3" s="1"/>
  <c r="F142" i="3"/>
  <c r="I142" i="3" s="1"/>
  <c r="E142" i="3"/>
  <c r="D142" i="3"/>
  <c r="C142" i="3"/>
  <c r="H142" i="3" s="1"/>
  <c r="B142" i="3"/>
  <c r="G142" i="3" s="1"/>
  <c r="J142" i="3" s="1"/>
  <c r="C140" i="4" s="1"/>
  <c r="F141" i="3"/>
  <c r="E141" i="3"/>
  <c r="D141" i="3"/>
  <c r="I141" i="3" s="1"/>
  <c r="C141" i="3"/>
  <c r="H141" i="3" s="1"/>
  <c r="B141" i="3"/>
  <c r="G141" i="3" s="1"/>
  <c r="J141" i="3" s="1"/>
  <c r="C139" i="4" s="1"/>
  <c r="I140" i="3"/>
  <c r="H140" i="3"/>
  <c r="G140" i="3"/>
  <c r="J140" i="3" s="1"/>
  <c r="C138" i="4" s="1"/>
  <c r="F140" i="3"/>
  <c r="E140" i="3"/>
  <c r="D140" i="3"/>
  <c r="C140" i="3"/>
  <c r="B140" i="3"/>
  <c r="F139" i="3"/>
  <c r="E139" i="3"/>
  <c r="H139" i="3" s="1"/>
  <c r="D139" i="3"/>
  <c r="I139" i="3" s="1"/>
  <c r="C139" i="3"/>
  <c r="B139" i="3"/>
  <c r="G139" i="3" s="1"/>
  <c r="F138" i="3"/>
  <c r="I138" i="3" s="1"/>
  <c r="E138" i="3"/>
  <c r="D138" i="3"/>
  <c r="C138" i="3"/>
  <c r="H138" i="3" s="1"/>
  <c r="B138" i="3"/>
  <c r="G138" i="3" s="1"/>
  <c r="J138" i="3" s="1"/>
  <c r="C136" i="4" s="1"/>
  <c r="F137" i="3"/>
  <c r="E137" i="3"/>
  <c r="D137" i="3"/>
  <c r="I137" i="3" s="1"/>
  <c r="C137" i="3"/>
  <c r="H137" i="3" s="1"/>
  <c r="B137" i="3"/>
  <c r="G137" i="3" s="1"/>
  <c r="J137" i="3" s="1"/>
  <c r="C135" i="4" s="1"/>
  <c r="I136" i="3"/>
  <c r="H136" i="3"/>
  <c r="G136" i="3"/>
  <c r="J136" i="3" s="1"/>
  <c r="C134" i="4" s="1"/>
  <c r="F136" i="3"/>
  <c r="E136" i="3"/>
  <c r="D136" i="3"/>
  <c r="C136" i="3"/>
  <c r="B136" i="3"/>
  <c r="F135" i="3"/>
  <c r="E135" i="3"/>
  <c r="H135" i="3" s="1"/>
  <c r="D135" i="3"/>
  <c r="I135" i="3" s="1"/>
  <c r="C135" i="3"/>
  <c r="B135" i="3"/>
  <c r="G135" i="3" s="1"/>
  <c r="F134" i="3"/>
  <c r="I134" i="3" s="1"/>
  <c r="E134" i="3"/>
  <c r="D134" i="3"/>
  <c r="C134" i="3"/>
  <c r="H134" i="3" s="1"/>
  <c r="B134" i="3"/>
  <c r="G134" i="3" s="1"/>
  <c r="J134" i="3" s="1"/>
  <c r="C132" i="4" s="1"/>
  <c r="F133" i="3"/>
  <c r="E133" i="3"/>
  <c r="D133" i="3"/>
  <c r="I133" i="3" s="1"/>
  <c r="C133" i="3"/>
  <c r="H133" i="3" s="1"/>
  <c r="B133" i="3"/>
  <c r="G133" i="3" s="1"/>
  <c r="J133" i="3" s="1"/>
  <c r="C131" i="4" s="1"/>
  <c r="I132" i="3"/>
  <c r="H132" i="3"/>
  <c r="G132" i="3"/>
  <c r="J132" i="3" s="1"/>
  <c r="C130" i="4" s="1"/>
  <c r="F132" i="3"/>
  <c r="E132" i="3"/>
  <c r="D132" i="3"/>
  <c r="C132" i="3"/>
  <c r="B132" i="3"/>
  <c r="F131" i="3"/>
  <c r="E131" i="3"/>
  <c r="H131" i="3" s="1"/>
  <c r="D131" i="3"/>
  <c r="I131" i="3" s="1"/>
  <c r="C131" i="3"/>
  <c r="B131" i="3"/>
  <c r="G131" i="3" s="1"/>
  <c r="F130" i="3"/>
  <c r="I130" i="3" s="1"/>
  <c r="E130" i="3"/>
  <c r="D130" i="3"/>
  <c r="C130" i="3"/>
  <c r="H130" i="3" s="1"/>
  <c r="B130" i="3"/>
  <c r="G130" i="3" s="1"/>
  <c r="J130" i="3" s="1"/>
  <c r="C128" i="4" s="1"/>
  <c r="F129" i="3"/>
  <c r="E129" i="3"/>
  <c r="D129" i="3"/>
  <c r="I129" i="3" s="1"/>
  <c r="C129" i="3"/>
  <c r="H129" i="3" s="1"/>
  <c r="B129" i="3"/>
  <c r="G129" i="3" s="1"/>
  <c r="J129" i="3" s="1"/>
  <c r="C127" i="4" s="1"/>
  <c r="I128" i="3"/>
  <c r="H128" i="3"/>
  <c r="G128" i="3"/>
  <c r="J128" i="3" s="1"/>
  <c r="C126" i="4" s="1"/>
  <c r="F128" i="3"/>
  <c r="E128" i="3"/>
  <c r="D128" i="3"/>
  <c r="C128" i="3"/>
  <c r="B128" i="3"/>
  <c r="F127" i="3"/>
  <c r="E127" i="3"/>
  <c r="H127" i="3" s="1"/>
  <c r="D127" i="3"/>
  <c r="I127" i="3" s="1"/>
  <c r="C127" i="3"/>
  <c r="B127" i="3"/>
  <c r="G127" i="3" s="1"/>
  <c r="F126" i="3"/>
  <c r="I126" i="3" s="1"/>
  <c r="E126" i="3"/>
  <c r="D126" i="3"/>
  <c r="C126" i="3"/>
  <c r="H126" i="3" s="1"/>
  <c r="B126" i="3"/>
  <c r="G126" i="3" s="1"/>
  <c r="J126" i="3" s="1"/>
  <c r="C124" i="4" s="1"/>
  <c r="H125" i="3"/>
  <c r="F125" i="3"/>
  <c r="E125" i="3"/>
  <c r="D125" i="3"/>
  <c r="I125" i="3" s="1"/>
  <c r="C125" i="3"/>
  <c r="B125" i="3"/>
  <c r="G125" i="3" s="1"/>
  <c r="J125" i="3" s="1"/>
  <c r="C123" i="4" s="1"/>
  <c r="I124" i="3"/>
  <c r="H124" i="3"/>
  <c r="G124" i="3"/>
  <c r="F124" i="3"/>
  <c r="E124" i="3"/>
  <c r="D124" i="3"/>
  <c r="C124" i="3"/>
  <c r="B124" i="3"/>
  <c r="F123" i="3"/>
  <c r="E123" i="3"/>
  <c r="H123" i="3" s="1"/>
  <c r="D123" i="3"/>
  <c r="I123" i="3" s="1"/>
  <c r="C123" i="3"/>
  <c r="B123" i="3"/>
  <c r="G123" i="3" s="1"/>
  <c r="F122" i="3"/>
  <c r="I122" i="3" s="1"/>
  <c r="E122" i="3"/>
  <c r="D122" i="3"/>
  <c r="C122" i="3"/>
  <c r="H122" i="3" s="1"/>
  <c r="B122" i="3"/>
  <c r="G122" i="3" s="1"/>
  <c r="H121" i="3"/>
  <c r="F121" i="3"/>
  <c r="E121" i="3"/>
  <c r="D121" i="3"/>
  <c r="I121" i="3" s="1"/>
  <c r="J121" i="3" s="1"/>
  <c r="C119" i="4" s="1"/>
  <c r="C121" i="3"/>
  <c r="B121" i="3"/>
  <c r="G121" i="3" s="1"/>
  <c r="I120" i="3"/>
  <c r="H120" i="3"/>
  <c r="G120" i="3"/>
  <c r="F120" i="3"/>
  <c r="E120" i="3"/>
  <c r="D120" i="3"/>
  <c r="C120" i="3"/>
  <c r="B120" i="3"/>
  <c r="F119" i="3"/>
  <c r="E119" i="3"/>
  <c r="H119" i="3" s="1"/>
  <c r="D119" i="3"/>
  <c r="I119" i="3" s="1"/>
  <c r="C119" i="3"/>
  <c r="B119" i="3"/>
  <c r="G119" i="3" s="1"/>
  <c r="F118" i="3"/>
  <c r="I118" i="3" s="1"/>
  <c r="E118" i="3"/>
  <c r="D118" i="3"/>
  <c r="C118" i="3"/>
  <c r="H118" i="3" s="1"/>
  <c r="B118" i="3"/>
  <c r="G118" i="3" s="1"/>
  <c r="J117" i="3"/>
  <c r="C115" i="4" s="1"/>
  <c r="H117" i="3"/>
  <c r="F117" i="3"/>
  <c r="E117" i="3"/>
  <c r="D117" i="3"/>
  <c r="I117" i="3" s="1"/>
  <c r="C117" i="3"/>
  <c r="B117" i="3"/>
  <c r="G117" i="3" s="1"/>
  <c r="I116" i="3"/>
  <c r="H116" i="3"/>
  <c r="G116" i="3"/>
  <c r="J116" i="3" s="1"/>
  <c r="C114" i="4" s="1"/>
  <c r="F116" i="3"/>
  <c r="E116" i="3"/>
  <c r="D116" i="3"/>
  <c r="C116" i="3"/>
  <c r="B116" i="3"/>
  <c r="F115" i="3"/>
  <c r="E115" i="3"/>
  <c r="H115" i="3" s="1"/>
  <c r="D115" i="3"/>
  <c r="I115" i="3" s="1"/>
  <c r="C115" i="3"/>
  <c r="B115" i="3"/>
  <c r="G115" i="3" s="1"/>
  <c r="J115" i="3" s="1"/>
  <c r="C113" i="4" s="1"/>
  <c r="F114" i="3"/>
  <c r="I114" i="3" s="1"/>
  <c r="E114" i="3"/>
  <c r="D114" i="3"/>
  <c r="C114" i="3"/>
  <c r="H114" i="3" s="1"/>
  <c r="B114" i="3"/>
  <c r="G114" i="3" s="1"/>
  <c r="J114" i="3" s="1"/>
  <c r="C112" i="4" s="1"/>
  <c r="J113" i="3"/>
  <c r="C111" i="4" s="1"/>
  <c r="H113" i="3"/>
  <c r="F113" i="3"/>
  <c r="E113" i="3"/>
  <c r="D113" i="3"/>
  <c r="I113" i="3" s="1"/>
  <c r="C113" i="3"/>
  <c r="B113" i="3"/>
  <c r="G113" i="3" s="1"/>
  <c r="I112" i="3"/>
  <c r="H112" i="3"/>
  <c r="G112" i="3"/>
  <c r="F112" i="3"/>
  <c r="E112" i="3"/>
  <c r="D112" i="3"/>
  <c r="C112" i="3"/>
  <c r="B112" i="3"/>
  <c r="F111" i="3"/>
  <c r="E111" i="3"/>
  <c r="H111" i="3" s="1"/>
  <c r="D111" i="3"/>
  <c r="I111" i="3" s="1"/>
  <c r="C111" i="3"/>
  <c r="B111" i="3"/>
  <c r="G111" i="3" s="1"/>
  <c r="F110" i="3"/>
  <c r="I110" i="3" s="1"/>
  <c r="E110" i="3"/>
  <c r="D110" i="3"/>
  <c r="C110" i="3"/>
  <c r="H110" i="3" s="1"/>
  <c r="B110" i="3"/>
  <c r="G110" i="3" s="1"/>
  <c r="J110" i="3" s="1"/>
  <c r="C108" i="4" s="1"/>
  <c r="H109" i="3"/>
  <c r="F109" i="3"/>
  <c r="E109" i="3"/>
  <c r="D109" i="3"/>
  <c r="I109" i="3" s="1"/>
  <c r="J109" i="3" s="1"/>
  <c r="C107" i="4" s="1"/>
  <c r="C109" i="3"/>
  <c r="B109" i="3"/>
  <c r="G109" i="3" s="1"/>
  <c r="I108" i="3"/>
  <c r="H108" i="3"/>
  <c r="G108" i="3"/>
  <c r="J108" i="3" s="1"/>
  <c r="C106" i="4" s="1"/>
  <c r="F108" i="3"/>
  <c r="E108" i="3"/>
  <c r="D108" i="3"/>
  <c r="C108" i="3"/>
  <c r="B108" i="3"/>
  <c r="F107" i="3"/>
  <c r="E107" i="3"/>
  <c r="H107" i="3" s="1"/>
  <c r="D107" i="3"/>
  <c r="I107" i="3" s="1"/>
  <c r="C107" i="3"/>
  <c r="B107" i="3"/>
  <c r="G107" i="3" s="1"/>
  <c r="J107" i="3" s="1"/>
  <c r="C105" i="4" s="1"/>
  <c r="F106" i="3"/>
  <c r="I106" i="3" s="1"/>
  <c r="E106" i="3"/>
  <c r="D106" i="3"/>
  <c r="C106" i="3"/>
  <c r="H106" i="3" s="1"/>
  <c r="B106" i="3"/>
  <c r="G106" i="3" s="1"/>
  <c r="H105" i="3"/>
  <c r="F105" i="3"/>
  <c r="E105" i="3"/>
  <c r="D105" i="3"/>
  <c r="I105" i="3" s="1"/>
  <c r="C105" i="3"/>
  <c r="B105" i="3"/>
  <c r="G105" i="3" s="1"/>
  <c r="J105" i="3" s="1"/>
  <c r="C103" i="4" s="1"/>
  <c r="I104" i="3"/>
  <c r="H104" i="3"/>
  <c r="G104" i="3"/>
  <c r="J104" i="3" s="1"/>
  <c r="C102" i="4" s="1"/>
  <c r="F104" i="3"/>
  <c r="E104" i="3"/>
  <c r="D104" i="3"/>
  <c r="C104" i="3"/>
  <c r="B104" i="3"/>
  <c r="F103" i="3"/>
  <c r="E103" i="3"/>
  <c r="H103" i="3" s="1"/>
  <c r="D103" i="3"/>
  <c r="I103" i="3" s="1"/>
  <c r="C103" i="3"/>
  <c r="B103" i="3"/>
  <c r="G103" i="3" s="1"/>
  <c r="F102" i="3"/>
  <c r="I102" i="3" s="1"/>
  <c r="E102" i="3"/>
  <c r="D102" i="3"/>
  <c r="C102" i="3"/>
  <c r="H102" i="3" s="1"/>
  <c r="B102" i="3"/>
  <c r="G102" i="3" s="1"/>
  <c r="J102" i="3" s="1"/>
  <c r="C100" i="4" s="1"/>
  <c r="J101" i="3"/>
  <c r="C99" i="4" s="1"/>
  <c r="H101" i="3"/>
  <c r="F101" i="3"/>
  <c r="E101" i="3"/>
  <c r="D101" i="3"/>
  <c r="I101" i="3" s="1"/>
  <c r="C101" i="3"/>
  <c r="B101" i="3"/>
  <c r="G101" i="3" s="1"/>
  <c r="I100" i="3"/>
  <c r="H100" i="3"/>
  <c r="G100" i="3"/>
  <c r="J100" i="3" s="1"/>
  <c r="C98" i="4" s="1"/>
  <c r="F100" i="3"/>
  <c r="E100" i="3"/>
  <c r="D100" i="3"/>
  <c r="C100" i="3"/>
  <c r="B100" i="3"/>
  <c r="F99" i="3"/>
  <c r="E99" i="3"/>
  <c r="H99" i="3" s="1"/>
  <c r="D99" i="3"/>
  <c r="I99" i="3" s="1"/>
  <c r="C99" i="3"/>
  <c r="B99" i="3"/>
  <c r="G99" i="3" s="1"/>
  <c r="F98" i="3"/>
  <c r="I98" i="3" s="1"/>
  <c r="E98" i="3"/>
  <c r="D98" i="3"/>
  <c r="C98" i="3"/>
  <c r="H98" i="3" s="1"/>
  <c r="B98" i="3"/>
  <c r="G98" i="3" s="1"/>
  <c r="H97" i="3"/>
  <c r="F97" i="3"/>
  <c r="E97" i="3"/>
  <c r="D97" i="3"/>
  <c r="I97" i="3" s="1"/>
  <c r="C97" i="3"/>
  <c r="B97" i="3"/>
  <c r="G97" i="3" s="1"/>
  <c r="J97" i="3" s="1"/>
  <c r="C95" i="4" s="1"/>
  <c r="I96" i="3"/>
  <c r="H96" i="3"/>
  <c r="G96" i="3"/>
  <c r="F96" i="3"/>
  <c r="E96" i="3"/>
  <c r="D96" i="3"/>
  <c r="C96" i="3"/>
  <c r="B96" i="3"/>
  <c r="F95" i="3"/>
  <c r="E95" i="3"/>
  <c r="H95" i="3" s="1"/>
  <c r="D95" i="3"/>
  <c r="C95" i="3"/>
  <c r="B95" i="3"/>
  <c r="G95" i="3" s="1"/>
  <c r="F94" i="3"/>
  <c r="I94" i="3" s="1"/>
  <c r="E94" i="3"/>
  <c r="D94" i="3"/>
  <c r="C94" i="3"/>
  <c r="H94" i="3" s="1"/>
  <c r="B94" i="3"/>
  <c r="G94" i="3" s="1"/>
  <c r="H93" i="3"/>
  <c r="F93" i="3"/>
  <c r="E93" i="3"/>
  <c r="D93" i="3"/>
  <c r="I93" i="3" s="1"/>
  <c r="C93" i="3"/>
  <c r="B93" i="3"/>
  <c r="G93" i="3" s="1"/>
  <c r="J93" i="3" s="1"/>
  <c r="C91" i="4" s="1"/>
  <c r="I92" i="3"/>
  <c r="H92" i="3"/>
  <c r="G92" i="3"/>
  <c r="F92" i="3"/>
  <c r="E92" i="3"/>
  <c r="D92" i="3"/>
  <c r="C92" i="3"/>
  <c r="B92" i="3"/>
  <c r="F91" i="3"/>
  <c r="E91" i="3"/>
  <c r="H91" i="3" s="1"/>
  <c r="D91" i="3"/>
  <c r="C91" i="3"/>
  <c r="B91" i="3"/>
  <c r="G91" i="3" s="1"/>
  <c r="F90" i="3"/>
  <c r="I90" i="3" s="1"/>
  <c r="E90" i="3"/>
  <c r="D90" i="3"/>
  <c r="C90" i="3"/>
  <c r="H90" i="3" s="1"/>
  <c r="B90" i="3"/>
  <c r="G90" i="3" s="1"/>
  <c r="J90" i="3" s="1"/>
  <c r="C88" i="4" s="1"/>
  <c r="H89" i="3"/>
  <c r="F89" i="3"/>
  <c r="E89" i="3"/>
  <c r="D89" i="3"/>
  <c r="I89" i="3" s="1"/>
  <c r="C89" i="3"/>
  <c r="B89" i="3"/>
  <c r="G89" i="3" s="1"/>
  <c r="J89" i="3" s="1"/>
  <c r="C87" i="4" s="1"/>
  <c r="I88" i="3"/>
  <c r="H88" i="3"/>
  <c r="G88" i="3"/>
  <c r="F88" i="3"/>
  <c r="E88" i="3"/>
  <c r="D88" i="3"/>
  <c r="C88" i="3"/>
  <c r="B88" i="3"/>
  <c r="F87" i="3"/>
  <c r="E87" i="3"/>
  <c r="H87" i="3" s="1"/>
  <c r="D87" i="3"/>
  <c r="I87" i="3" s="1"/>
  <c r="C87" i="3"/>
  <c r="B87" i="3"/>
  <c r="G87" i="3" s="1"/>
  <c r="F86" i="3"/>
  <c r="I86" i="3" s="1"/>
  <c r="E86" i="3"/>
  <c r="D86" i="3"/>
  <c r="C86" i="3"/>
  <c r="H86" i="3" s="1"/>
  <c r="B86" i="3"/>
  <c r="G86" i="3" s="1"/>
  <c r="H85" i="3"/>
  <c r="F85" i="3"/>
  <c r="I85" i="3" s="1"/>
  <c r="E85" i="3"/>
  <c r="D85" i="3"/>
  <c r="C85" i="3"/>
  <c r="B85" i="3"/>
  <c r="G85" i="3" s="1"/>
  <c r="J85" i="3" s="1"/>
  <c r="C83" i="4" s="1"/>
  <c r="I84" i="3"/>
  <c r="G84" i="3"/>
  <c r="F84" i="3"/>
  <c r="E84" i="3"/>
  <c r="H84" i="3" s="1"/>
  <c r="D84" i="3"/>
  <c r="C84" i="3"/>
  <c r="B84" i="3"/>
  <c r="F83" i="3"/>
  <c r="E83" i="3"/>
  <c r="H83" i="3" s="1"/>
  <c r="D83" i="3"/>
  <c r="C83" i="3"/>
  <c r="B83" i="3"/>
  <c r="G83" i="3" s="1"/>
  <c r="F82" i="3"/>
  <c r="I82" i="3" s="1"/>
  <c r="E82" i="3"/>
  <c r="D82" i="3"/>
  <c r="C82" i="3"/>
  <c r="B82" i="3"/>
  <c r="G82" i="3" s="1"/>
  <c r="F81" i="3"/>
  <c r="I81" i="3" s="1"/>
  <c r="E81" i="3"/>
  <c r="D81" i="3"/>
  <c r="C81" i="3"/>
  <c r="H81" i="3" s="1"/>
  <c r="B81" i="3"/>
  <c r="G81" i="3" s="1"/>
  <c r="I80" i="3"/>
  <c r="G80" i="3"/>
  <c r="F80" i="3"/>
  <c r="E80" i="3"/>
  <c r="H80" i="3" s="1"/>
  <c r="D80" i="3"/>
  <c r="C80" i="3"/>
  <c r="B80" i="3"/>
  <c r="I79" i="3"/>
  <c r="F79" i="3"/>
  <c r="E79" i="3"/>
  <c r="H79" i="3" s="1"/>
  <c r="D79" i="3"/>
  <c r="C79" i="3"/>
  <c r="B79" i="3"/>
  <c r="G79" i="3" s="1"/>
  <c r="F78" i="3"/>
  <c r="I78" i="3" s="1"/>
  <c r="E78" i="3"/>
  <c r="D78" i="3"/>
  <c r="C78" i="3"/>
  <c r="H78" i="3" s="1"/>
  <c r="B78" i="3"/>
  <c r="G78" i="3" s="1"/>
  <c r="H77" i="3"/>
  <c r="J77" i="3" s="1"/>
  <c r="C75" i="4" s="1"/>
  <c r="F77" i="3"/>
  <c r="I77" i="3" s="1"/>
  <c r="E77" i="3"/>
  <c r="D77" i="3"/>
  <c r="C77" i="3"/>
  <c r="B77" i="3"/>
  <c r="G77" i="3" s="1"/>
  <c r="I76" i="3"/>
  <c r="F76" i="3"/>
  <c r="E76" i="3"/>
  <c r="D76" i="3"/>
  <c r="C76" i="3"/>
  <c r="H76" i="3" s="1"/>
  <c r="B76" i="3"/>
  <c r="G76" i="3" s="1"/>
  <c r="H75" i="3"/>
  <c r="F75" i="3"/>
  <c r="E75" i="3"/>
  <c r="D75" i="3"/>
  <c r="I75" i="3" s="1"/>
  <c r="C75" i="3"/>
  <c r="B75" i="3"/>
  <c r="G75" i="3" s="1"/>
  <c r="I74" i="3"/>
  <c r="H74" i="3"/>
  <c r="F74" i="3"/>
  <c r="E74" i="3"/>
  <c r="D74" i="3"/>
  <c r="C74" i="3"/>
  <c r="B74" i="3"/>
  <c r="G74" i="3" s="1"/>
  <c r="F73" i="3"/>
  <c r="I73" i="3" s="1"/>
  <c r="E73" i="3"/>
  <c r="D73" i="3"/>
  <c r="C73" i="3"/>
  <c r="H73" i="3" s="1"/>
  <c r="B73" i="3"/>
  <c r="G73" i="3" s="1"/>
  <c r="I72" i="3"/>
  <c r="H72" i="3"/>
  <c r="F72" i="3"/>
  <c r="E72" i="3"/>
  <c r="D72" i="3"/>
  <c r="C72" i="3"/>
  <c r="B72" i="3"/>
  <c r="G72" i="3" s="1"/>
  <c r="J72" i="3" s="1"/>
  <c r="C70" i="4" s="1"/>
  <c r="F71" i="3"/>
  <c r="E71" i="3"/>
  <c r="H71" i="3" s="1"/>
  <c r="D71" i="3"/>
  <c r="I71" i="3" s="1"/>
  <c r="C71" i="3"/>
  <c r="B71" i="3"/>
  <c r="G71" i="3" s="1"/>
  <c r="H70" i="3"/>
  <c r="F70" i="3"/>
  <c r="I70" i="3" s="1"/>
  <c r="E70" i="3"/>
  <c r="D70" i="3"/>
  <c r="C70" i="3"/>
  <c r="B70" i="3"/>
  <c r="G70" i="3" s="1"/>
  <c r="H69" i="3"/>
  <c r="J69" i="3" s="1"/>
  <c r="C67" i="4" s="1"/>
  <c r="F69" i="3"/>
  <c r="I69" i="3" s="1"/>
  <c r="E69" i="3"/>
  <c r="D69" i="3"/>
  <c r="C69" i="3"/>
  <c r="B69" i="3"/>
  <c r="G69" i="3" s="1"/>
  <c r="I68" i="3"/>
  <c r="G68" i="3"/>
  <c r="F68" i="3"/>
  <c r="E68" i="3"/>
  <c r="D68" i="3"/>
  <c r="C68" i="3"/>
  <c r="H68" i="3" s="1"/>
  <c r="B68" i="3"/>
  <c r="I67" i="3"/>
  <c r="F67" i="3"/>
  <c r="E67" i="3"/>
  <c r="H67" i="3" s="1"/>
  <c r="D67" i="3"/>
  <c r="C67" i="3"/>
  <c r="B67" i="3"/>
  <c r="G67" i="3" s="1"/>
  <c r="F66" i="3"/>
  <c r="I66" i="3" s="1"/>
  <c r="E66" i="3"/>
  <c r="D66" i="3"/>
  <c r="C66" i="3"/>
  <c r="H66" i="3" s="1"/>
  <c r="B66" i="3"/>
  <c r="G66" i="3" s="1"/>
  <c r="I65" i="3"/>
  <c r="F65" i="3"/>
  <c r="E65" i="3"/>
  <c r="H65" i="3" s="1"/>
  <c r="D65" i="3"/>
  <c r="C65" i="3"/>
  <c r="B65" i="3"/>
  <c r="G65" i="3" s="1"/>
  <c r="I64" i="3"/>
  <c r="G64" i="3"/>
  <c r="F64" i="3"/>
  <c r="E64" i="3"/>
  <c r="D64" i="3"/>
  <c r="C64" i="3"/>
  <c r="H64" i="3" s="1"/>
  <c r="B64" i="3"/>
  <c r="F63" i="3"/>
  <c r="E63" i="3"/>
  <c r="D63" i="3"/>
  <c r="I63" i="3" s="1"/>
  <c r="C63" i="3"/>
  <c r="H63" i="3" s="1"/>
  <c r="B63" i="3"/>
  <c r="G63" i="3" s="1"/>
  <c r="F62" i="3"/>
  <c r="I62" i="3" s="1"/>
  <c r="E62" i="3"/>
  <c r="D62" i="3"/>
  <c r="C62" i="3"/>
  <c r="H62" i="3" s="1"/>
  <c r="B62" i="3"/>
  <c r="G62" i="3" s="1"/>
  <c r="I61" i="3"/>
  <c r="H61" i="3"/>
  <c r="F61" i="3"/>
  <c r="E61" i="3"/>
  <c r="D61" i="3"/>
  <c r="C61" i="3"/>
  <c r="B61" i="3"/>
  <c r="G61" i="3" s="1"/>
  <c r="J61" i="3" s="1"/>
  <c r="C59" i="4" s="1"/>
  <c r="I60" i="3"/>
  <c r="G60" i="3"/>
  <c r="F60" i="3"/>
  <c r="E60" i="3"/>
  <c r="D60" i="3"/>
  <c r="C60" i="3"/>
  <c r="H60" i="3" s="1"/>
  <c r="B60" i="3"/>
  <c r="I59" i="3"/>
  <c r="F59" i="3"/>
  <c r="E59" i="3"/>
  <c r="H59" i="3" s="1"/>
  <c r="D59" i="3"/>
  <c r="C59" i="3"/>
  <c r="B59" i="3"/>
  <c r="G59" i="3" s="1"/>
  <c r="F58" i="3"/>
  <c r="I58" i="3" s="1"/>
  <c r="E58" i="3"/>
  <c r="D58" i="3"/>
  <c r="C58" i="3"/>
  <c r="H58" i="3" s="1"/>
  <c r="B58" i="3"/>
  <c r="G58" i="3" s="1"/>
  <c r="I57" i="3"/>
  <c r="F57" i="3"/>
  <c r="E57" i="3"/>
  <c r="H57" i="3" s="1"/>
  <c r="D57" i="3"/>
  <c r="C57" i="3"/>
  <c r="B57" i="3"/>
  <c r="G57" i="3" s="1"/>
  <c r="I56" i="3"/>
  <c r="G56" i="3"/>
  <c r="F56" i="3"/>
  <c r="E56" i="3"/>
  <c r="D56" i="3"/>
  <c r="C56" i="3"/>
  <c r="H56" i="3" s="1"/>
  <c r="B56" i="3"/>
  <c r="F55" i="3"/>
  <c r="E55" i="3"/>
  <c r="D55" i="3"/>
  <c r="I55" i="3" s="1"/>
  <c r="C55" i="3"/>
  <c r="H55" i="3" s="1"/>
  <c r="B55" i="3"/>
  <c r="G55" i="3" s="1"/>
  <c r="I54" i="3"/>
  <c r="F54" i="3"/>
  <c r="E54" i="3"/>
  <c r="D54" i="3"/>
  <c r="C54" i="3"/>
  <c r="H54" i="3" s="1"/>
  <c r="B54" i="3"/>
  <c r="G54" i="3" s="1"/>
  <c r="I53" i="3"/>
  <c r="H53" i="3"/>
  <c r="F53" i="3"/>
  <c r="E53" i="3"/>
  <c r="D53" i="3"/>
  <c r="C53" i="3"/>
  <c r="B53" i="3"/>
  <c r="G53" i="3" s="1"/>
  <c r="J53" i="3" s="1"/>
  <c r="C51" i="4" s="1"/>
  <c r="F52" i="3"/>
  <c r="I52" i="3" s="1"/>
  <c r="E52" i="3"/>
  <c r="H52" i="3" s="1"/>
  <c r="D52" i="3"/>
  <c r="C52" i="3"/>
  <c r="B52" i="3"/>
  <c r="G52" i="3" s="1"/>
  <c r="G51" i="3"/>
  <c r="F51" i="3"/>
  <c r="E51" i="3"/>
  <c r="D51" i="3"/>
  <c r="I51" i="3" s="1"/>
  <c r="C51" i="3"/>
  <c r="H51" i="3" s="1"/>
  <c r="B51" i="3"/>
  <c r="I50" i="3"/>
  <c r="H50" i="3"/>
  <c r="F50" i="3"/>
  <c r="E50" i="3"/>
  <c r="D50" i="3"/>
  <c r="C50" i="3"/>
  <c r="B50" i="3"/>
  <c r="G50" i="3" s="1"/>
  <c r="J50" i="3" s="1"/>
  <c r="C48" i="4" s="1"/>
  <c r="F49" i="3"/>
  <c r="E49" i="3"/>
  <c r="D49" i="3"/>
  <c r="I49" i="3" s="1"/>
  <c r="C49" i="3"/>
  <c r="H49" i="3" s="1"/>
  <c r="B49" i="3"/>
  <c r="G49" i="3" s="1"/>
  <c r="F48" i="3"/>
  <c r="E48" i="3"/>
  <c r="H48" i="3" s="1"/>
  <c r="D48" i="3"/>
  <c r="I48" i="3" s="1"/>
  <c r="C48" i="3"/>
  <c r="B48" i="3"/>
  <c r="G48" i="3" s="1"/>
  <c r="J48" i="3" s="1"/>
  <c r="C46" i="4" s="1"/>
  <c r="H47" i="3"/>
  <c r="F47" i="3"/>
  <c r="E47" i="3"/>
  <c r="D47" i="3"/>
  <c r="I47" i="3" s="1"/>
  <c r="C47" i="3"/>
  <c r="B47" i="3"/>
  <c r="G47" i="3" s="1"/>
  <c r="J47" i="3" s="1"/>
  <c r="C45" i="4" s="1"/>
  <c r="H46" i="3"/>
  <c r="G46" i="3"/>
  <c r="F46" i="3"/>
  <c r="E46" i="3"/>
  <c r="D46" i="3"/>
  <c r="I46" i="3" s="1"/>
  <c r="C46" i="3"/>
  <c r="B46" i="3"/>
  <c r="F45" i="3"/>
  <c r="E45" i="3"/>
  <c r="H45" i="3" s="1"/>
  <c r="D45" i="3"/>
  <c r="I45" i="3" s="1"/>
  <c r="C45" i="3"/>
  <c r="B45" i="3"/>
  <c r="G45" i="3" s="1"/>
  <c r="J45" i="3" s="1"/>
  <c r="C43" i="4" s="1"/>
  <c r="F44" i="3"/>
  <c r="E44" i="3"/>
  <c r="H44" i="3" s="1"/>
  <c r="D44" i="3"/>
  <c r="I44" i="3" s="1"/>
  <c r="C44" i="3"/>
  <c r="B44" i="3"/>
  <c r="G44" i="3" s="1"/>
  <c r="J44" i="3" s="1"/>
  <c r="C42" i="4" s="1"/>
  <c r="H43" i="3"/>
  <c r="F43" i="3"/>
  <c r="E43" i="3"/>
  <c r="D43" i="3"/>
  <c r="I43" i="3" s="1"/>
  <c r="C43" i="3"/>
  <c r="B43" i="3"/>
  <c r="G43" i="3" s="1"/>
  <c r="H42" i="3"/>
  <c r="G42" i="3"/>
  <c r="F42" i="3"/>
  <c r="E42" i="3"/>
  <c r="D42" i="3"/>
  <c r="I42" i="3" s="1"/>
  <c r="C42" i="3"/>
  <c r="B42" i="3"/>
  <c r="F41" i="3"/>
  <c r="E41" i="3"/>
  <c r="H41" i="3" s="1"/>
  <c r="D41" i="3"/>
  <c r="I41" i="3" s="1"/>
  <c r="C41" i="3"/>
  <c r="B41" i="3"/>
  <c r="G41" i="3" s="1"/>
  <c r="F40" i="3"/>
  <c r="E40" i="3"/>
  <c r="H40" i="3" s="1"/>
  <c r="D40" i="3"/>
  <c r="I40" i="3" s="1"/>
  <c r="C40" i="3"/>
  <c r="B40" i="3"/>
  <c r="G40" i="3" s="1"/>
  <c r="H39" i="3"/>
  <c r="F39" i="3"/>
  <c r="E39" i="3"/>
  <c r="D39" i="3"/>
  <c r="I39" i="3" s="1"/>
  <c r="C39" i="3"/>
  <c r="B39" i="3"/>
  <c r="G39" i="3" s="1"/>
  <c r="J39" i="3" s="1"/>
  <c r="C37" i="4" s="1"/>
  <c r="H38" i="3"/>
  <c r="G38" i="3"/>
  <c r="J38" i="3" s="1"/>
  <c r="C36" i="4" s="1"/>
  <c r="F38" i="3"/>
  <c r="E38" i="3"/>
  <c r="D38" i="3"/>
  <c r="I38" i="3" s="1"/>
  <c r="C38" i="3"/>
  <c r="B38" i="3"/>
  <c r="F37" i="3"/>
  <c r="E37" i="3"/>
  <c r="H37" i="3" s="1"/>
  <c r="D37" i="3"/>
  <c r="I37" i="3" s="1"/>
  <c r="C37" i="3"/>
  <c r="B37" i="3"/>
  <c r="G37" i="3" s="1"/>
  <c r="J37" i="3" s="1"/>
  <c r="C35" i="4" s="1"/>
  <c r="F36" i="3"/>
  <c r="E36" i="3"/>
  <c r="H36" i="3" s="1"/>
  <c r="D36" i="3"/>
  <c r="I36" i="3" s="1"/>
  <c r="C36" i="3"/>
  <c r="B36" i="3"/>
  <c r="G36" i="3" s="1"/>
  <c r="H35" i="3"/>
  <c r="F35" i="3"/>
  <c r="E35" i="3"/>
  <c r="D35" i="3"/>
  <c r="I35" i="3" s="1"/>
  <c r="C35" i="3"/>
  <c r="B35" i="3"/>
  <c r="G35" i="3" s="1"/>
  <c r="J35" i="3" s="1"/>
  <c r="C33" i="4" s="1"/>
  <c r="H34" i="3"/>
  <c r="G34" i="3"/>
  <c r="F34" i="3"/>
  <c r="E34" i="3"/>
  <c r="D34" i="3"/>
  <c r="I34" i="3" s="1"/>
  <c r="C34" i="3"/>
  <c r="B34" i="3"/>
  <c r="F33" i="3"/>
  <c r="E33" i="3"/>
  <c r="H33" i="3" s="1"/>
  <c r="D33" i="3"/>
  <c r="I33" i="3" s="1"/>
  <c r="C33" i="3"/>
  <c r="B33" i="3"/>
  <c r="G33" i="3" s="1"/>
  <c r="F32" i="3"/>
  <c r="E32" i="3"/>
  <c r="H32" i="3" s="1"/>
  <c r="D32" i="3"/>
  <c r="I32" i="3" s="1"/>
  <c r="C32" i="3"/>
  <c r="B32" i="3"/>
  <c r="G32" i="3" s="1"/>
  <c r="H31" i="3"/>
  <c r="F31" i="3"/>
  <c r="E31" i="3"/>
  <c r="D31" i="3"/>
  <c r="I31" i="3" s="1"/>
  <c r="C31" i="3"/>
  <c r="B31" i="3"/>
  <c r="G31" i="3" s="1"/>
  <c r="H30" i="3"/>
  <c r="G30" i="3"/>
  <c r="J30" i="3" s="1"/>
  <c r="C28" i="4" s="1"/>
  <c r="F30" i="3"/>
  <c r="E30" i="3"/>
  <c r="D30" i="3"/>
  <c r="I30" i="3" s="1"/>
  <c r="C30" i="3"/>
  <c r="B30" i="3"/>
  <c r="F29" i="3"/>
  <c r="E29" i="3"/>
  <c r="H29" i="3" s="1"/>
  <c r="D29" i="3"/>
  <c r="I29" i="3" s="1"/>
  <c r="C29" i="3"/>
  <c r="B29" i="3"/>
  <c r="G29" i="3" s="1"/>
  <c r="F28" i="3"/>
  <c r="E28" i="3"/>
  <c r="H28" i="3" s="1"/>
  <c r="D28" i="3"/>
  <c r="I28" i="3" s="1"/>
  <c r="C28" i="3"/>
  <c r="B28" i="3"/>
  <c r="G28" i="3" s="1"/>
  <c r="H27" i="3"/>
  <c r="F27" i="3"/>
  <c r="E27" i="3"/>
  <c r="D27" i="3"/>
  <c r="I27" i="3" s="1"/>
  <c r="C27" i="3"/>
  <c r="B27" i="3"/>
  <c r="G27" i="3" s="1"/>
  <c r="H26" i="3"/>
  <c r="G26" i="3"/>
  <c r="F26" i="3"/>
  <c r="E26" i="3"/>
  <c r="D26" i="3"/>
  <c r="I26" i="3" s="1"/>
  <c r="C26" i="3"/>
  <c r="B26" i="3"/>
  <c r="F25" i="3"/>
  <c r="E25" i="3"/>
  <c r="H25" i="3" s="1"/>
  <c r="D25" i="3"/>
  <c r="I25" i="3" s="1"/>
  <c r="C25" i="3"/>
  <c r="B25" i="3"/>
  <c r="G25" i="3" s="1"/>
  <c r="F24" i="3"/>
  <c r="E24" i="3"/>
  <c r="H24" i="3" s="1"/>
  <c r="D24" i="3"/>
  <c r="I24" i="3" s="1"/>
  <c r="C24" i="3"/>
  <c r="B24" i="3"/>
  <c r="G24" i="3" s="1"/>
  <c r="J24" i="3" s="1"/>
  <c r="C22" i="4" s="1"/>
  <c r="H23" i="3"/>
  <c r="F23" i="3"/>
  <c r="E23" i="3"/>
  <c r="D23" i="3"/>
  <c r="I23" i="3" s="1"/>
  <c r="C23" i="3"/>
  <c r="B23" i="3"/>
  <c r="G23" i="3" s="1"/>
  <c r="J23" i="3" s="1"/>
  <c r="C21" i="4" s="1"/>
  <c r="H22" i="3"/>
  <c r="G22" i="3"/>
  <c r="J22" i="3" s="1"/>
  <c r="C20" i="4" s="1"/>
  <c r="F22" i="3"/>
  <c r="E22" i="3"/>
  <c r="D22" i="3"/>
  <c r="I22" i="3" s="1"/>
  <c r="C22" i="3"/>
  <c r="B22" i="3"/>
  <c r="F21" i="3"/>
  <c r="E21" i="3"/>
  <c r="H21" i="3" s="1"/>
  <c r="D21" i="3"/>
  <c r="I21" i="3" s="1"/>
  <c r="C21" i="3"/>
  <c r="B21" i="3"/>
  <c r="G21" i="3" s="1"/>
  <c r="J21" i="3" s="1"/>
  <c r="C19" i="4" s="1"/>
  <c r="F20" i="3"/>
  <c r="E20" i="3"/>
  <c r="H20" i="3" s="1"/>
  <c r="D20" i="3"/>
  <c r="I20" i="3" s="1"/>
  <c r="C20" i="3"/>
  <c r="B20" i="3"/>
  <c r="G20" i="3" s="1"/>
  <c r="H19" i="3"/>
  <c r="F19" i="3"/>
  <c r="E19" i="3"/>
  <c r="D19" i="3"/>
  <c r="I19" i="3" s="1"/>
  <c r="C19" i="3"/>
  <c r="B19" i="3"/>
  <c r="G19" i="3" s="1"/>
  <c r="J19" i="3" s="1"/>
  <c r="C17" i="4" s="1"/>
  <c r="H18" i="3"/>
  <c r="G18" i="3"/>
  <c r="F18" i="3"/>
  <c r="E18" i="3"/>
  <c r="D18" i="3"/>
  <c r="I18" i="3" s="1"/>
  <c r="C18" i="3"/>
  <c r="F17" i="3"/>
  <c r="E17" i="3"/>
  <c r="H17" i="3" s="1"/>
  <c r="D17" i="3"/>
  <c r="I17" i="3" s="1"/>
  <c r="C17" i="3"/>
  <c r="G17" i="3"/>
  <c r="J17" i="3" s="1"/>
  <c r="C15" i="4" s="1"/>
  <c r="F16" i="3"/>
  <c r="E16" i="3"/>
  <c r="H16" i="3" s="1"/>
  <c r="D16" i="3"/>
  <c r="I16" i="3" s="1"/>
  <c r="C16" i="3"/>
  <c r="G16" i="3"/>
  <c r="J29" i="3" l="1"/>
  <c r="C27" i="4" s="1"/>
  <c r="J31" i="3"/>
  <c r="C29" i="4" s="1"/>
  <c r="J18" i="3"/>
  <c r="C16" i="4" s="1"/>
  <c r="J25" i="3"/>
  <c r="C23" i="4" s="1"/>
  <c r="J27" i="3"/>
  <c r="C25" i="4" s="1"/>
  <c r="J52" i="3"/>
  <c r="C50" i="4" s="1"/>
  <c r="J76" i="3"/>
  <c r="C74" i="4" s="1"/>
  <c r="J40" i="3"/>
  <c r="C38" i="4" s="1"/>
  <c r="J36" i="3"/>
  <c r="C34" i="4" s="1"/>
  <c r="J32" i="3"/>
  <c r="C30" i="4" s="1"/>
  <c r="J46" i="3"/>
  <c r="C44" i="4" s="1"/>
  <c r="J28" i="3"/>
  <c r="C26" i="4" s="1"/>
  <c r="J42" i="3"/>
  <c r="C40" i="4" s="1"/>
  <c r="J49" i="3"/>
  <c r="C47" i="4" s="1"/>
  <c r="J57" i="3"/>
  <c r="C55" i="4" s="1"/>
  <c r="J65" i="3"/>
  <c r="C63" i="4" s="1"/>
  <c r="J73" i="3"/>
  <c r="C71" i="4" s="1"/>
  <c r="J81" i="3"/>
  <c r="C79" i="4" s="1"/>
  <c r="J20" i="3"/>
  <c r="C18" i="4" s="1"/>
  <c r="J34" i="3"/>
  <c r="C32" i="4" s="1"/>
  <c r="J41" i="3"/>
  <c r="C39" i="4" s="1"/>
  <c r="J43" i="3"/>
  <c r="C41" i="4" s="1"/>
  <c r="G268" i="3"/>
  <c r="G267" i="3"/>
  <c r="J16" i="3"/>
  <c r="J26" i="3"/>
  <c r="C24" i="4" s="1"/>
  <c r="J33" i="3"/>
  <c r="C31" i="4" s="1"/>
  <c r="J78" i="3"/>
  <c r="C76" i="4" s="1"/>
  <c r="J199" i="3"/>
  <c r="C197" i="4" s="1"/>
  <c r="J70" i="3"/>
  <c r="C68" i="4" s="1"/>
  <c r="J75" i="3"/>
  <c r="C73" i="4" s="1"/>
  <c r="I91" i="3"/>
  <c r="J91" i="3" s="1"/>
  <c r="C89" i="4" s="1"/>
  <c r="J99" i="3"/>
  <c r="C97" i="4" s="1"/>
  <c r="J118" i="3"/>
  <c r="C116" i="4" s="1"/>
  <c r="J190" i="3"/>
  <c r="C188" i="4" s="1"/>
  <c r="J54" i="3"/>
  <c r="C52" i="4" s="1"/>
  <c r="J62" i="3"/>
  <c r="C60" i="4" s="1"/>
  <c r="I95" i="3"/>
  <c r="J95" i="3" s="1"/>
  <c r="C93" i="4" s="1"/>
  <c r="J103" i="3"/>
  <c r="C101" i="4" s="1"/>
  <c r="J112" i="3"/>
  <c r="C110" i="4" s="1"/>
  <c r="J122" i="3"/>
  <c r="C120" i="4" s="1"/>
  <c r="J172" i="3"/>
  <c r="C170" i="4" s="1"/>
  <c r="J174" i="3"/>
  <c r="C172" i="4" s="1"/>
  <c r="J186" i="3"/>
  <c r="C184" i="4" s="1"/>
  <c r="J196" i="3"/>
  <c r="C194" i="4" s="1"/>
  <c r="J198" i="3"/>
  <c r="C196" i="4" s="1"/>
  <c r="J206" i="3"/>
  <c r="C204" i="4" s="1"/>
  <c r="J59" i="3"/>
  <c r="C57" i="4" s="1"/>
  <c r="J60" i="3"/>
  <c r="C58" i="4" s="1"/>
  <c r="J68" i="3"/>
  <c r="C66" i="4" s="1"/>
  <c r="J166" i="3"/>
  <c r="C164" i="4" s="1"/>
  <c r="J170" i="3"/>
  <c r="C168" i="4" s="1"/>
  <c r="H178" i="3"/>
  <c r="J178" i="3" s="1"/>
  <c r="C176" i="4" s="1"/>
  <c r="I202" i="3"/>
  <c r="J202" i="3" s="1"/>
  <c r="C200" i="4" s="1"/>
  <c r="J67" i="3"/>
  <c r="C65" i="4" s="1"/>
  <c r="H82" i="3"/>
  <c r="H268" i="3" s="1"/>
  <c r="J111" i="3"/>
  <c r="C109" i="4" s="1"/>
  <c r="J120" i="3"/>
  <c r="C118" i="4" s="1"/>
  <c r="J79" i="3"/>
  <c r="C77" i="4" s="1"/>
  <c r="J80" i="3"/>
  <c r="C78" i="4" s="1"/>
  <c r="J86" i="3"/>
  <c r="C84" i="4" s="1"/>
  <c r="J124" i="3"/>
  <c r="C122" i="4" s="1"/>
  <c r="J229" i="3"/>
  <c r="C227" i="4" s="1"/>
  <c r="J51" i="3"/>
  <c r="C49" i="4" s="1"/>
  <c r="J74" i="3"/>
  <c r="C72" i="4" s="1"/>
  <c r="J119" i="3"/>
  <c r="C117" i="4" s="1"/>
  <c r="J84" i="3"/>
  <c r="C82" i="4" s="1"/>
  <c r="J94" i="3"/>
  <c r="C92" i="4" s="1"/>
  <c r="J123" i="3"/>
  <c r="C121" i="4" s="1"/>
  <c r="J168" i="3"/>
  <c r="C166" i="4" s="1"/>
  <c r="J182" i="3"/>
  <c r="C180" i="4" s="1"/>
  <c r="J207" i="3"/>
  <c r="C205" i="4" s="1"/>
  <c r="J213" i="3"/>
  <c r="C211" i="4" s="1"/>
  <c r="J215" i="3"/>
  <c r="C213" i="4" s="1"/>
  <c r="J58" i="3"/>
  <c r="C56" i="4" s="1"/>
  <c r="J66" i="3"/>
  <c r="C64" i="4" s="1"/>
  <c r="J71" i="3"/>
  <c r="C69" i="4" s="1"/>
  <c r="J88" i="3"/>
  <c r="C86" i="4" s="1"/>
  <c r="J98" i="3"/>
  <c r="C96" i="4" s="1"/>
  <c r="J127" i="3"/>
  <c r="C125" i="4" s="1"/>
  <c r="J131" i="3"/>
  <c r="C129" i="4" s="1"/>
  <c r="J135" i="3"/>
  <c r="C133" i="4" s="1"/>
  <c r="J139" i="3"/>
  <c r="C137" i="4" s="1"/>
  <c r="J143" i="3"/>
  <c r="C141" i="4" s="1"/>
  <c r="J147" i="3"/>
  <c r="C145" i="4" s="1"/>
  <c r="J151" i="3"/>
  <c r="C149" i="4" s="1"/>
  <c r="J187" i="3"/>
  <c r="C185" i="4" s="1"/>
  <c r="J55" i="3"/>
  <c r="C53" i="4" s="1"/>
  <c r="J64" i="3"/>
  <c r="C62" i="4" s="1"/>
  <c r="J92" i="3"/>
  <c r="C90" i="4" s="1"/>
  <c r="H155" i="3"/>
  <c r="J155" i="3" s="1"/>
  <c r="C153" i="4" s="1"/>
  <c r="H159" i="3"/>
  <c r="J159" i="3" s="1"/>
  <c r="C157" i="4" s="1"/>
  <c r="H163" i="3"/>
  <c r="J163" i="3" s="1"/>
  <c r="C161" i="4" s="1"/>
  <c r="H167" i="3"/>
  <c r="J167" i="3" s="1"/>
  <c r="C165" i="4" s="1"/>
  <c r="I175" i="3"/>
  <c r="J175" i="3" s="1"/>
  <c r="C173" i="4" s="1"/>
  <c r="J185" i="3"/>
  <c r="C183" i="4" s="1"/>
  <c r="J195" i="3"/>
  <c r="C193" i="4" s="1"/>
  <c r="J56" i="3"/>
  <c r="C54" i="4" s="1"/>
  <c r="J63" i="3"/>
  <c r="C61" i="4" s="1"/>
  <c r="I83" i="3"/>
  <c r="I268" i="3" s="1"/>
  <c r="J87" i="3"/>
  <c r="C85" i="4" s="1"/>
  <c r="J96" i="3"/>
  <c r="C94" i="4" s="1"/>
  <c r="J106" i="3"/>
  <c r="C104" i="4" s="1"/>
  <c r="J169" i="3"/>
  <c r="C167" i="4" s="1"/>
  <c r="I171" i="3"/>
  <c r="J171" i="3" s="1"/>
  <c r="C169" i="4" s="1"/>
  <c r="J211" i="3"/>
  <c r="C209" i="4" s="1"/>
  <c r="I181" i="3"/>
  <c r="J181" i="3" s="1"/>
  <c r="C179" i="4" s="1"/>
  <c r="I193" i="3"/>
  <c r="J193" i="3" s="1"/>
  <c r="C191" i="4" s="1"/>
  <c r="J201" i="3"/>
  <c r="C199" i="4" s="1"/>
  <c r="I221" i="3"/>
  <c r="J221" i="3" s="1"/>
  <c r="C219" i="4" s="1"/>
  <c r="I229" i="3"/>
  <c r="I177" i="3"/>
  <c r="J177" i="3" s="1"/>
  <c r="C175" i="4" s="1"/>
  <c r="J209" i="3"/>
  <c r="C207" i="4" s="1"/>
  <c r="J189" i="3"/>
  <c r="C187" i="4" s="1"/>
  <c r="J217" i="3"/>
  <c r="C215" i="4" s="1"/>
  <c r="J265" i="3"/>
  <c r="C263" i="4" s="1"/>
  <c r="I189" i="3"/>
  <c r="H217" i="3"/>
  <c r="H225" i="3"/>
  <c r="J225" i="3" s="1"/>
  <c r="C223" i="4" s="1"/>
  <c r="H233" i="3"/>
  <c r="J233" i="3" s="1"/>
  <c r="C231" i="4" s="1"/>
  <c r="H241" i="3"/>
  <c r="J241" i="3" s="1"/>
  <c r="C239" i="4" s="1"/>
  <c r="H249" i="3"/>
  <c r="J249" i="3" s="1"/>
  <c r="C247" i="4" s="1"/>
  <c r="H257" i="3"/>
  <c r="H265" i="3"/>
  <c r="I217" i="3"/>
  <c r="I225" i="3"/>
  <c r="I233" i="3"/>
  <c r="I241" i="3"/>
  <c r="I249" i="3"/>
  <c r="I257" i="3"/>
  <c r="J257" i="3" s="1"/>
  <c r="C255" i="4" s="1"/>
  <c r="I197" i="3"/>
  <c r="J197" i="3" s="1"/>
  <c r="C195" i="4" s="1"/>
  <c r="J205" i="3"/>
  <c r="C203" i="4" s="1"/>
  <c r="H267" i="3" l="1"/>
  <c r="J83" i="3"/>
  <c r="C81" i="4" s="1"/>
  <c r="J82" i="3"/>
  <c r="C80" i="4" s="1"/>
  <c r="G229" i="4"/>
  <c r="G223" i="4"/>
  <c r="G217" i="4"/>
  <c r="G199" i="4"/>
  <c r="G157" i="4"/>
  <c r="G151" i="4"/>
  <c r="G145" i="4"/>
  <c r="G127" i="4"/>
  <c r="G85" i="4"/>
  <c r="G79" i="4"/>
  <c r="G73" i="4"/>
  <c r="G55" i="4"/>
  <c r="J268" i="3"/>
  <c r="B268" i="4"/>
  <c r="G258" i="4"/>
  <c r="G240" i="4"/>
  <c r="G198" i="4"/>
  <c r="G192" i="4"/>
  <c r="G186" i="4"/>
  <c r="G174" i="4"/>
  <c r="G168" i="4"/>
  <c r="G126" i="4"/>
  <c r="G120" i="4"/>
  <c r="G114" i="4"/>
  <c r="G102" i="4"/>
  <c r="G96" i="4"/>
  <c r="G60" i="4"/>
  <c r="G54" i="4"/>
  <c r="G48" i="4"/>
  <c r="G42" i="4"/>
  <c r="G30" i="4"/>
  <c r="G24" i="4"/>
  <c r="G245" i="4"/>
  <c r="G239" i="4"/>
  <c r="G233" i="4"/>
  <c r="G227" i="4"/>
  <c r="G215" i="4"/>
  <c r="G209" i="4"/>
  <c r="G173" i="4"/>
  <c r="G167" i="4"/>
  <c r="G161" i="4"/>
  <c r="G155" i="4"/>
  <c r="G143" i="4"/>
  <c r="G137" i="4"/>
  <c r="G101" i="4"/>
  <c r="G95" i="4"/>
  <c r="G89" i="4"/>
  <c r="G83" i="4"/>
  <c r="G71" i="4"/>
  <c r="G65" i="4"/>
  <c r="G41" i="4"/>
  <c r="G29" i="4"/>
  <c r="G23" i="4"/>
  <c r="G17" i="4"/>
  <c r="J267" i="3"/>
  <c r="G262" i="4"/>
  <c r="G256" i="4"/>
  <c r="G250" i="4"/>
  <c r="G232" i="4"/>
  <c r="G226" i="4"/>
  <c r="G220" i="4"/>
  <c r="G214" i="4"/>
  <c r="G208" i="4"/>
  <c r="G202" i="4"/>
  <c r="G196" i="4"/>
  <c r="G190" i="4"/>
  <c r="G184" i="4"/>
  <c r="G178" i="4"/>
  <c r="G172" i="4"/>
  <c r="G166" i="4"/>
  <c r="G160" i="4"/>
  <c r="G154" i="4"/>
  <c r="G148" i="4"/>
  <c r="G142" i="4"/>
  <c r="G136" i="4"/>
  <c r="G130" i="4"/>
  <c r="G124" i="4"/>
  <c r="G118" i="4"/>
  <c r="G112" i="4"/>
  <c r="G106" i="4"/>
  <c r="G100" i="4"/>
  <c r="G94" i="4"/>
  <c r="G88" i="4"/>
  <c r="G82" i="4"/>
  <c r="G76" i="4"/>
  <c r="G70" i="4"/>
  <c r="G64" i="4"/>
  <c r="G58" i="4"/>
  <c r="G52" i="4"/>
  <c r="G46" i="4"/>
  <c r="G40" i="4"/>
  <c r="G34" i="4"/>
  <c r="G28" i="4"/>
  <c r="G22" i="4"/>
  <c r="G16" i="4"/>
  <c r="G261" i="4"/>
  <c r="G255" i="4"/>
  <c r="G249" i="4"/>
  <c r="G243" i="4"/>
  <c r="G237" i="4"/>
  <c r="G231" i="4"/>
  <c r="G225" i="4"/>
  <c r="G219" i="4"/>
  <c r="G213" i="4"/>
  <c r="G207" i="4"/>
  <c r="G201" i="4"/>
  <c r="G195" i="4"/>
  <c r="G189" i="4"/>
  <c r="G183" i="4"/>
  <c r="G177" i="4"/>
  <c r="G171" i="4"/>
  <c r="G165" i="4"/>
  <c r="G159" i="4"/>
  <c r="G153" i="4"/>
  <c r="G147" i="4"/>
  <c r="G141" i="4"/>
  <c r="G135" i="4"/>
  <c r="G129" i="4"/>
  <c r="G123" i="4"/>
  <c r="G117" i="4"/>
  <c r="G111" i="4"/>
  <c r="G105" i="4"/>
  <c r="G99" i="4"/>
  <c r="G93" i="4"/>
  <c r="G87" i="4"/>
  <c r="G81" i="4"/>
  <c r="G75" i="4"/>
  <c r="G69" i="4"/>
  <c r="G63" i="4"/>
  <c r="G57" i="4"/>
  <c r="G51" i="4"/>
  <c r="G45" i="4"/>
  <c r="G39" i="4"/>
  <c r="G33" i="4"/>
  <c r="G27" i="4"/>
  <c r="G21" i="4"/>
  <c r="G15" i="4"/>
  <c r="G260" i="4"/>
  <c r="G254" i="4"/>
  <c r="G248" i="4"/>
  <c r="G242" i="4"/>
  <c r="G236" i="4"/>
  <c r="G230" i="4"/>
  <c r="G224" i="4"/>
  <c r="G218" i="4"/>
  <c r="G212" i="4"/>
  <c r="G206" i="4"/>
  <c r="G200" i="4"/>
  <c r="G194" i="4"/>
  <c r="G188" i="4"/>
  <c r="G182" i="4"/>
  <c r="G176" i="4"/>
  <c r="G170" i="4"/>
  <c r="G164" i="4"/>
  <c r="G158" i="4"/>
  <c r="G152" i="4"/>
  <c r="G146" i="4"/>
  <c r="G140" i="4"/>
  <c r="G134" i="4"/>
  <c r="G128" i="4"/>
  <c r="G122" i="4"/>
  <c r="G116" i="4"/>
  <c r="G110" i="4"/>
  <c r="G104" i="4"/>
  <c r="G98" i="4"/>
  <c r="G92" i="4"/>
  <c r="G86" i="4"/>
  <c r="G80" i="4"/>
  <c r="G74" i="4"/>
  <c r="G68" i="4"/>
  <c r="G62" i="4"/>
  <c r="G56" i="4"/>
  <c r="G50" i="4"/>
  <c r="G44" i="4"/>
  <c r="G38" i="4"/>
  <c r="G32" i="4"/>
  <c r="G26" i="4"/>
  <c r="G20" i="4"/>
  <c r="G14" i="4"/>
  <c r="C14" i="4"/>
  <c r="I267" i="3"/>
  <c r="G77" i="4" l="1"/>
  <c r="G149" i="4"/>
  <c r="G221" i="4"/>
  <c r="G36" i="4"/>
  <c r="G108" i="4"/>
  <c r="G180" i="4"/>
  <c r="G252" i="4"/>
  <c r="G67" i="4"/>
  <c r="G139" i="4"/>
  <c r="G211" i="4"/>
  <c r="G132" i="4"/>
  <c r="G204" i="4"/>
  <c r="G19" i="4"/>
  <c r="G91" i="4"/>
  <c r="G163" i="4"/>
  <c r="G235" i="4"/>
  <c r="G35" i="4"/>
  <c r="G107" i="4"/>
  <c r="G179" i="4"/>
  <c r="G251" i="4"/>
  <c r="G66" i="4"/>
  <c r="G138" i="4"/>
  <c r="G210" i="4"/>
  <c r="G25" i="4"/>
  <c r="G97" i="4"/>
  <c r="G169" i="4"/>
  <c r="G241" i="4"/>
  <c r="G113" i="4"/>
  <c r="G185" i="4"/>
  <c r="G257" i="4"/>
  <c r="G72" i="4"/>
  <c r="G144" i="4"/>
  <c r="G216" i="4"/>
  <c r="G31" i="4"/>
  <c r="G103" i="4"/>
  <c r="G175" i="4"/>
  <c r="G247" i="4"/>
  <c r="G47" i="4"/>
  <c r="G119" i="4"/>
  <c r="G191" i="4"/>
  <c r="G263" i="4"/>
  <c r="G78" i="4"/>
  <c r="G150" i="4"/>
  <c r="G222" i="4"/>
  <c r="G37" i="4"/>
  <c r="G109" i="4"/>
  <c r="G181" i="4"/>
  <c r="G253" i="4"/>
  <c r="G238" i="4"/>
  <c r="G53" i="4"/>
  <c r="G125" i="4"/>
  <c r="G197" i="4"/>
  <c r="B267" i="4"/>
  <c r="B271" i="4" s="1"/>
  <c r="G84" i="4"/>
  <c r="G156" i="4"/>
  <c r="G228" i="4"/>
  <c r="G43" i="4"/>
  <c r="G115" i="4"/>
  <c r="G187" i="4"/>
  <c r="G259" i="4"/>
  <c r="G244" i="4"/>
  <c r="G59" i="4"/>
  <c r="G131" i="4"/>
  <c r="G203" i="4"/>
  <c r="G18" i="4"/>
  <c r="G90" i="4"/>
  <c r="G162" i="4"/>
  <c r="G234" i="4"/>
  <c r="G49" i="4"/>
  <c r="G121" i="4"/>
  <c r="G193" i="4"/>
  <c r="G246" i="4"/>
  <c r="G61" i="4"/>
  <c r="G133" i="4"/>
  <c r="G205" i="4"/>
  <c r="B269" i="4" l="1"/>
</calcChain>
</file>

<file path=xl/sharedStrings.xml><?xml version="1.0" encoding="utf-8"?>
<sst xmlns="http://schemas.openxmlformats.org/spreadsheetml/2006/main" count="1337" uniqueCount="489">
  <si>
    <t>VaR 逐步計算驗證 — 基本設定（v2）</t>
  </si>
  <si>
    <t>▌ 資產與部位定義</t>
  </si>
  <si>
    <t>資產名稱</t>
  </si>
  <si>
    <t>市場</t>
  </si>
  <si>
    <t>幣別</t>
  </si>
  <si>
    <t>持有數量</t>
  </si>
  <si>
    <t>最新本地價格</t>
  </si>
  <si>
    <t>即期匯率(→TWD)</t>
  </si>
  <si>
    <t>TWD 市值（G列）</t>
  </si>
  <si>
    <t>占組合比重</t>
  </si>
  <si>
    <t>台積電(2330.TW)</t>
  </si>
  <si>
    <t>台灣 🇹🇼</t>
  </si>
  <si>
    <t>TWD</t>
  </si>
  <si>
    <t>AAPL</t>
  </si>
  <si>
    <t>美國 🇺🇸</t>
  </si>
  <si>
    <t>USD</t>
  </si>
  <si>
    <t>三星(005930.KS)</t>
  </si>
  <si>
    <t>韓國 🇰🇷</t>
  </si>
  <si>
    <t>KRW</t>
  </si>
  <si>
    <t>組合總市值(TWD)</t>
  </si>
  <si>
    <t>★ G5:G7（TWD 市值）會被 Sheet 3 P&amp;L 公式直接引用，請勿移動此欄位置。</t>
  </si>
  <si>
    <t>▌ VaR 計算參數</t>
  </si>
  <si>
    <t>信賴水準 α</t>
  </si>
  <si>
    <t>99%</t>
  </si>
  <si>
    <t>持有天數 h</t>
  </si>
  <si>
    <t>1 日</t>
  </si>
  <si>
    <t>歷史回溯天數 T</t>
  </si>
  <si>
    <t>250 個交易日</t>
  </si>
  <si>
    <t>回報方式</t>
  </si>
  <si>
    <t>對數回報 ln(P_t / P_{t-1})</t>
  </si>
  <si>
    <t>FX 調整</t>
  </si>
  <si>
    <t>外幣資產：r_adj = r_local + r_FX（對數精確分解）</t>
  </si>
  <si>
    <t>z_α</t>
  </si>
  <si>
    <t>VaR 分位索引（HS）</t>
  </si>
  <si>
    <t>idx = floor((1-α)×T) = floor(0.01×250) = 2</t>
  </si>
  <si>
    <t>HS VaR 公式</t>
  </si>
  <si>
    <t>-P&amp;L_sorted[2]  （第 3 小損益）</t>
  </si>
  <si>
    <t>HS CVaR 公式</t>
  </si>
  <si>
    <t>-mean(P&amp;L_sorted[0:2])  （最差 2 筆均值）</t>
  </si>
  <si>
    <t>MC 模擬路徑數</t>
  </si>
  <si>
    <t>5,000</t>
  </si>
  <si>
    <t>▌ 即期匯率（計算時使用）</t>
  </si>
  <si>
    <t>匯率（1 外幣 = ? TWD）</t>
  </si>
  <si>
    <t>說明</t>
  </si>
  <si>
    <t>基礎幣別（不動）</t>
  </si>
  <si>
    <t>美元/台幣</t>
  </si>
  <si>
    <t>韓元/台幣</t>
  </si>
  <si>
    <t>原始收盤價 &amp; FX 匯率歷史（本地幣別，純數值）</t>
  </si>
  <si>
    <t>日期</t>
  </si>
  <si>
    <t>台積電(TWD)</t>
  </si>
  <si>
    <t>AAPL(USD)</t>
  </si>
  <si>
    <t>三星(KRW)</t>
  </si>
  <si>
    <t>USD/TWD</t>
  </si>
  <si>
    <t>KRW/TWD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</si>
  <si>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</si>
  <si>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</si>
  <si>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</si>
  <si>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</si>
  <si>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</si>
  <si>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</si>
  <si>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</si>
  <si>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</si>
  <si>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</si>
  <si>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</si>
  <si>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</si>
  <si>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</si>
  <si>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</si>
  <si>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</si>
  <si>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</si>
  <si>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</si>
  <si>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</si>
  <si>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</si>
  <si>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</si>
  <si>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</si>
  <si>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</si>
  <si>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</si>
  <si>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</si>
  <si>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</si>
  <si>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</si>
  <si>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</si>
  <si>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</si>
  <si>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</si>
  <si>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</si>
  <si>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</si>
  <si>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</si>
  <si>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</si>
  <si>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</si>
  <si>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</si>
  <si>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</si>
  <si>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</si>
  <si>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</si>
  <si>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</si>
  <si>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</si>
  <si>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</si>
  <si>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</si>
  <si>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</si>
  <si>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</si>
  <si>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</si>
  <si>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</si>
  <si>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</si>
  <si>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</si>
  <si>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</si>
  <si>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</si>
  <si>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</si>
  <si>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</si>
  <si>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</si>
  <si>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</si>
  <si>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</si>
  <si>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</si>
  <si>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</si>
  <si>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</si>
  <si>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</si>
  <si>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</si>
  <si>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</si>
  <si>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</si>
  <si>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</si>
  <si>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</si>
  <si>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</si>
  <si>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</si>
  <si>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</si>
  <si>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</si>
  <si>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</si>
  <si>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</si>
  <si>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</si>
  <si>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</si>
  <si>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</si>
  <si>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</si>
  <si>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</si>
  <si>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</si>
  <si>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</si>
  <si>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</si>
  <si>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</si>
  <si>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</si>
  <si>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</si>
  <si>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</si>
  <si>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</si>
  <si>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</si>
  <si>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</si>
  <si>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</si>
  <si>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</si>
  <si>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</si>
  <si>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</si>
  <si>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</si>
  <si>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</si>
  <si>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</si>
  <si>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</si>
  <si>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</si>
  <si>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</si>
  <si>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</si>
  <si>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</si>
  <si>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</si>
  <si>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</si>
  <si>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</si>
  <si>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</si>
  <si>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</si>
  <si>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</si>
  <si>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</si>
  <si>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</si>
  <si>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</si>
  <si>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</si>
  <si>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</si>
  <si>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</si>
  <si>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</si>
  <si>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</si>
  <si>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</si>
  <si>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</si>
  <si>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</si>
  <si>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</si>
  <si>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</si>
  <si>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</si>
  <si>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</si>
  <si>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</si>
  <si>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</si>
  <si>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</si>
  <si>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</si>
  <si>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</si>
  <si>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</si>
  <si>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</si>
  <si>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</si>
  <si>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</si>
  <si>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</si>
  <si>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</si>
  <si>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</si>
  <si>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</si>
  <si>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</si>
  <si>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</si>
  <si>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</si>
  <si>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</si>
  <si>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</si>
  <si>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</si>
  <si>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</si>
  <si>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</si>
  <si>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</si>
  <si>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</si>
  <si>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</si>
  <si>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</si>
  <si>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</si>
  <si>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</si>
  <si>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</si>
  <si>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</si>
  <si>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</si>
  <si>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</si>
  <si>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</si>
  <si>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</si>
  <si>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</si>
  <si>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</si>
  <si>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</si>
  <si>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</si>
  <si>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</si>
  <si>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</si>
  <si>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</si>
  <si>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</si>
  <si>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</si>
  <si>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</si>
  <si>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</si>
  <si>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</si>
  <si>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</si>
  <si>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</si>
  <si>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</si>
  <si>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</si>
  <si>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</si>
  <si>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</si>
  <si>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</si>
  <si>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</si>
  <si>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</si>
  <si>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</si>
  <si>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</si>
  <si>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</si>
  <si>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</si>
  <si>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</si>
  <si>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</si>
  <si>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</si>
  <si>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</si>
  <si>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</si>
  <si>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</si>
  <si>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</si>
  <si>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</si>
  <si>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</si>
  <si>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</si>
  <si>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</si>
  <si>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</si>
  <si>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</si>
  <si>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</si>
  <si>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</si>
  <si>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</si>
  <si>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</si>
  <si>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</si>
  <si>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</si>
  <si>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</si>
  <si>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</si>
  <si>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</si>
  <si>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</si>
  <si>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</si>
  <si>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</si>
  <si>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</si>
  <si>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</si>
  <si>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</si>
  <si>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</si>
  <si>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</si>
  <si>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</si>
  <si>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</si>
  <si>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</si>
  <si>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</si>
  <si>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</si>
  <si>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</si>
  <si>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</si>
  <si>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</si>
  <si>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</si>
  <si>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</si>
  <si>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</si>
  <si>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</si>
  <si>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</si>
  <si>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</si>
  <si>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</si>
  <si>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</si>
  <si>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</si>
  <si>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</si>
  <si>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</si>
  <si>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</si>
  <si>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</si>
  <si>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</si>
  <si>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</si>
  <si>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</si>
  <si>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</si>
  <si>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</si>
  <si>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</si>
  <si>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</si>
  <si>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</si>
  <si>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</si>
  <si>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</si>
  <si>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</si>
  <si>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</si>
  <si>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</si>
  <si>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</si>
  <si>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</si>
  <si>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</si>
  <si>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</si>
  <si>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</si>
  <si>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</si>
  <si>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</si>
  <si>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</si>
  <si>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</si>
  <si>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</si>
  <si>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</si>
  <si>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</si>
  <si>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共 251 列（含黃色初始列 S0）。B欄=台積電 TWD，C欄=AAPL USD，D欄=三星 KRW，G欄=USD/TWD，H欄=KRW/TWD。</t>
  </si>
  <si>
    <t>步驟一：計算對數回報 &amp; FX 調整（公式直接引用 Sheet 2）</t>
  </si>
  <si>
    <t>▌ 公式說明</t>
  </si>
  <si>
    <t>B欄 台積電 r_local</t>
  </si>
  <si>
    <t>C欄 AAPL r_local</t>
  </si>
  <si>
    <t>D欄 三星 r_local</t>
  </si>
  <si>
    <t>E欄 USD r_FX</t>
  </si>
  <si>
    <t>F欄 KRW r_FX</t>
  </si>
  <si>
    <t>G欄 台積電 r_adj</t>
  </si>
  <si>
    <t>H欄 AAPL r_adj</t>
  </si>
  <si>
    <t>I欄 三星 r_adj</t>
  </si>
  <si>
    <t>J欄 組合P&amp;L</t>
  </si>
  <si>
    <t>驗證方法</t>
  </si>
  <si>
    <t>J欄 P&amp;L = Σ(r_adj_i × MV_i)，與 Sheet4 HS VaR 計算的基礎相同</t>
  </si>
  <si>
    <t>▌ 回報序列（250 個交易日，全為 Excel 公式）</t>
  </si>
  <si>
    <t>台積電 r_local</t>
  </si>
  <si>
    <t>AAPL r_local</t>
  </si>
  <si>
    <t>三星 r_local</t>
  </si>
  <si>
    <t>USD r_FX</t>
  </si>
  <si>
    <t>KRW r_FX</t>
  </si>
  <si>
    <t>台積電 r_adj</t>
  </si>
  <si>
    <t>AAPL r_adj</t>
  </si>
  <si>
    <t>三星 r_adj</t>
  </si>
  <si>
    <t>組合P&amp;L(TWD)</t>
  </si>
  <si>
    <t>平均</t>
  </si>
  <si>
    <t>標準差</t>
  </si>
  <si>
    <t>藍色格（H, I）= FX 已疊加。P&amp;L 負值（紅色）共 112 筆。所有數值均為 Excel 公式，可點入儲存格確認計算鏈。</t>
  </si>
  <si>
    <t>步驟二（HS）：歷史模擬法 VaR 逐步計算</t>
  </si>
  <si>
    <t>▌ 方法說明 &amp; 公式</t>
  </si>
  <si>
    <t>Step 1</t>
  </si>
  <si>
    <t>取 T=250 個交易日的 FX 調整後組合損益（直接引用 Sheet 3 J 欄）</t>
  </si>
  <si>
    <t>Step 2</t>
  </si>
  <si>
    <t>將 T 筆損益由小到大排序（B欄=時序，H欄=排序，使用 SMALL() 公式）</t>
  </si>
  <si>
    <t>Step 3</t>
  </si>
  <si>
    <t>取第 3 小的損益作為 -VaR
   idx = floor((1-α)×T) = floor(0.01×250) = 2</t>
  </si>
  <si>
    <t>Step 4</t>
  </si>
  <si>
    <t>VaR = -SMALL(P&amp;L, 3) ← 見結果區公式</t>
  </si>
  <si>
    <t>Step 5</t>
  </si>
  <si>
    <t>CVaR = -AVERAGE(SMALL(P&amp;L,1),...,SMALL(P&amp;L,2)) ← 最差 2 筆均值</t>
  </si>
  <si>
    <t>驗證</t>
  </si>
  <si>
    <t>點擊任意 H 欄（排序）或結果格，確認公式引用自 Sheet 3</t>
  </si>
  <si>
    <t>▌ 組合損益序列 &amp; 排序（T=250，全為公式引用）</t>
  </si>
  <si>
    <t>▶ 原始損益（時間序列，引用 Sheet 3 J 欄）</t>
  </si>
  <si>
    <t>▶ 排序後損益（由小到大，使用 SMALL() 公式）</t>
  </si>
  <si>
    <t>排名</t>
  </si>
  <si>
    <t>原始P&amp;L（引用Sheet3）</t>
  </si>
  <si>
    <t>排序P&amp;L＝SMALL()</t>
  </si>
  <si>
    <t>← CVaR 範圍</t>
  </si>
  <si>
    <t>← VaR 點（第 3 小）</t>
  </si>
  <si>
    <t>▌ HS 計算結果（黃色格為公式，可點入驗證）</t>
  </si>
  <si>
    <t>HS VaR（99%，1日，TWD）</t>
  </si>
  <si>
    <t>HS CVaR（TWD）</t>
  </si>
  <si>
    <t>CVaR / VaR 倍數</t>
  </si>
  <si>
    <t>組合市值（TWD）</t>
  </si>
  <si>
    <t>VaR %（占市值）</t>
  </si>
  <si>
    <t>▌ Component VaR（HS）</t>
  </si>
  <si>
    <t>資產</t>
  </si>
  <si>
    <t>Component VaR(TWD)</t>
  </si>
  <si>
    <t>Component CVaR(TWD)</t>
  </si>
  <si>
    <t>風險貢獻%</t>
  </si>
  <si>
    <t>HS VaR（Python 驗算）= 52,735.26 TWD，CVaR = 68,722.30 TWD。注意：HS Component VaR 各資產獨立分位數加總 ≠ 組合 VaR。</t>
  </si>
  <si>
    <t>步驟三（Parametric）：Delta-Normal VaR 逐步計算</t>
  </si>
  <si>
    <t>計算 FX 調整後回報的樣本共變異數矩陣 Σ（基於 T=250 筆回報）</t>
  </si>
  <si>
    <t>組合方差：σ²_P = w'Σw，w = TWD 市值向量</t>
  </si>
  <si>
    <t>組合日標準差：σ_P = √(w'Σw) = 29,631.2436 TWD</t>
  </si>
  <si>
    <t>z_α = NORM.S.INV(0.99) = 2.326348</t>
  </si>
  <si>
    <t>VaR = z_α × σ_P = 2.3263 × 29,631.2436 = 68,932.58 TWD</t>
  </si>
  <si>
    <t>Step 6</t>
  </si>
  <si>
    <t>CVaR = φ(z_α)/(1-α) × σ_P = 0.026652/0.01 × 29,631.2436 = 78,973.61 TWD</t>
  </si>
  <si>
    <t>Step 7</t>
  </si>
  <si>
    <t>Component VaR_i = w_i × (Σw)_i / σ_P × z_α  ← 精確可加分解</t>
  </si>
  <si>
    <t>Σ Component VaR_i = Portfolio VaR（代數精確，見下方驗證列）</t>
  </si>
  <si>
    <t>▌ 共變異數矩陣 Σ（樣本）</t>
  </si>
  <si>
    <t>▌ 相關係數矩陣 ρ</t>
  </si>
  <si>
    <t>▌ σ_P 計算步驟（w'Σw）</t>
  </si>
  <si>
    <t>w（TWD 市值）</t>
  </si>
  <si>
    <t>Σw（= Σ×w 第 i 元素）</t>
  </si>
  <si>
    <t>w_i × (Σw)_i</t>
  </si>
  <si>
    <t>加總 = σ²_P</t>
  </si>
  <si>
    <t>√σ²_P = σ_P (TWD)</t>
  </si>
  <si>
    <t>▌ Parametric 計算結果</t>
  </si>
  <si>
    <t>項目</t>
  </si>
  <si>
    <t>公式</t>
  </si>
  <si>
    <t>數值</t>
  </si>
  <si>
    <t>NORM.S.INV(0.99)</t>
  </si>
  <si>
    <t>σ_P（日，TWD）</t>
  </si>
  <si>
    <t>√(w'Σw)</t>
  </si>
  <si>
    <t>VaR（TWD）</t>
  </si>
  <si>
    <t>z_α × σ_P</t>
  </si>
  <si>
    <t>CVaR（TWD）</t>
  </si>
  <si>
    <t>φ(z_α)/(1-α) × σ_P</t>
  </si>
  <si>
    <t>VaR%</t>
  </si>
  <si>
    <t>VaR / 組合市值</t>
  </si>
  <si>
    <t>CVaR/VaR</t>
  </si>
  <si>
    <t>CVaR / VaR</t>
  </si>
  <si>
    <t>▌ Component VaR（精確可加分解驗證）</t>
  </si>
  <si>
    <t>w_i (TWD)</t>
  </si>
  <si>
    <t>(Σw)_i/σ_P</t>
  </si>
  <si>
    <t>Marginal VaR</t>
  </si>
  <si>
    <t>Component VaR</t>
  </si>
  <si>
    <t>Component CVaR</t>
  </si>
  <si>
    <t>加總（應 = VaR）</t>
  </si>
  <si>
    <t>✓ 誤差 &lt; 0.01%</t>
  </si>
  <si>
    <t>Portfolio VaR（對照）</t>
  </si>
  <si>
    <t>驗證：|加總 - VaR| = 0.000000e+00，相對誤差 = 0.00000000%（數值機器精度）</t>
  </si>
  <si>
    <t>步驟四（MC）：蒙地卡羅法 VaR（5,000 條路徑）</t>
  </si>
  <si>
    <t>估計 FX 調整後回報的共變異數矩陣 Σ（同參數法）</t>
  </si>
  <si>
    <t>對 Σ 進行 Cholesky 分解：Σ = L L'（L 為下三角矩陣）</t>
  </si>
  <si>
    <t>模擬 M=5,000 組相關常態亂數：r_sim = L×z + μ，z ~ N(0,I)</t>
  </si>
  <si>
    <t>各路徑損益：P&amp;L_k = Σ_i w_i × r_sim(k,i)</t>
  </si>
  <si>
    <t>VaR = -PERCENTILE(P&amp;L, 1%) = 66,135.64 TWD</t>
  </si>
  <si>
    <t>CVaR = -mean(P&amp;L[P&amp;L ≤ -VaR]) = 74,402.65 TWD</t>
  </si>
  <si>
    <t>▌ Cholesky 分解 L（手算步驟）</t>
  </si>
  <si>
    <t>L[i,0]</t>
  </si>
  <si>
    <t>L[i,1]</t>
  </si>
  <si>
    <t>L[i,2]</t>
  </si>
  <si>
    <t>計算公式</t>
  </si>
  <si>
    <t>—</t>
  </si>
  <si>
    <t>L[0,0] = √Σ[0,0]</t>
  </si>
  <si>
    <t>L[1,0]=Σ[1,0]/L[0,0]；L[1,1]=√(Σ[1,1]−L[1,0]²)</t>
  </si>
  <si>
    <t>L[2,0]=Σ[2,0]/L[0,0]；L[2,1]=(Σ[2,1]−L[2,0]×L[1,0])/L[1,1]；L[2,2]=√(Σ[2,2]−L[2,0]²−L[2,1]²)</t>
  </si>
  <si>
    <t>▌ 驗證 Cholesky：L × L' 應還原 Σ</t>
  </si>
  <si>
    <t>✓ 各格與 Σ 差距 &lt; 1e-10（數值機器精度），驗證 Cholesky 正確。</t>
  </si>
  <si>
    <t>▌ 前 50 條模擬路徑（共 5,000 條）</t>
  </si>
  <si>
    <t>路徑#</t>
  </si>
  <si>
    <t>r_sim[TSMC]</t>
  </si>
  <si>
    <t>r_sim[AAPL]</t>
  </si>
  <si>
    <t>r_sim[三星]</t>
  </si>
  <si>
    <t>P&amp;L (TWD)</t>
  </si>
  <si>
    <t>例外?</t>
  </si>
  <si>
    <t>僅展示前 50 條路徑，完整 5,000 條用於計算 VaR/CVaR。</t>
  </si>
  <si>
    <t>▌ MC 計算結果</t>
  </si>
  <si>
    <t>MC VaR（TWD）</t>
  </si>
  <si>
    <t>-PERCENTILE(P&amp;L, 1%)</t>
  </si>
  <si>
    <t>MC CVaR（TWD）</t>
  </si>
  <si>
    <t>−mean(P&amp;L[P&amp;L ≤ −VaR])</t>
  </si>
  <si>
    <t>VaR%（占市值）</t>
  </si>
  <si>
    <t>例外路徑數</t>
  </si>
  <si>
    <t>≈ 5000×1% = 50</t>
  </si>
  <si>
    <t>▌ Component VaR（MC 尾端均值）</t>
  </si>
  <si>
    <t>MC Component VaR：各資產在組合尾端場景（P&amp;L ≤ −VaR）下的平均損失。</t>
  </si>
  <si>
    <t>三方法 VaR 彙總比較 &amp; 驗證核對表</t>
  </si>
  <si>
    <t>▌ 組合層級指標比較</t>
  </si>
  <si>
    <t>指標</t>
  </si>
  <si>
    <t>Historical Simulation</t>
  </si>
  <si>
    <t>Parametric Delta-Normal</t>
  </si>
  <si>
    <t>Monte Carlo（M=5,000）</t>
  </si>
  <si>
    <t>主要風險指標</t>
  </si>
  <si>
    <t>一致性風險測度</t>
  </si>
  <si>
    <t>相對風險水準</t>
  </si>
  <si>
    <t>尾端形狀（常態≈1.29）</t>
  </si>
  <si>
    <t>損益標準差（TWD）</t>
  </si>
  <si>
    <t>1日組合損益σ</t>
  </si>
  <si>
    <t>▌ 個別資產 Component VaR 比較（TWD）</t>
  </si>
  <si>
    <t>HS VaR</t>
  </si>
  <si>
    <t>Param VaR</t>
  </si>
  <si>
    <t>MC VaR</t>
  </si>
  <si>
    <t>HS 貢獻%</t>
  </si>
  <si>
    <t>Param 貢獻%</t>
  </si>
  <si>
    <t>MC 貢獻%</t>
  </si>
  <si>
    <t>▌ 驗證核對表</t>
  </si>
  <si>
    <t>驗證項目</t>
  </si>
  <si>
    <t>HS</t>
  </si>
  <si>
    <t>Parametric</t>
  </si>
  <si>
    <t>Monte Carlo</t>
  </si>
  <si>
    <t>預期結果</t>
  </si>
  <si>
    <t>通過?</t>
  </si>
  <si>
    <t>Component VaR 加總 = 組合 VaR</t>
  </si>
  <si>
    <t>75,150 ≠ 52,735（近似）</t>
  </si>
  <si>
    <t>68,933 ≈ 68,933（精確）</t>
  </si>
  <si>
    <t>82,799 ≠ 66,136（近似）</t>
  </si>
  <si>
    <t>HS/MC 近似；Parametric 代數精確</t>
  </si>
  <si>
    <t>Param ✓</t>
  </si>
  <si>
    <t>CVaR &gt; VaR</t>
  </si>
  <si>
    <t>✓</t>
  </si>
  <si>
    <t>必然成立（定義性質）</t>
  </si>
  <si>
    <t>VaR &gt; 0</t>
  </si>
  <si>
    <t>正常市場必然</t>
  </si>
  <si>
    <t>MC → Parametric 收斂</t>
  </si>
  <si>
    <t>68,933</t>
  </si>
  <si>
    <t>66,136（差 4.1%）</t>
  </si>
  <si>
    <t>大樣本下 MC ≈ Param（同常態假設）</t>
  </si>
  <si>
    <t>資料期間：2024-01-16 ~ 2024-12-31，T=250，N_MC=5,000，α=99%，h=1日。</t>
  </si>
  <si>
    <t>=@NORM.S.INV(0.99) =2.32634787404084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</si>
</sst>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000"/>
    <numFmt numFmtId="177" formatCode="0.00000"/>
    <numFmt numFmtId="178" formatCode="#,##0.0000"/>
    <numFmt numFmtId="179" formatCode="0.000000"/>
    <numFmt numFmtId="180" formatCode="0.0000"/>
    <numFmt numFmtId="181" formatCode="0.0000000000"/>
    <numFmt numFmtId="182" formatCode="#,##0.000000"/>
    <numFmt numFmtId="183" formatCode="0.00000000"/>
    <numFmt numFmtId="184" formatCode="0.000000000"/>
  </numFmts>
  <fonts count="9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0"/>
      <color rgb="FF1F497D"/>
      <name val="新細明體"/>
      <family val="1"/>
      <charset val="136"/>
    </font>
    <font>
      <b/>
      <sz val="10"/>
      <color rgb="FFFFFFFF"/>
      <name val="新細明體"/>
      <family val="1"/>
      <charset val="136"/>
    </font>
    <font>
      <sz val="9"/>
      <name val="新細明體"/>
      <family val="1"/>
      <charset val="136"/>
    </font>
    <font>
      <b/>
      <sz val="9"/>
      <name val="新細明體"/>
      <family val="1"/>
      <charset val="136"/>
    </font>
    <font>
      <i/>
      <sz val="8"/>
      <color rgb="FF595959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FD5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3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178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179" fontId="0" fillId="0" borderId="1" xfId="0" applyNumberFormat="1" applyBorder="1"/>
    <xf numFmtId="179" fontId="0" fillId="3" borderId="1" xfId="0" applyNumberFormat="1" applyFill="1" applyBorder="1"/>
    <xf numFmtId="4" fontId="0" fillId="0" borderId="1" xfId="0" applyNumberFormat="1" applyBorder="1"/>
    <xf numFmtId="4" fontId="0" fillId="8" borderId="1" xfId="0" applyNumberFormat="1" applyFill="1" applyBorder="1"/>
    <xf numFmtId="0" fontId="5" fillId="6" borderId="0" xfId="0" applyFont="1" applyFill="1" applyAlignment="1">
      <alignment horizontal="center" vertical="center"/>
    </xf>
    <xf numFmtId="179" fontId="5" fillId="6" borderId="0" xfId="0" applyNumberFormat="1" applyFont="1" applyFill="1"/>
    <xf numFmtId="0" fontId="5" fillId="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/>
    <xf numFmtId="0" fontId="5" fillId="6" borderId="0" xfId="0" applyFont="1" applyFill="1" applyAlignment="1">
      <alignment horizontal="left" vertical="center"/>
    </xf>
    <xf numFmtId="4" fontId="5" fillId="5" borderId="0" xfId="0" applyNumberFormat="1" applyFont="1" applyFill="1"/>
    <xf numFmtId="180" fontId="5" fillId="5" borderId="0" xfId="0" applyNumberFormat="1" applyFont="1" applyFill="1"/>
    <xf numFmtId="3" fontId="5" fillId="5" borderId="0" xfId="0" applyNumberFormat="1" applyFont="1" applyFill="1"/>
    <xf numFmtId="10" fontId="5" fillId="5" borderId="0" xfId="0" applyNumberFormat="1" applyFont="1" applyFill="1"/>
    <xf numFmtId="0" fontId="3" fillId="4" borderId="0" xfId="0" applyFont="1" applyFill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81" fontId="4" fillId="3" borderId="0" xfId="0" applyNumberFormat="1" applyFont="1" applyFill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0" fontId="4" fillId="3" borderId="0" xfId="0" applyNumberFormat="1" applyFont="1" applyFill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5" fillId="5" borderId="0" xfId="0" applyNumberFormat="1" applyFont="1" applyFill="1" applyAlignment="1">
      <alignment horizontal="center" vertical="center"/>
    </xf>
    <xf numFmtId="4" fontId="5" fillId="5" borderId="0" xfId="0" applyNumberFormat="1" applyFont="1" applyFill="1" applyAlignment="1">
      <alignment horizontal="center" vertical="center"/>
    </xf>
    <xf numFmtId="179" fontId="5" fillId="5" borderId="0" xfId="0" applyNumberFormat="1" applyFont="1" applyFill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5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84" fontId="4" fillId="3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181" fontId="4" fillId="7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4" fontId="4" fillId="7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4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2" fillId="3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horizontal="left" vertical="center"/>
    </xf>
    <xf numFmtId="0" fontId="7" fillId="4" borderId="0" xfId="0" applyFont="1" applyFill="1"/>
    <xf numFmtId="0" fontId="7" fillId="9" borderId="0" xfId="0" applyFont="1" applyFill="1"/>
    <xf numFmtId="0" fontId="4" fillId="0" borderId="1" xfId="0" quotePrefix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25" sqref="E25"/>
    </sheetView>
  </sheetViews>
  <sheetFormatPr defaultRowHeight="15.75" x14ac:dyDescent="0.25"/>
  <cols>
    <col min="1" max="2" width="30" customWidth="1"/>
    <col min="3" max="3" width="15.7109375" customWidth="1"/>
    <col min="4" max="4" width="8" customWidth="1"/>
    <col min="5" max="5" width="9.140625" customWidth="1"/>
    <col min="6" max="6" width="17.42578125" bestFit="1" customWidth="1"/>
    <col min="7" max="7" width="10.7109375" bestFit="1" customWidth="1"/>
    <col min="8" max="8" width="23" customWidth="1"/>
    <col min="9" max="12" width="8" customWidth="1"/>
  </cols>
  <sheetData>
    <row r="1" spans="1:12" ht="21.95" customHeight="1" x14ac:dyDescent="0.25">
      <c r="A1" s="76" t="s">
        <v>0</v>
      </c>
      <c r="B1" s="75"/>
      <c r="C1" s="75"/>
      <c r="D1" s="75"/>
      <c r="E1" s="75"/>
      <c r="F1" s="75"/>
      <c r="G1" s="75"/>
      <c r="H1" s="75"/>
    </row>
    <row r="3" spans="1:12" x14ac:dyDescent="0.25">
      <c r="A3" s="74" t="s">
        <v>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ht="28.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12" x14ac:dyDescent="0.25">
      <c r="A5" s="2" t="s">
        <v>10</v>
      </c>
      <c r="B5" s="2" t="s">
        <v>11</v>
      </c>
      <c r="C5" s="3" t="s">
        <v>12</v>
      </c>
      <c r="D5" s="4">
        <v>1000</v>
      </c>
      <c r="E5" s="5">
        <v>858.34</v>
      </c>
      <c r="F5" s="6">
        <v>1</v>
      </c>
      <c r="G5" s="7">
        <v>858340</v>
      </c>
      <c r="H5" s="8">
        <v>0.44940266863825201</v>
      </c>
    </row>
    <row r="6" spans="1:12" x14ac:dyDescent="0.25">
      <c r="A6" s="2" t="s">
        <v>13</v>
      </c>
      <c r="B6" s="2" t="s">
        <v>14</v>
      </c>
      <c r="C6" s="3" t="s">
        <v>15</v>
      </c>
      <c r="D6" s="4">
        <v>100</v>
      </c>
      <c r="E6" s="5">
        <v>322.48</v>
      </c>
      <c r="F6" s="6">
        <v>32.268999999999998</v>
      </c>
      <c r="G6" s="7">
        <v>1040599</v>
      </c>
      <c r="H6" s="8">
        <v>0.54482871217797002</v>
      </c>
    </row>
    <row r="7" spans="1:12" x14ac:dyDescent="0.25">
      <c r="A7" s="2" t="s">
        <v>16</v>
      </c>
      <c r="B7" s="2" t="s">
        <v>17</v>
      </c>
      <c r="C7" s="3" t="s">
        <v>18</v>
      </c>
      <c r="D7" s="4">
        <v>10</v>
      </c>
      <c r="E7" s="5">
        <v>44775.73</v>
      </c>
      <c r="F7" s="6">
        <v>2.46E-2</v>
      </c>
      <c r="G7" s="7">
        <v>11018</v>
      </c>
      <c r="H7" s="8">
        <v>5.7686191837779269E-3</v>
      </c>
    </row>
    <row r="8" spans="1:12" x14ac:dyDescent="0.25">
      <c r="A8" s="9"/>
      <c r="B8" s="9"/>
      <c r="C8" s="9"/>
      <c r="D8" s="9"/>
      <c r="E8" s="9"/>
      <c r="F8" s="10" t="s">
        <v>19</v>
      </c>
      <c r="G8" s="11">
        <v>1909957</v>
      </c>
      <c r="H8" s="9"/>
    </row>
    <row r="9" spans="1:12" x14ac:dyDescent="0.25">
      <c r="A9" s="77" t="s">
        <v>20</v>
      </c>
      <c r="B9" s="75"/>
      <c r="C9" s="75"/>
      <c r="D9" s="75"/>
      <c r="E9" s="75"/>
      <c r="F9" s="75"/>
      <c r="G9" s="75"/>
      <c r="H9" s="75"/>
      <c r="I9" s="75"/>
      <c r="J9" s="75"/>
      <c r="K9" s="75"/>
    </row>
    <row r="11" spans="1:12" x14ac:dyDescent="0.25">
      <c r="A11" s="74" t="s">
        <v>21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x14ac:dyDescent="0.25">
      <c r="A12" s="12" t="s">
        <v>22</v>
      </c>
      <c r="B12" s="72" t="s">
        <v>23</v>
      </c>
      <c r="C12" s="73"/>
      <c r="D12" s="73"/>
      <c r="E12" s="73"/>
      <c r="F12" s="73"/>
    </row>
    <row r="13" spans="1:12" x14ac:dyDescent="0.25">
      <c r="A13" s="12" t="s">
        <v>24</v>
      </c>
      <c r="B13" s="72" t="s">
        <v>25</v>
      </c>
      <c r="C13" s="73"/>
      <c r="D13" s="73"/>
      <c r="E13" s="73"/>
      <c r="F13" s="73"/>
    </row>
    <row r="14" spans="1:12" x14ac:dyDescent="0.25">
      <c r="A14" s="12" t="s">
        <v>26</v>
      </c>
      <c r="B14" s="72" t="s">
        <v>27</v>
      </c>
      <c r="C14" s="73"/>
      <c r="D14" s="73"/>
      <c r="E14" s="73"/>
      <c r="F14" s="73"/>
    </row>
    <row r="15" spans="1:12" x14ac:dyDescent="0.25">
      <c r="A15" s="12" t="s">
        <v>28</v>
      </c>
      <c r="B15" s="72" t="s">
        <v>29</v>
      </c>
      <c r="C15" s="73"/>
      <c r="D15" s="73"/>
      <c r="E15" s="73"/>
      <c r="F15" s="73"/>
    </row>
    <row r="16" spans="1:12" x14ac:dyDescent="0.25">
      <c r="A16" s="12" t="s">
        <v>30</v>
      </c>
      <c r="B16" s="72" t="s">
        <v>31</v>
      </c>
      <c r="C16" s="73"/>
      <c r="D16" s="73"/>
      <c r="E16" s="73"/>
      <c r="F16" s="73"/>
    </row>
    <row r="17" spans="1:12" x14ac:dyDescent="0.25">
      <c r="A17" s="12" t="s">
        <v>32</v>
      </c>
      <c r="B17" s="81" t="s">
        <v>488</v>
      </c>
      <c r="C17" s="73"/>
      <c r="D17" s="73"/>
      <c r="E17" s="73"/>
      <c r="F17" s="73"/>
    </row>
    <row r="18" spans="1:12" x14ac:dyDescent="0.25">
      <c r="A18" s="12" t="s">
        <v>33</v>
      </c>
      <c r="B18" s="72" t="s">
        <v>34</v>
      </c>
      <c r="C18" s="73"/>
      <c r="D18" s="73"/>
      <c r="E18" s="73"/>
      <c r="F18" s="73"/>
    </row>
    <row r="19" spans="1:12" x14ac:dyDescent="0.25">
      <c r="A19" s="12" t="s">
        <v>35</v>
      </c>
      <c r="B19" s="72" t="s">
        <v>36</v>
      </c>
      <c r="C19" s="73"/>
      <c r="D19" s="73"/>
      <c r="E19" s="73"/>
      <c r="F19" s="73"/>
    </row>
    <row r="20" spans="1:12" x14ac:dyDescent="0.25">
      <c r="A20" s="12" t="s">
        <v>37</v>
      </c>
      <c r="B20" s="72" t="s">
        <v>38</v>
      </c>
      <c r="C20" s="73"/>
      <c r="D20" s="73"/>
      <c r="E20" s="73"/>
      <c r="F20" s="73"/>
    </row>
    <row r="21" spans="1:12" x14ac:dyDescent="0.25">
      <c r="A21" s="12" t="s">
        <v>39</v>
      </c>
      <c r="B21" s="72" t="s">
        <v>40</v>
      </c>
      <c r="C21" s="73"/>
      <c r="D21" s="73"/>
      <c r="E21" s="73"/>
      <c r="F21" s="73"/>
    </row>
    <row r="23" spans="1:12" x14ac:dyDescent="0.25">
      <c r="A23" s="74" t="s">
        <v>41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</row>
    <row r="24" spans="1:12" x14ac:dyDescent="0.25">
      <c r="A24" s="1" t="s">
        <v>4</v>
      </c>
      <c r="B24" s="1" t="s">
        <v>42</v>
      </c>
      <c r="C24" s="1" t="s">
        <v>43</v>
      </c>
    </row>
    <row r="25" spans="1:12" x14ac:dyDescent="0.25">
      <c r="A25" s="3" t="s">
        <v>12</v>
      </c>
      <c r="B25" s="13">
        <v>1</v>
      </c>
      <c r="C25" s="2" t="s">
        <v>44</v>
      </c>
    </row>
    <row r="26" spans="1:12" x14ac:dyDescent="0.25">
      <c r="A26" s="3" t="s">
        <v>15</v>
      </c>
      <c r="B26" s="13">
        <v>32.26896</v>
      </c>
      <c r="C26" s="2" t="s">
        <v>45</v>
      </c>
    </row>
    <row r="27" spans="1:12" x14ac:dyDescent="0.25">
      <c r="A27" s="3" t="s">
        <v>18</v>
      </c>
      <c r="B27" s="13">
        <v>2.461E-2</v>
      </c>
      <c r="C27" s="2" t="s">
        <v>46</v>
      </c>
    </row>
  </sheetData>
  <mergeCells count="15">
    <mergeCell ref="A23:L23"/>
    <mergeCell ref="B19:F19"/>
    <mergeCell ref="B14:F14"/>
    <mergeCell ref="A1:H1"/>
    <mergeCell ref="A3:L3"/>
    <mergeCell ref="B13:F13"/>
    <mergeCell ref="B18:F18"/>
    <mergeCell ref="A9:K9"/>
    <mergeCell ref="B21:F21"/>
    <mergeCell ref="B12:F12"/>
    <mergeCell ref="B16:F16"/>
    <mergeCell ref="B20:F20"/>
    <mergeCell ref="A11:L11"/>
    <mergeCell ref="B15:F15"/>
    <mergeCell ref="B17:F17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4"/>
  <sheetViews>
    <sheetView workbookViewId="0">
      <selection activeCell="B27" sqref="B27"/>
    </sheetView>
  </sheetViews>
  <sheetFormatPr defaultRowHeight="15.75" x14ac:dyDescent="0.25"/>
  <cols>
    <col min="1" max="1" width="30" customWidth="1"/>
    <col min="2" max="2" width="9.140625" customWidth="1"/>
    <col min="3" max="3" width="10.28515625" customWidth="1"/>
    <col min="4" max="5" width="8" customWidth="1"/>
    <col min="6" max="6" width="11.42578125" customWidth="1"/>
    <col min="7" max="7" width="8" customWidth="1"/>
    <col min="8" max="8" width="9.140625" customWidth="1"/>
    <col min="9" max="11" width="8" customWidth="1"/>
  </cols>
  <sheetData>
    <row r="1" spans="1:9" x14ac:dyDescent="0.25">
      <c r="A1" s="76" t="s">
        <v>47</v>
      </c>
      <c r="B1" s="75"/>
      <c r="C1" s="75"/>
      <c r="D1" s="75"/>
      <c r="E1" s="75"/>
      <c r="F1" s="75"/>
      <c r="G1" s="75"/>
      <c r="H1" s="75"/>
      <c r="I1" s="75"/>
    </row>
    <row r="2" spans="1:9" ht="28.5" x14ac:dyDescent="0.25">
      <c r="A2" s="1" t="s">
        <v>48</v>
      </c>
      <c r="B2" s="1" t="s">
        <v>49</v>
      </c>
      <c r="C2" s="1" t="s">
        <v>50</v>
      </c>
      <c r="D2" s="1" t="s">
        <v>51</v>
      </c>
      <c r="F2" s="1" t="s">
        <v>48</v>
      </c>
      <c r="G2" s="1" t="s">
        <v>52</v>
      </c>
      <c r="H2" s="1" t="s">
        <v>53</v>
      </c>
    </row>
    <row r="3" spans="1:9" x14ac:dyDescent="0.25">
      <c r="A3" s="14" t="s">
        <v>54</v>
      </c>
      <c r="B3" s="15">
        <v>600</v>
      </c>
      <c r="C3" s="15">
        <v>185</v>
      </c>
      <c r="D3" s="16">
        <v>70000</v>
      </c>
      <c r="E3" s="17"/>
      <c r="F3" s="14" t="s">
        <v>54</v>
      </c>
      <c r="G3" s="18">
        <v>32.5</v>
      </c>
      <c r="H3" s="19">
        <v>2.35E-2</v>
      </c>
    </row>
    <row r="4" spans="1:9" x14ac:dyDescent="0.25">
      <c r="A4" s="3" t="s">
        <v>55</v>
      </c>
      <c r="B4" s="5">
        <v>612.96</v>
      </c>
      <c r="C4" s="5">
        <v>191.48</v>
      </c>
      <c r="D4" s="4">
        <v>72532</v>
      </c>
      <c r="F4" s="3" t="s">
        <v>55</v>
      </c>
      <c r="G4" s="20">
        <v>32.440399999999997</v>
      </c>
      <c r="H4" s="21">
        <v>2.3599999999999999E-2</v>
      </c>
    </row>
    <row r="5" spans="1:9" x14ac:dyDescent="0.25">
      <c r="A5" s="3" t="s">
        <v>56</v>
      </c>
      <c r="B5" s="5">
        <v>601.63</v>
      </c>
      <c r="C5" s="5">
        <v>186.11</v>
      </c>
      <c r="D5" s="4">
        <v>71998</v>
      </c>
      <c r="F5" s="3" t="s">
        <v>56</v>
      </c>
      <c r="G5" s="20">
        <v>32.3249</v>
      </c>
      <c r="H5" s="21">
        <v>2.3591999999999998E-2</v>
      </c>
    </row>
    <row r="6" spans="1:9" x14ac:dyDescent="0.25">
      <c r="A6" s="3" t="s">
        <v>57</v>
      </c>
      <c r="B6" s="5">
        <v>612.57000000000005</v>
      </c>
      <c r="C6" s="5">
        <v>188.75</v>
      </c>
      <c r="D6" s="4">
        <v>75291</v>
      </c>
      <c r="F6" s="3" t="s">
        <v>57</v>
      </c>
      <c r="G6" s="20">
        <v>32.357599999999998</v>
      </c>
      <c r="H6" s="21">
        <v>2.3439000000000002E-2</v>
      </c>
    </row>
    <row r="7" spans="1:9" x14ac:dyDescent="0.25">
      <c r="A7" s="3" t="s">
        <v>58</v>
      </c>
      <c r="B7" s="5">
        <v>622.34</v>
      </c>
      <c r="C7" s="5">
        <v>191.75</v>
      </c>
      <c r="D7" s="4">
        <v>74596</v>
      </c>
      <c r="F7" s="3" t="s">
        <v>58</v>
      </c>
      <c r="G7" s="20">
        <v>32.326099999999997</v>
      </c>
      <c r="H7" s="21">
        <v>2.3491999999999999E-2</v>
      </c>
    </row>
    <row r="8" spans="1:9" x14ac:dyDescent="0.25">
      <c r="A8" s="3" t="s">
        <v>59</v>
      </c>
      <c r="B8" s="5">
        <v>609.19000000000005</v>
      </c>
      <c r="C8" s="5">
        <v>195.66</v>
      </c>
      <c r="D8" s="4">
        <v>74763</v>
      </c>
      <c r="F8" s="3" t="s">
        <v>59</v>
      </c>
      <c r="G8" s="20">
        <v>32.245399999999997</v>
      </c>
      <c r="H8" s="21">
        <v>2.3428000000000001E-2</v>
      </c>
    </row>
    <row r="9" spans="1:9" x14ac:dyDescent="0.25">
      <c r="A9" s="3" t="s">
        <v>60</v>
      </c>
      <c r="B9" s="5">
        <v>619.66</v>
      </c>
      <c r="C9" s="5">
        <v>192.06</v>
      </c>
      <c r="D9" s="4">
        <v>74007</v>
      </c>
      <c r="F9" s="3" t="s">
        <v>60</v>
      </c>
      <c r="G9" s="20">
        <v>32.327100000000002</v>
      </c>
      <c r="H9" s="21">
        <v>2.3692999999999999E-2</v>
      </c>
    </row>
    <row r="10" spans="1:9" x14ac:dyDescent="0.25">
      <c r="A10" s="3" t="s">
        <v>61</v>
      </c>
      <c r="B10" s="5">
        <v>604.34</v>
      </c>
      <c r="C10" s="5">
        <v>188.34</v>
      </c>
      <c r="D10" s="4">
        <v>74843</v>
      </c>
      <c r="F10" s="3" t="s">
        <v>61</v>
      </c>
      <c r="G10" s="20">
        <v>32.265000000000001</v>
      </c>
      <c r="H10" s="21">
        <v>2.3737999999999999E-2</v>
      </c>
    </row>
    <row r="11" spans="1:9" x14ac:dyDescent="0.25">
      <c r="A11" s="3" t="s">
        <v>62</v>
      </c>
      <c r="B11" s="5">
        <v>587.17999999999995</v>
      </c>
      <c r="C11" s="5">
        <v>185.26</v>
      </c>
      <c r="D11" s="4">
        <v>74514</v>
      </c>
      <c r="F11" s="3" t="s">
        <v>62</v>
      </c>
      <c r="G11" s="20">
        <v>32.203200000000002</v>
      </c>
      <c r="H11" s="21">
        <v>2.3885E-2</v>
      </c>
    </row>
    <row r="12" spans="1:9" x14ac:dyDescent="0.25">
      <c r="A12" s="3" t="s">
        <v>63</v>
      </c>
      <c r="B12" s="5">
        <v>579.84</v>
      </c>
      <c r="C12" s="5">
        <v>183.92</v>
      </c>
      <c r="D12" s="4">
        <v>73921</v>
      </c>
      <c r="F12" s="3" t="s">
        <v>63</v>
      </c>
      <c r="G12" s="20">
        <v>32.148299999999999</v>
      </c>
      <c r="H12" s="21">
        <v>2.3907000000000001E-2</v>
      </c>
    </row>
    <row r="13" spans="1:9" x14ac:dyDescent="0.25">
      <c r="A13" s="3" t="s">
        <v>64</v>
      </c>
      <c r="B13" s="5">
        <v>585.17999999999995</v>
      </c>
      <c r="C13" s="5">
        <v>183.11</v>
      </c>
      <c r="D13" s="4">
        <v>74413</v>
      </c>
      <c r="F13" s="3" t="s">
        <v>64</v>
      </c>
      <c r="G13" s="20">
        <v>32.265799999999999</v>
      </c>
      <c r="H13" s="21">
        <v>2.3806000000000001E-2</v>
      </c>
    </row>
    <row r="14" spans="1:9" x14ac:dyDescent="0.25">
      <c r="A14" s="3" t="s">
        <v>65</v>
      </c>
      <c r="B14" s="5">
        <v>586.32000000000005</v>
      </c>
      <c r="C14" s="5">
        <v>184.63</v>
      </c>
      <c r="D14" s="4">
        <v>74950</v>
      </c>
      <c r="F14" s="3" t="s">
        <v>65</v>
      </c>
      <c r="G14" s="20">
        <v>32.321899999999999</v>
      </c>
      <c r="H14" s="21">
        <v>2.3781E-2</v>
      </c>
    </row>
    <row r="15" spans="1:9" x14ac:dyDescent="0.25">
      <c r="A15" s="3" t="s">
        <v>66</v>
      </c>
      <c r="B15" s="5">
        <v>606.57000000000005</v>
      </c>
      <c r="C15" s="5">
        <v>184.31</v>
      </c>
      <c r="D15" s="4">
        <v>77303</v>
      </c>
      <c r="F15" s="3" t="s">
        <v>66</v>
      </c>
      <c r="G15" s="20">
        <v>32.156100000000002</v>
      </c>
      <c r="H15" s="21">
        <v>2.3723999999999999E-2</v>
      </c>
    </row>
    <row r="16" spans="1:9" x14ac:dyDescent="0.25">
      <c r="A16" s="3" t="s">
        <v>67</v>
      </c>
      <c r="B16" s="5">
        <v>602.17999999999995</v>
      </c>
      <c r="C16" s="5">
        <v>181.04</v>
      </c>
      <c r="D16" s="4">
        <v>78945</v>
      </c>
      <c r="F16" s="3" t="s">
        <v>67</v>
      </c>
      <c r="G16" s="20">
        <v>32.156300000000002</v>
      </c>
      <c r="H16" s="21">
        <v>2.3671999999999999E-2</v>
      </c>
    </row>
    <row r="17" spans="1:8" x14ac:dyDescent="0.25">
      <c r="A17" s="3" t="s">
        <v>68</v>
      </c>
      <c r="B17" s="5">
        <v>597.39</v>
      </c>
      <c r="C17" s="5">
        <v>179.54</v>
      </c>
      <c r="D17" s="4">
        <v>76439</v>
      </c>
      <c r="F17" s="3" t="s">
        <v>68</v>
      </c>
      <c r="G17" s="20">
        <v>32.240900000000003</v>
      </c>
      <c r="H17" s="21">
        <v>2.3637999999999999E-2</v>
      </c>
    </row>
    <row r="18" spans="1:8" x14ac:dyDescent="0.25">
      <c r="A18" s="3" t="s">
        <v>69</v>
      </c>
      <c r="B18" s="5">
        <v>573.29999999999995</v>
      </c>
      <c r="C18" s="5">
        <v>179.58</v>
      </c>
      <c r="D18" s="4">
        <v>74103</v>
      </c>
      <c r="F18" s="3" t="s">
        <v>69</v>
      </c>
      <c r="G18" s="20">
        <v>32.260599999999997</v>
      </c>
      <c r="H18" s="21">
        <v>2.3682999999999999E-2</v>
      </c>
    </row>
    <row r="19" spans="1:8" x14ac:dyDescent="0.25">
      <c r="A19" s="3" t="s">
        <v>70</v>
      </c>
      <c r="B19" s="5">
        <v>582.76</v>
      </c>
      <c r="C19" s="5">
        <v>186.28</v>
      </c>
      <c r="D19" s="4">
        <v>74729</v>
      </c>
      <c r="F19" s="3" t="s">
        <v>70</v>
      </c>
      <c r="G19" s="20">
        <v>32.465899999999998</v>
      </c>
      <c r="H19" s="21">
        <v>2.3747000000000001E-2</v>
      </c>
    </row>
    <row r="20" spans="1:8" x14ac:dyDescent="0.25">
      <c r="A20" s="3" t="s">
        <v>71</v>
      </c>
      <c r="B20" s="5">
        <v>570.23</v>
      </c>
      <c r="C20" s="5">
        <v>186.54</v>
      </c>
      <c r="D20" s="4">
        <v>75727</v>
      </c>
      <c r="F20" s="3" t="s">
        <v>71</v>
      </c>
      <c r="G20" s="20">
        <v>32.392600000000002</v>
      </c>
      <c r="H20" s="21">
        <v>2.3897000000000002E-2</v>
      </c>
    </row>
    <row r="21" spans="1:8" x14ac:dyDescent="0.25">
      <c r="A21" s="3" t="s">
        <v>72</v>
      </c>
      <c r="B21" s="5">
        <v>567.71</v>
      </c>
      <c r="C21" s="5">
        <v>186.47</v>
      </c>
      <c r="D21" s="4">
        <v>77867</v>
      </c>
      <c r="F21" s="3" t="s">
        <v>72</v>
      </c>
      <c r="G21" s="20">
        <v>32.407699999999998</v>
      </c>
      <c r="H21" s="21">
        <v>2.3923E-2</v>
      </c>
    </row>
    <row r="22" spans="1:8" x14ac:dyDescent="0.25">
      <c r="A22" s="3" t="s">
        <v>73</v>
      </c>
      <c r="B22" s="5">
        <v>582.72</v>
      </c>
      <c r="C22" s="5">
        <v>190.18</v>
      </c>
      <c r="D22" s="4">
        <v>77123</v>
      </c>
      <c r="F22" s="3" t="s">
        <v>73</v>
      </c>
      <c r="G22" s="20">
        <v>32.290799999999997</v>
      </c>
      <c r="H22" s="21">
        <v>2.3893999999999999E-2</v>
      </c>
    </row>
    <row r="23" spans="1:8" x14ac:dyDescent="0.25">
      <c r="A23" s="3" t="s">
        <v>74</v>
      </c>
      <c r="B23" s="5">
        <v>582.55999999999995</v>
      </c>
      <c r="C23" s="5">
        <v>192.24</v>
      </c>
      <c r="D23" s="4">
        <v>76975</v>
      </c>
      <c r="F23" s="3" t="s">
        <v>74</v>
      </c>
      <c r="G23" s="20">
        <v>32.314700000000002</v>
      </c>
      <c r="H23" s="21">
        <v>2.3746E-2</v>
      </c>
    </row>
    <row r="24" spans="1:8" x14ac:dyDescent="0.25">
      <c r="A24" s="3" t="s">
        <v>75</v>
      </c>
      <c r="B24" s="5">
        <v>575.96</v>
      </c>
      <c r="C24" s="5">
        <v>189.24</v>
      </c>
      <c r="D24" s="4">
        <v>75577</v>
      </c>
      <c r="F24" s="3" t="s">
        <v>75</v>
      </c>
      <c r="G24" s="20">
        <v>32.2804</v>
      </c>
      <c r="H24" s="21">
        <v>2.3747999999999998E-2</v>
      </c>
    </row>
    <row r="25" spans="1:8" x14ac:dyDescent="0.25">
      <c r="A25" s="3" t="s">
        <v>76</v>
      </c>
      <c r="B25" s="5">
        <v>568.73</v>
      </c>
      <c r="C25" s="5">
        <v>187.23</v>
      </c>
      <c r="D25" s="4">
        <v>77128</v>
      </c>
      <c r="F25" s="3" t="s">
        <v>76</v>
      </c>
      <c r="G25" s="20">
        <v>32.208399999999997</v>
      </c>
      <c r="H25" s="21">
        <v>2.3882E-2</v>
      </c>
    </row>
    <row r="26" spans="1:8" x14ac:dyDescent="0.25">
      <c r="A26" s="3" t="s">
        <v>77</v>
      </c>
      <c r="B26" s="5">
        <v>560.14</v>
      </c>
      <c r="C26" s="5">
        <v>189.41</v>
      </c>
      <c r="D26" s="4">
        <v>77842</v>
      </c>
      <c r="F26" s="3" t="s">
        <v>77</v>
      </c>
      <c r="G26" s="20">
        <v>32.369199999999999</v>
      </c>
      <c r="H26" s="21">
        <v>2.3751999999999999E-2</v>
      </c>
    </row>
    <row r="27" spans="1:8" x14ac:dyDescent="0.25">
      <c r="A27" s="3" t="s">
        <v>78</v>
      </c>
      <c r="B27" s="5">
        <v>562.16</v>
      </c>
      <c r="C27" s="5">
        <v>187.01</v>
      </c>
      <c r="D27" s="4">
        <v>76949</v>
      </c>
      <c r="F27" s="3" t="s">
        <v>78</v>
      </c>
      <c r="G27" s="20">
        <v>32.181399999999996</v>
      </c>
      <c r="H27" s="21">
        <v>2.3619000000000001E-2</v>
      </c>
    </row>
    <row r="28" spans="1:8" x14ac:dyDescent="0.25">
      <c r="A28" s="3" t="s">
        <v>79</v>
      </c>
      <c r="B28" s="5">
        <v>585.26</v>
      </c>
      <c r="C28" s="5">
        <v>189.47</v>
      </c>
      <c r="D28" s="4">
        <v>78589</v>
      </c>
      <c r="F28" s="3" t="s">
        <v>79</v>
      </c>
      <c r="G28" s="20">
        <v>32.311999999999998</v>
      </c>
      <c r="H28" s="21">
        <v>2.3505000000000002E-2</v>
      </c>
    </row>
    <row r="29" spans="1:8" x14ac:dyDescent="0.25">
      <c r="A29" s="3" t="s">
        <v>80</v>
      </c>
      <c r="B29" s="5">
        <v>593.54999999999995</v>
      </c>
      <c r="C29" s="5">
        <v>193.76</v>
      </c>
      <c r="D29" s="4">
        <v>78775</v>
      </c>
      <c r="F29" s="3" t="s">
        <v>80</v>
      </c>
      <c r="G29" s="20">
        <v>32.289499999999997</v>
      </c>
      <c r="H29" s="21">
        <v>2.3636000000000001E-2</v>
      </c>
    </row>
    <row r="30" spans="1:8" x14ac:dyDescent="0.25">
      <c r="A30" s="3" t="s">
        <v>81</v>
      </c>
      <c r="B30" s="5">
        <v>586.82000000000005</v>
      </c>
      <c r="C30" s="5">
        <v>193.06</v>
      </c>
      <c r="D30" s="4">
        <v>78159</v>
      </c>
      <c r="F30" s="3" t="s">
        <v>81</v>
      </c>
      <c r="G30" s="20">
        <v>32.356999999999999</v>
      </c>
      <c r="H30" s="21">
        <v>2.3727999999999999E-2</v>
      </c>
    </row>
    <row r="31" spans="1:8" x14ac:dyDescent="0.25">
      <c r="A31" s="3" t="s">
        <v>82</v>
      </c>
      <c r="B31" s="5">
        <v>596.65</v>
      </c>
      <c r="C31" s="5">
        <v>194.66</v>
      </c>
      <c r="D31" s="4">
        <v>78934</v>
      </c>
      <c r="F31" s="3" t="s">
        <v>82</v>
      </c>
      <c r="G31" s="20">
        <v>32.366100000000003</v>
      </c>
      <c r="H31" s="21">
        <v>2.3942999999999999E-2</v>
      </c>
    </row>
    <row r="32" spans="1:8" x14ac:dyDescent="0.25">
      <c r="A32" s="3" t="s">
        <v>83</v>
      </c>
      <c r="B32" s="5">
        <v>598.86</v>
      </c>
      <c r="C32" s="5">
        <v>199.1</v>
      </c>
      <c r="D32" s="4">
        <v>78481</v>
      </c>
      <c r="F32" s="3" t="s">
        <v>83</v>
      </c>
      <c r="G32" s="20">
        <v>32.323799999999999</v>
      </c>
      <c r="H32" s="21">
        <v>2.3827999999999998E-2</v>
      </c>
    </row>
    <row r="33" spans="1:8" x14ac:dyDescent="0.25">
      <c r="A33" s="3" t="s">
        <v>84</v>
      </c>
      <c r="B33" s="5">
        <v>593.63</v>
      </c>
      <c r="C33" s="5">
        <v>201.77</v>
      </c>
      <c r="D33" s="4">
        <v>78442</v>
      </c>
      <c r="F33" s="3" t="s">
        <v>84</v>
      </c>
      <c r="G33" s="20">
        <v>32.335599999999999</v>
      </c>
      <c r="H33" s="21">
        <v>2.4101999999999998E-2</v>
      </c>
    </row>
    <row r="34" spans="1:8" x14ac:dyDescent="0.25">
      <c r="A34" s="3" t="s">
        <v>85</v>
      </c>
      <c r="B34" s="5">
        <v>598.41</v>
      </c>
      <c r="C34" s="5">
        <v>199.79</v>
      </c>
      <c r="D34" s="4">
        <v>78441</v>
      </c>
      <c r="F34" s="3" t="s">
        <v>85</v>
      </c>
      <c r="G34" s="20">
        <v>32.491700000000002</v>
      </c>
      <c r="H34" s="21">
        <v>2.4077000000000001E-2</v>
      </c>
    </row>
    <row r="35" spans="1:8" x14ac:dyDescent="0.25">
      <c r="A35" s="3" t="s">
        <v>86</v>
      </c>
      <c r="B35" s="5">
        <v>604.09</v>
      </c>
      <c r="C35" s="5">
        <v>195.88</v>
      </c>
      <c r="D35" s="4">
        <v>77107</v>
      </c>
      <c r="F35" s="3" t="s">
        <v>86</v>
      </c>
      <c r="G35" s="20">
        <v>32.334600000000002</v>
      </c>
      <c r="H35" s="21">
        <v>2.4083E-2</v>
      </c>
    </row>
    <row r="36" spans="1:8" x14ac:dyDescent="0.25">
      <c r="A36" s="3" t="s">
        <v>87</v>
      </c>
      <c r="B36" s="5">
        <v>609.71</v>
      </c>
      <c r="C36" s="5">
        <v>204.2</v>
      </c>
      <c r="D36" s="4">
        <v>78710</v>
      </c>
      <c r="F36" s="3" t="s">
        <v>87</v>
      </c>
      <c r="G36" s="20">
        <v>32.385599999999997</v>
      </c>
      <c r="H36" s="21">
        <v>2.4143999999999999E-2</v>
      </c>
    </row>
    <row r="37" spans="1:8" x14ac:dyDescent="0.25">
      <c r="A37" s="3" t="s">
        <v>88</v>
      </c>
      <c r="B37" s="5">
        <v>609.48</v>
      </c>
      <c r="C37" s="5">
        <v>201.34</v>
      </c>
      <c r="D37" s="4">
        <v>79147</v>
      </c>
      <c r="F37" s="3" t="s">
        <v>88</v>
      </c>
      <c r="G37" s="20">
        <v>32.375799999999998</v>
      </c>
      <c r="H37" s="21">
        <v>2.4045E-2</v>
      </c>
    </row>
    <row r="38" spans="1:8" x14ac:dyDescent="0.25">
      <c r="A38" s="3" t="s">
        <v>89</v>
      </c>
      <c r="B38" s="5">
        <v>580.20000000000005</v>
      </c>
      <c r="C38" s="5">
        <v>198.61</v>
      </c>
      <c r="D38" s="4">
        <v>77767</v>
      </c>
      <c r="F38" s="3" t="s">
        <v>89</v>
      </c>
      <c r="G38" s="20">
        <v>32.324199999999998</v>
      </c>
      <c r="H38" s="21">
        <v>2.4084999999999999E-2</v>
      </c>
    </row>
    <row r="39" spans="1:8" x14ac:dyDescent="0.25">
      <c r="A39" s="3" t="s">
        <v>90</v>
      </c>
      <c r="B39" s="5">
        <v>574.66</v>
      </c>
      <c r="C39" s="5">
        <v>206.24</v>
      </c>
      <c r="D39" s="4">
        <v>74296</v>
      </c>
      <c r="F39" s="3" t="s">
        <v>90</v>
      </c>
      <c r="G39" s="20">
        <v>32.461500000000001</v>
      </c>
      <c r="H39" s="21">
        <v>2.4187E-2</v>
      </c>
    </row>
    <row r="40" spans="1:8" x14ac:dyDescent="0.25">
      <c r="A40" s="3" t="s">
        <v>91</v>
      </c>
      <c r="B40" s="5">
        <v>574.87</v>
      </c>
      <c r="C40" s="5">
        <v>206.61</v>
      </c>
      <c r="D40" s="4">
        <v>75094</v>
      </c>
      <c r="F40" s="3" t="s">
        <v>91</v>
      </c>
      <c r="G40" s="20">
        <v>32.438099999999999</v>
      </c>
      <c r="H40" s="21">
        <v>2.4166E-2</v>
      </c>
    </row>
    <row r="41" spans="1:8" x14ac:dyDescent="0.25">
      <c r="A41" s="3" t="s">
        <v>92</v>
      </c>
      <c r="B41" s="5">
        <v>557.19000000000005</v>
      </c>
      <c r="C41" s="5">
        <v>203.34</v>
      </c>
      <c r="D41" s="4">
        <v>72154</v>
      </c>
      <c r="F41" s="3" t="s">
        <v>92</v>
      </c>
      <c r="G41" s="20">
        <v>32.555</v>
      </c>
      <c r="H41" s="21">
        <v>2.4271999999999998E-2</v>
      </c>
    </row>
    <row r="42" spans="1:8" x14ac:dyDescent="0.25">
      <c r="A42" s="3" t="s">
        <v>93</v>
      </c>
      <c r="B42" s="5">
        <v>556.21</v>
      </c>
      <c r="C42" s="5">
        <v>204.02</v>
      </c>
      <c r="D42" s="4">
        <v>72462</v>
      </c>
      <c r="F42" s="3" t="s">
        <v>93</v>
      </c>
      <c r="G42" s="20">
        <v>32.604599999999998</v>
      </c>
      <c r="H42" s="21">
        <v>2.4053000000000001E-2</v>
      </c>
    </row>
    <row r="43" spans="1:8" x14ac:dyDescent="0.25">
      <c r="A43" s="3" t="s">
        <v>94</v>
      </c>
      <c r="B43" s="5">
        <v>554.46</v>
      </c>
      <c r="C43" s="5">
        <v>204.6</v>
      </c>
      <c r="D43" s="4">
        <v>72766</v>
      </c>
      <c r="F43" s="3" t="s">
        <v>94</v>
      </c>
      <c r="G43" s="20">
        <v>32.4681</v>
      </c>
      <c r="H43" s="21">
        <v>2.4125000000000001E-2</v>
      </c>
    </row>
    <row r="44" spans="1:8" x14ac:dyDescent="0.25">
      <c r="A44" s="3" t="s">
        <v>95</v>
      </c>
      <c r="B44" s="5">
        <v>559.41999999999996</v>
      </c>
      <c r="C44" s="5">
        <v>205.28</v>
      </c>
      <c r="D44" s="4">
        <v>70236</v>
      </c>
      <c r="F44" s="3" t="s">
        <v>95</v>
      </c>
      <c r="G44" s="20">
        <v>32.580599999999997</v>
      </c>
      <c r="H44" s="21">
        <v>2.4171000000000002E-2</v>
      </c>
    </row>
    <row r="45" spans="1:8" x14ac:dyDescent="0.25">
      <c r="A45" s="3" t="s">
        <v>96</v>
      </c>
      <c r="B45" s="5">
        <v>550.82000000000005</v>
      </c>
      <c r="C45" s="5">
        <v>205.74</v>
      </c>
      <c r="D45" s="4">
        <v>68773</v>
      </c>
      <c r="F45" s="3" t="s">
        <v>96</v>
      </c>
      <c r="G45" s="20">
        <v>32.591999999999999</v>
      </c>
      <c r="H45" s="21">
        <v>2.4170000000000001E-2</v>
      </c>
    </row>
    <row r="46" spans="1:8" x14ac:dyDescent="0.25">
      <c r="A46" s="3" t="s">
        <v>97</v>
      </c>
      <c r="B46" s="5">
        <v>542.52</v>
      </c>
      <c r="C46" s="5">
        <v>205.4</v>
      </c>
      <c r="D46" s="4">
        <v>68536</v>
      </c>
      <c r="F46" s="3" t="s">
        <v>97</v>
      </c>
      <c r="G46" s="20">
        <v>32.628999999999998</v>
      </c>
      <c r="H46" s="21">
        <v>2.4031E-2</v>
      </c>
    </row>
    <row r="47" spans="1:8" x14ac:dyDescent="0.25">
      <c r="A47" s="3" t="s">
        <v>98</v>
      </c>
      <c r="B47" s="5">
        <v>552.75</v>
      </c>
      <c r="C47" s="5">
        <v>208.36</v>
      </c>
      <c r="D47" s="4">
        <v>68343</v>
      </c>
      <c r="F47" s="3" t="s">
        <v>98</v>
      </c>
      <c r="G47" s="20">
        <v>32.560699999999997</v>
      </c>
      <c r="H47" s="21">
        <v>2.4087000000000001E-2</v>
      </c>
    </row>
    <row r="48" spans="1:8" x14ac:dyDescent="0.25">
      <c r="A48" s="3" t="s">
        <v>99</v>
      </c>
      <c r="B48" s="5">
        <v>554.46</v>
      </c>
      <c r="C48" s="5">
        <v>198.64</v>
      </c>
      <c r="D48" s="4">
        <v>66563</v>
      </c>
      <c r="F48" s="3" t="s">
        <v>99</v>
      </c>
      <c r="G48" s="20">
        <v>32.5321</v>
      </c>
      <c r="H48" s="21">
        <v>2.4070999999999999E-2</v>
      </c>
    </row>
    <row r="49" spans="1:8" x14ac:dyDescent="0.25">
      <c r="A49" s="3" t="s">
        <v>100</v>
      </c>
      <c r="B49" s="5">
        <v>553.27</v>
      </c>
      <c r="C49" s="5">
        <v>190.64</v>
      </c>
      <c r="D49" s="4">
        <v>65526</v>
      </c>
      <c r="F49" s="3" t="s">
        <v>100</v>
      </c>
      <c r="G49" s="20">
        <v>32.5289</v>
      </c>
      <c r="H49" s="21">
        <v>2.4105999999999999E-2</v>
      </c>
    </row>
    <row r="50" spans="1:8" x14ac:dyDescent="0.25">
      <c r="A50" s="3" t="s">
        <v>101</v>
      </c>
      <c r="B50" s="5">
        <v>556.51</v>
      </c>
      <c r="C50" s="5">
        <v>194.46</v>
      </c>
      <c r="D50" s="4">
        <v>66455</v>
      </c>
      <c r="F50" s="3" t="s">
        <v>101</v>
      </c>
      <c r="G50" s="20">
        <v>32.4756</v>
      </c>
      <c r="H50" s="21">
        <v>2.4001999999999999E-2</v>
      </c>
    </row>
    <row r="51" spans="1:8" x14ac:dyDescent="0.25">
      <c r="A51" s="3" t="s">
        <v>102</v>
      </c>
      <c r="B51" s="5">
        <v>578.34</v>
      </c>
      <c r="C51" s="5">
        <v>201.81</v>
      </c>
      <c r="D51" s="4">
        <v>65128</v>
      </c>
      <c r="F51" s="3" t="s">
        <v>102</v>
      </c>
      <c r="G51" s="20">
        <v>32.505699999999997</v>
      </c>
      <c r="H51" s="21">
        <v>2.3837000000000001E-2</v>
      </c>
    </row>
    <row r="52" spans="1:8" x14ac:dyDescent="0.25">
      <c r="A52" s="3" t="s">
        <v>103</v>
      </c>
      <c r="B52" s="5">
        <v>576.19000000000005</v>
      </c>
      <c r="C52" s="5">
        <v>201.17</v>
      </c>
      <c r="D52" s="4">
        <v>65191</v>
      </c>
      <c r="F52" s="3" t="s">
        <v>103</v>
      </c>
      <c r="G52" s="20">
        <v>32.489100000000001</v>
      </c>
      <c r="H52" s="21">
        <v>2.3702000000000001E-2</v>
      </c>
    </row>
    <row r="53" spans="1:8" x14ac:dyDescent="0.25">
      <c r="A53" s="3" t="s">
        <v>104</v>
      </c>
      <c r="B53" s="5">
        <v>570.09</v>
      </c>
      <c r="C53" s="5">
        <v>202.8</v>
      </c>
      <c r="D53" s="4">
        <v>66253</v>
      </c>
      <c r="F53" s="3" t="s">
        <v>104</v>
      </c>
      <c r="G53" s="20">
        <v>32.594200000000001</v>
      </c>
      <c r="H53" s="21">
        <v>2.3928999999999999E-2</v>
      </c>
    </row>
    <row r="54" spans="1:8" x14ac:dyDescent="0.25">
      <c r="A54" s="3" t="s">
        <v>105</v>
      </c>
      <c r="B54" s="5">
        <v>553.41</v>
      </c>
      <c r="C54" s="5">
        <v>204.57</v>
      </c>
      <c r="D54" s="4">
        <v>65177</v>
      </c>
      <c r="F54" s="3" t="s">
        <v>105</v>
      </c>
      <c r="G54" s="20">
        <v>32.480200000000004</v>
      </c>
      <c r="H54" s="21">
        <v>2.4017E-2</v>
      </c>
    </row>
    <row r="55" spans="1:8" x14ac:dyDescent="0.25">
      <c r="A55" s="3" t="s">
        <v>106</v>
      </c>
      <c r="B55" s="5">
        <v>565.67999999999995</v>
      </c>
      <c r="C55" s="5">
        <v>207.9</v>
      </c>
      <c r="D55" s="4">
        <v>65475</v>
      </c>
      <c r="F55" s="3" t="s">
        <v>106</v>
      </c>
      <c r="G55" s="20">
        <v>32.432200000000002</v>
      </c>
      <c r="H55" s="21">
        <v>2.3958E-2</v>
      </c>
    </row>
    <row r="56" spans="1:8" x14ac:dyDescent="0.25">
      <c r="A56" s="3" t="s">
        <v>107</v>
      </c>
      <c r="B56" s="5">
        <v>589.1</v>
      </c>
      <c r="C56" s="5">
        <v>213.53</v>
      </c>
      <c r="D56" s="4">
        <v>66353</v>
      </c>
      <c r="F56" s="3" t="s">
        <v>107</v>
      </c>
      <c r="G56" s="20">
        <v>32.3874</v>
      </c>
      <c r="H56" s="21">
        <v>2.3993E-2</v>
      </c>
    </row>
    <row r="57" spans="1:8" x14ac:dyDescent="0.25">
      <c r="A57" s="3" t="s">
        <v>108</v>
      </c>
      <c r="B57" s="5">
        <v>592.51</v>
      </c>
      <c r="C57" s="5">
        <v>223.02</v>
      </c>
      <c r="D57" s="4">
        <v>69110</v>
      </c>
      <c r="F57" s="3" t="s">
        <v>108</v>
      </c>
      <c r="G57" s="20">
        <v>32.448500000000003</v>
      </c>
      <c r="H57" s="21">
        <v>2.3925999999999999E-2</v>
      </c>
    </row>
    <row r="58" spans="1:8" x14ac:dyDescent="0.25">
      <c r="A58" s="3" t="s">
        <v>109</v>
      </c>
      <c r="B58" s="5">
        <v>604.36</v>
      </c>
      <c r="C58" s="5">
        <v>225.16</v>
      </c>
      <c r="D58" s="4">
        <v>70331</v>
      </c>
      <c r="F58" s="3" t="s">
        <v>109</v>
      </c>
      <c r="G58" s="20">
        <v>32.387099999999997</v>
      </c>
      <c r="H58" s="21">
        <v>2.4032000000000001E-2</v>
      </c>
    </row>
    <row r="59" spans="1:8" x14ac:dyDescent="0.25">
      <c r="A59" s="3" t="s">
        <v>110</v>
      </c>
      <c r="B59" s="5">
        <v>606.64</v>
      </c>
      <c r="C59" s="5">
        <v>219.66</v>
      </c>
      <c r="D59" s="4">
        <v>71354</v>
      </c>
      <c r="F59" s="3" t="s">
        <v>110</v>
      </c>
      <c r="G59" s="20">
        <v>32.522500000000001</v>
      </c>
      <c r="H59" s="21">
        <v>2.3931000000000001E-2</v>
      </c>
    </row>
    <row r="60" spans="1:8" x14ac:dyDescent="0.25">
      <c r="A60" s="3" t="s">
        <v>111</v>
      </c>
      <c r="B60" s="5">
        <v>612.17999999999995</v>
      </c>
      <c r="C60" s="5">
        <v>215.26</v>
      </c>
      <c r="D60" s="4">
        <v>70207</v>
      </c>
      <c r="F60" s="3" t="s">
        <v>111</v>
      </c>
      <c r="G60" s="20">
        <v>32.490699999999997</v>
      </c>
      <c r="H60" s="21">
        <v>2.4028999999999998E-2</v>
      </c>
    </row>
    <row r="61" spans="1:8" x14ac:dyDescent="0.25">
      <c r="A61" s="3" t="s">
        <v>112</v>
      </c>
      <c r="B61" s="5">
        <v>609.64</v>
      </c>
      <c r="C61" s="5">
        <v>216.33</v>
      </c>
      <c r="D61" s="4">
        <v>72885</v>
      </c>
      <c r="F61" s="3" t="s">
        <v>112</v>
      </c>
      <c r="G61" s="20">
        <v>32.696300000000001</v>
      </c>
      <c r="H61" s="21">
        <v>2.4052E-2</v>
      </c>
    </row>
    <row r="62" spans="1:8" x14ac:dyDescent="0.25">
      <c r="A62" s="3" t="s">
        <v>113</v>
      </c>
      <c r="B62" s="5">
        <v>610.35</v>
      </c>
      <c r="C62" s="5">
        <v>209.4</v>
      </c>
      <c r="D62" s="4">
        <v>73420</v>
      </c>
      <c r="F62" s="3" t="s">
        <v>113</v>
      </c>
      <c r="G62" s="20">
        <v>32.745199999999997</v>
      </c>
      <c r="H62" s="21">
        <v>2.3966999999999999E-2</v>
      </c>
    </row>
    <row r="63" spans="1:8" x14ac:dyDescent="0.25">
      <c r="A63" s="3" t="s">
        <v>114</v>
      </c>
      <c r="B63" s="5">
        <v>608.79</v>
      </c>
      <c r="C63" s="5">
        <v>203.19</v>
      </c>
      <c r="D63" s="4">
        <v>69489</v>
      </c>
      <c r="F63" s="3" t="s">
        <v>114</v>
      </c>
      <c r="G63" s="20">
        <v>32.847499999999997</v>
      </c>
      <c r="H63" s="21">
        <v>2.4015999999999999E-2</v>
      </c>
    </row>
    <row r="64" spans="1:8" x14ac:dyDescent="0.25">
      <c r="A64" s="3" t="s">
        <v>115</v>
      </c>
      <c r="B64" s="5">
        <v>596.44000000000005</v>
      </c>
      <c r="C64" s="5">
        <v>203.48</v>
      </c>
      <c r="D64" s="4">
        <v>68195</v>
      </c>
      <c r="F64" s="3" t="s">
        <v>115</v>
      </c>
      <c r="G64" s="20">
        <v>32.813099999999999</v>
      </c>
      <c r="H64" s="21">
        <v>2.4017E-2</v>
      </c>
    </row>
    <row r="65" spans="1:8" x14ac:dyDescent="0.25">
      <c r="A65" s="3" t="s">
        <v>116</v>
      </c>
      <c r="B65" s="5">
        <v>604.12</v>
      </c>
      <c r="C65" s="5">
        <v>203.3</v>
      </c>
      <c r="D65" s="4">
        <v>68612</v>
      </c>
      <c r="F65" s="3" t="s">
        <v>116</v>
      </c>
      <c r="G65" s="20">
        <v>33.035499999999999</v>
      </c>
      <c r="H65" s="21">
        <v>2.4166E-2</v>
      </c>
    </row>
    <row r="66" spans="1:8" x14ac:dyDescent="0.25">
      <c r="A66" s="3" t="s">
        <v>117</v>
      </c>
      <c r="B66" s="5">
        <v>613.16</v>
      </c>
      <c r="C66" s="5">
        <v>206.26</v>
      </c>
      <c r="D66" s="4">
        <v>67488</v>
      </c>
      <c r="F66" s="3" t="s">
        <v>117</v>
      </c>
      <c r="G66" s="20">
        <v>33.189500000000002</v>
      </c>
      <c r="H66" s="21">
        <v>2.4081000000000002E-2</v>
      </c>
    </row>
    <row r="67" spans="1:8" x14ac:dyDescent="0.25">
      <c r="A67" s="3" t="s">
        <v>118</v>
      </c>
      <c r="B67" s="5">
        <v>637.78</v>
      </c>
      <c r="C67" s="5">
        <v>201.6</v>
      </c>
      <c r="D67" s="4">
        <v>67339</v>
      </c>
      <c r="F67" s="3" t="s">
        <v>118</v>
      </c>
      <c r="G67" s="20">
        <v>33.069000000000003</v>
      </c>
      <c r="H67" s="21">
        <v>2.393E-2</v>
      </c>
    </row>
    <row r="68" spans="1:8" x14ac:dyDescent="0.25">
      <c r="A68" s="3" t="s">
        <v>119</v>
      </c>
      <c r="B68" s="5">
        <v>625.38</v>
      </c>
      <c r="C68" s="5">
        <v>204.77</v>
      </c>
      <c r="D68" s="4">
        <v>65524</v>
      </c>
      <c r="F68" s="3" t="s">
        <v>119</v>
      </c>
      <c r="G68" s="20">
        <v>33.134099999999997</v>
      </c>
      <c r="H68" s="21">
        <v>2.3819E-2</v>
      </c>
    </row>
    <row r="69" spans="1:8" x14ac:dyDescent="0.25">
      <c r="A69" s="3" t="s">
        <v>120</v>
      </c>
      <c r="B69" s="5">
        <v>613.07000000000005</v>
      </c>
      <c r="C69" s="5">
        <v>199.83</v>
      </c>
      <c r="D69" s="4">
        <v>63117</v>
      </c>
      <c r="F69" s="3" t="s">
        <v>120</v>
      </c>
      <c r="G69" s="20">
        <v>33.031199999999998</v>
      </c>
      <c r="H69" s="21">
        <v>2.3932999999999999E-2</v>
      </c>
    </row>
    <row r="70" spans="1:8" x14ac:dyDescent="0.25">
      <c r="A70" s="3" t="s">
        <v>121</v>
      </c>
      <c r="B70" s="5">
        <v>606.57000000000005</v>
      </c>
      <c r="C70" s="5">
        <v>199.97</v>
      </c>
      <c r="D70" s="4">
        <v>61753</v>
      </c>
      <c r="F70" s="3" t="s">
        <v>121</v>
      </c>
      <c r="G70" s="20">
        <v>32.849699999999999</v>
      </c>
      <c r="H70" s="21">
        <v>2.3984999999999999E-2</v>
      </c>
    </row>
    <row r="71" spans="1:8" x14ac:dyDescent="0.25">
      <c r="A71" s="3" t="s">
        <v>122</v>
      </c>
      <c r="B71" s="5">
        <v>586.83000000000004</v>
      </c>
      <c r="C71" s="5">
        <v>197.33</v>
      </c>
      <c r="D71" s="4">
        <v>61208</v>
      </c>
      <c r="F71" s="3" t="s">
        <v>122</v>
      </c>
      <c r="G71" s="20">
        <v>32.731200000000001</v>
      </c>
      <c r="H71" s="21">
        <v>2.3997999999999998E-2</v>
      </c>
    </row>
    <row r="72" spans="1:8" x14ac:dyDescent="0.25">
      <c r="A72" s="3" t="s">
        <v>123</v>
      </c>
      <c r="B72" s="5">
        <v>595.54</v>
      </c>
      <c r="C72" s="5">
        <v>195.43</v>
      </c>
      <c r="D72" s="4">
        <v>60983</v>
      </c>
      <c r="F72" s="3" t="s">
        <v>123</v>
      </c>
      <c r="G72" s="20">
        <v>32.966700000000003</v>
      </c>
      <c r="H72" s="21">
        <v>2.4032999999999999E-2</v>
      </c>
    </row>
    <row r="73" spans="1:8" x14ac:dyDescent="0.25">
      <c r="A73" s="3" t="s">
        <v>124</v>
      </c>
      <c r="B73" s="5">
        <v>606.75</v>
      </c>
      <c r="C73" s="5">
        <v>193.14</v>
      </c>
      <c r="D73" s="4">
        <v>60889</v>
      </c>
      <c r="F73" s="3" t="s">
        <v>124</v>
      </c>
      <c r="G73" s="20">
        <v>32.942700000000002</v>
      </c>
      <c r="H73" s="21">
        <v>2.4014000000000001E-2</v>
      </c>
    </row>
    <row r="74" spans="1:8" x14ac:dyDescent="0.25">
      <c r="A74" s="3" t="s">
        <v>125</v>
      </c>
      <c r="B74" s="5">
        <v>602.71</v>
      </c>
      <c r="C74" s="5">
        <v>188.12</v>
      </c>
      <c r="D74" s="4">
        <v>60333</v>
      </c>
      <c r="F74" s="3" t="s">
        <v>125</v>
      </c>
      <c r="G74" s="20">
        <v>32.9221</v>
      </c>
      <c r="H74" s="21">
        <v>2.3963999999999999E-2</v>
      </c>
    </row>
    <row r="75" spans="1:8" x14ac:dyDescent="0.25">
      <c r="A75" s="3" t="s">
        <v>126</v>
      </c>
      <c r="B75" s="5">
        <v>616.72</v>
      </c>
      <c r="C75" s="5">
        <v>196.78</v>
      </c>
      <c r="D75" s="4">
        <v>59302</v>
      </c>
      <c r="F75" s="3" t="s">
        <v>126</v>
      </c>
      <c r="G75" s="20">
        <v>32.758000000000003</v>
      </c>
      <c r="H75" s="21">
        <v>2.3882E-2</v>
      </c>
    </row>
    <row r="76" spans="1:8" x14ac:dyDescent="0.25">
      <c r="A76" s="3" t="s">
        <v>127</v>
      </c>
      <c r="B76" s="5">
        <v>628.66999999999996</v>
      </c>
      <c r="C76" s="5">
        <v>201.68</v>
      </c>
      <c r="D76" s="4">
        <v>61373</v>
      </c>
      <c r="F76" s="3" t="s">
        <v>127</v>
      </c>
      <c r="G76" s="20">
        <v>32.895099999999999</v>
      </c>
      <c r="H76" s="21">
        <v>2.4004000000000001E-2</v>
      </c>
    </row>
    <row r="77" spans="1:8" x14ac:dyDescent="0.25">
      <c r="A77" s="3" t="s">
        <v>128</v>
      </c>
      <c r="B77" s="5">
        <v>623.6</v>
      </c>
      <c r="C77" s="5">
        <v>202.4</v>
      </c>
      <c r="D77" s="4">
        <v>60557</v>
      </c>
      <c r="F77" s="3" t="s">
        <v>128</v>
      </c>
      <c r="G77" s="20">
        <v>32.959899999999998</v>
      </c>
      <c r="H77" s="21">
        <v>2.4001999999999999E-2</v>
      </c>
    </row>
    <row r="78" spans="1:8" x14ac:dyDescent="0.25">
      <c r="A78" s="3" t="s">
        <v>129</v>
      </c>
      <c r="B78" s="5">
        <v>631.03</v>
      </c>
      <c r="C78" s="5">
        <v>207.34</v>
      </c>
      <c r="D78" s="4">
        <v>60677</v>
      </c>
      <c r="F78" s="3" t="s">
        <v>129</v>
      </c>
      <c r="G78" s="20">
        <v>33.024700000000003</v>
      </c>
      <c r="H78" s="21">
        <v>2.4028999999999998E-2</v>
      </c>
    </row>
    <row r="79" spans="1:8" x14ac:dyDescent="0.25">
      <c r="A79" s="3" t="s">
        <v>130</v>
      </c>
      <c r="B79" s="5">
        <v>634.23</v>
      </c>
      <c r="C79" s="5">
        <v>210.78</v>
      </c>
      <c r="D79" s="4">
        <v>61887</v>
      </c>
      <c r="F79" s="3" t="s">
        <v>130</v>
      </c>
      <c r="G79" s="20">
        <v>33.087699999999998</v>
      </c>
      <c r="H79" s="21">
        <v>2.4181000000000001E-2</v>
      </c>
    </row>
    <row r="80" spans="1:8" x14ac:dyDescent="0.25">
      <c r="A80" s="3" t="s">
        <v>131</v>
      </c>
      <c r="B80" s="5">
        <v>626.29</v>
      </c>
      <c r="C80" s="5">
        <v>215.14</v>
      </c>
      <c r="D80" s="4">
        <v>62685</v>
      </c>
      <c r="F80" s="3" t="s">
        <v>131</v>
      </c>
      <c r="G80" s="20">
        <v>33.2151</v>
      </c>
      <c r="H80" s="21">
        <v>2.4150999999999999E-2</v>
      </c>
    </row>
    <row r="81" spans="1:8" x14ac:dyDescent="0.25">
      <c r="A81" s="3" t="s">
        <v>132</v>
      </c>
      <c r="B81" s="5">
        <v>628.63</v>
      </c>
      <c r="C81" s="5">
        <v>215.59</v>
      </c>
      <c r="D81" s="4">
        <v>63699</v>
      </c>
      <c r="F81" s="3" t="s">
        <v>132</v>
      </c>
      <c r="G81" s="20">
        <v>33.130899999999997</v>
      </c>
      <c r="H81" s="21">
        <v>2.3954E-2</v>
      </c>
    </row>
    <row r="82" spans="1:8" x14ac:dyDescent="0.25">
      <c r="A82" s="3" t="s">
        <v>133</v>
      </c>
      <c r="B82" s="5">
        <v>642.14</v>
      </c>
      <c r="C82" s="5">
        <v>212.24</v>
      </c>
      <c r="D82" s="4">
        <v>62553</v>
      </c>
      <c r="F82" s="3" t="s">
        <v>133</v>
      </c>
      <c r="G82" s="20">
        <v>33.060499999999998</v>
      </c>
      <c r="H82" s="21">
        <v>2.3948000000000001E-2</v>
      </c>
    </row>
    <row r="83" spans="1:8" x14ac:dyDescent="0.25">
      <c r="A83" s="3" t="s">
        <v>134</v>
      </c>
      <c r="B83" s="5">
        <v>620.79999999999995</v>
      </c>
      <c r="C83" s="5">
        <v>212.01</v>
      </c>
      <c r="D83" s="4">
        <v>62725</v>
      </c>
      <c r="F83" s="3" t="s">
        <v>134</v>
      </c>
      <c r="G83" s="20">
        <v>33.049999999999997</v>
      </c>
      <c r="H83" s="21">
        <v>2.3947E-2</v>
      </c>
    </row>
    <row r="84" spans="1:8" x14ac:dyDescent="0.25">
      <c r="A84" s="3" t="s">
        <v>135</v>
      </c>
      <c r="B84" s="5">
        <v>616.94000000000005</v>
      </c>
      <c r="C84" s="5">
        <v>207.8</v>
      </c>
      <c r="D84" s="4">
        <v>64169</v>
      </c>
      <c r="F84" s="3" t="s">
        <v>135</v>
      </c>
      <c r="G84" s="20">
        <v>33.0946</v>
      </c>
      <c r="H84" s="21">
        <v>2.4046999999999999E-2</v>
      </c>
    </row>
    <row r="85" spans="1:8" x14ac:dyDescent="0.25">
      <c r="A85" s="3" t="s">
        <v>136</v>
      </c>
      <c r="B85" s="5">
        <v>637.49</v>
      </c>
      <c r="C85" s="5">
        <v>215.5</v>
      </c>
      <c r="D85" s="4">
        <v>65106</v>
      </c>
      <c r="F85" s="3" t="s">
        <v>136</v>
      </c>
      <c r="G85" s="20">
        <v>32.946100000000001</v>
      </c>
      <c r="H85" s="21">
        <v>2.3955000000000001E-2</v>
      </c>
    </row>
    <row r="86" spans="1:8" x14ac:dyDescent="0.25">
      <c r="A86" s="3" t="s">
        <v>137</v>
      </c>
      <c r="B86" s="5">
        <v>639.79</v>
      </c>
      <c r="C86" s="5">
        <v>216.32</v>
      </c>
      <c r="D86" s="4">
        <v>65030</v>
      </c>
      <c r="F86" s="3" t="s">
        <v>137</v>
      </c>
      <c r="G86" s="20">
        <v>32.851900000000001</v>
      </c>
      <c r="H86" s="21">
        <v>2.4022999999999999E-2</v>
      </c>
    </row>
    <row r="87" spans="1:8" x14ac:dyDescent="0.25">
      <c r="A87" s="3" t="s">
        <v>138</v>
      </c>
      <c r="B87" s="5">
        <v>624.76</v>
      </c>
      <c r="C87" s="5">
        <v>212.82</v>
      </c>
      <c r="D87" s="4">
        <v>65701</v>
      </c>
      <c r="F87" s="3" t="s">
        <v>138</v>
      </c>
      <c r="G87" s="20">
        <v>33.034799999999997</v>
      </c>
      <c r="H87" s="21">
        <v>2.4046999999999999E-2</v>
      </c>
    </row>
    <row r="88" spans="1:8" x14ac:dyDescent="0.25">
      <c r="A88" s="3" t="s">
        <v>139</v>
      </c>
      <c r="B88" s="5">
        <v>625.22</v>
      </c>
      <c r="C88" s="5">
        <v>211.23</v>
      </c>
      <c r="D88" s="4">
        <v>65274</v>
      </c>
      <c r="F88" s="3" t="s">
        <v>139</v>
      </c>
      <c r="G88" s="20">
        <v>33.082599999999999</v>
      </c>
      <c r="H88" s="21">
        <v>2.4001999999999999E-2</v>
      </c>
    </row>
    <row r="89" spans="1:8" x14ac:dyDescent="0.25">
      <c r="A89" s="3" t="s">
        <v>140</v>
      </c>
      <c r="B89" s="5">
        <v>648</v>
      </c>
      <c r="C89" s="5">
        <v>218.9</v>
      </c>
      <c r="D89" s="4">
        <v>67747</v>
      </c>
      <c r="F89" s="3" t="s">
        <v>140</v>
      </c>
      <c r="G89" s="20">
        <v>32.989899999999999</v>
      </c>
      <c r="H89" s="21">
        <v>2.3941E-2</v>
      </c>
    </row>
    <row r="90" spans="1:8" x14ac:dyDescent="0.25">
      <c r="A90" s="3" t="s">
        <v>141</v>
      </c>
      <c r="B90" s="5">
        <v>650.80999999999995</v>
      </c>
      <c r="C90" s="5">
        <v>214.75</v>
      </c>
      <c r="D90" s="4">
        <v>67817</v>
      </c>
      <c r="F90" s="3" t="s">
        <v>141</v>
      </c>
      <c r="G90" s="20">
        <v>33.152000000000001</v>
      </c>
      <c r="H90" s="21">
        <v>2.3941E-2</v>
      </c>
    </row>
    <row r="91" spans="1:8" x14ac:dyDescent="0.25">
      <c r="A91" s="3" t="s">
        <v>142</v>
      </c>
      <c r="B91" s="5">
        <v>647.15</v>
      </c>
      <c r="C91" s="5">
        <v>216.82</v>
      </c>
      <c r="D91" s="4">
        <v>69409</v>
      </c>
      <c r="F91" s="3" t="s">
        <v>142</v>
      </c>
      <c r="G91" s="20">
        <v>33.135100000000001</v>
      </c>
      <c r="H91" s="21">
        <v>2.4004999999999999E-2</v>
      </c>
    </row>
    <row r="92" spans="1:8" x14ac:dyDescent="0.25">
      <c r="A92" s="3" t="s">
        <v>143</v>
      </c>
      <c r="B92" s="5">
        <v>638.88</v>
      </c>
      <c r="C92" s="5">
        <v>221.12</v>
      </c>
      <c r="D92" s="4">
        <v>69665</v>
      </c>
      <c r="F92" s="3" t="s">
        <v>143</v>
      </c>
      <c r="G92" s="20">
        <v>33.148600000000002</v>
      </c>
      <c r="H92" s="21">
        <v>2.4112999999999999E-2</v>
      </c>
    </row>
    <row r="93" spans="1:8" x14ac:dyDescent="0.25">
      <c r="A93" s="3" t="s">
        <v>144</v>
      </c>
      <c r="B93" s="5">
        <v>640.54999999999995</v>
      </c>
      <c r="C93" s="5">
        <v>219.27</v>
      </c>
      <c r="D93" s="4">
        <v>69317</v>
      </c>
      <c r="F93" s="3" t="s">
        <v>144</v>
      </c>
      <c r="G93" s="20">
        <v>33.152799999999999</v>
      </c>
      <c r="H93" s="21">
        <v>2.4145E-2</v>
      </c>
    </row>
    <row r="94" spans="1:8" x14ac:dyDescent="0.25">
      <c r="A94" s="3" t="s">
        <v>145</v>
      </c>
      <c r="B94" s="5">
        <v>642.26</v>
      </c>
      <c r="C94" s="5">
        <v>218.79</v>
      </c>
      <c r="D94" s="4">
        <v>68871</v>
      </c>
      <c r="F94" s="3" t="s">
        <v>145</v>
      </c>
      <c r="G94" s="20">
        <v>33.208100000000002</v>
      </c>
      <c r="H94" s="21">
        <v>2.4091999999999999E-2</v>
      </c>
    </row>
    <row r="95" spans="1:8" x14ac:dyDescent="0.25">
      <c r="A95" s="3" t="s">
        <v>146</v>
      </c>
      <c r="B95" s="5">
        <v>637.72</v>
      </c>
      <c r="C95" s="5">
        <v>226.25</v>
      </c>
      <c r="D95" s="4">
        <v>69010</v>
      </c>
      <c r="F95" s="3" t="s">
        <v>146</v>
      </c>
      <c r="G95" s="20">
        <v>33.172499999999999</v>
      </c>
      <c r="H95" s="21">
        <v>2.4157000000000001E-2</v>
      </c>
    </row>
    <row r="96" spans="1:8" x14ac:dyDescent="0.25">
      <c r="A96" s="3" t="s">
        <v>147</v>
      </c>
      <c r="B96" s="5">
        <v>647.96</v>
      </c>
      <c r="C96" s="5">
        <v>227.64</v>
      </c>
      <c r="D96" s="4">
        <v>65133</v>
      </c>
      <c r="F96" s="3" t="s">
        <v>147</v>
      </c>
      <c r="G96" s="20">
        <v>33.189900000000002</v>
      </c>
      <c r="H96" s="21">
        <v>2.4107E-2</v>
      </c>
    </row>
    <row r="97" spans="1:8" x14ac:dyDescent="0.25">
      <c r="A97" s="3" t="s">
        <v>148</v>
      </c>
      <c r="B97" s="5">
        <v>690.25</v>
      </c>
      <c r="C97" s="5">
        <v>231.68</v>
      </c>
      <c r="D97" s="4">
        <v>65304</v>
      </c>
      <c r="F97" s="3" t="s">
        <v>148</v>
      </c>
      <c r="G97" s="20">
        <v>33.193399999999997</v>
      </c>
      <c r="H97" s="21">
        <v>2.4355999999999999E-2</v>
      </c>
    </row>
    <row r="98" spans="1:8" x14ac:dyDescent="0.25">
      <c r="A98" s="3" t="s">
        <v>149</v>
      </c>
      <c r="B98" s="5">
        <v>709.21</v>
      </c>
      <c r="C98" s="5">
        <v>239.52</v>
      </c>
      <c r="D98" s="4">
        <v>65288</v>
      </c>
      <c r="F98" s="3" t="s">
        <v>149</v>
      </c>
      <c r="G98" s="20">
        <v>33.180199999999999</v>
      </c>
      <c r="H98" s="21">
        <v>2.4284E-2</v>
      </c>
    </row>
    <row r="99" spans="1:8" x14ac:dyDescent="0.25">
      <c r="A99" s="3" t="s">
        <v>150</v>
      </c>
      <c r="B99" s="5">
        <v>698.07</v>
      </c>
      <c r="C99" s="5">
        <v>235.01</v>
      </c>
      <c r="D99" s="4">
        <v>65360</v>
      </c>
      <c r="F99" s="3" t="s">
        <v>150</v>
      </c>
      <c r="G99" s="20">
        <v>33.2258</v>
      </c>
      <c r="H99" s="21">
        <v>2.445E-2</v>
      </c>
    </row>
    <row r="100" spans="1:8" x14ac:dyDescent="0.25">
      <c r="A100" s="3" t="s">
        <v>151</v>
      </c>
      <c r="B100" s="5">
        <v>700.91</v>
      </c>
      <c r="C100" s="5">
        <v>238.57</v>
      </c>
      <c r="D100" s="4">
        <v>65477</v>
      </c>
      <c r="F100" s="3" t="s">
        <v>151</v>
      </c>
      <c r="G100" s="20">
        <v>33.211199999999998</v>
      </c>
      <c r="H100" s="21">
        <v>2.4431000000000001E-2</v>
      </c>
    </row>
    <row r="101" spans="1:8" x14ac:dyDescent="0.25">
      <c r="A101" s="3" t="s">
        <v>152</v>
      </c>
      <c r="B101" s="5">
        <v>694.32</v>
      </c>
      <c r="C101" s="5">
        <v>238.57</v>
      </c>
      <c r="D101" s="4">
        <v>64609</v>
      </c>
      <c r="F101" s="3" t="s">
        <v>152</v>
      </c>
      <c r="G101" s="20">
        <v>33.1723</v>
      </c>
      <c r="H101" s="21">
        <v>2.4308E-2</v>
      </c>
    </row>
    <row r="102" spans="1:8" x14ac:dyDescent="0.25">
      <c r="A102" s="3" t="s">
        <v>153</v>
      </c>
      <c r="B102" s="5">
        <v>704.11</v>
      </c>
      <c r="C102" s="5">
        <v>241.31</v>
      </c>
      <c r="D102" s="4">
        <v>65707</v>
      </c>
      <c r="F102" s="3" t="s">
        <v>153</v>
      </c>
      <c r="G102" s="20">
        <v>33.165700000000001</v>
      </c>
      <c r="H102" s="21">
        <v>2.4417000000000001E-2</v>
      </c>
    </row>
    <row r="103" spans="1:8" x14ac:dyDescent="0.25">
      <c r="A103" s="3" t="s">
        <v>154</v>
      </c>
      <c r="B103" s="5">
        <v>711.08</v>
      </c>
      <c r="C103" s="5">
        <v>240.33</v>
      </c>
      <c r="D103" s="4">
        <v>63412</v>
      </c>
      <c r="F103" s="3" t="s">
        <v>154</v>
      </c>
      <c r="G103" s="20">
        <v>33.210599999999999</v>
      </c>
      <c r="H103" s="21">
        <v>2.443E-2</v>
      </c>
    </row>
    <row r="104" spans="1:8" x14ac:dyDescent="0.25">
      <c r="A104" s="3" t="s">
        <v>155</v>
      </c>
      <c r="B104" s="5">
        <v>729.91</v>
      </c>
      <c r="C104" s="5">
        <v>246.7</v>
      </c>
      <c r="D104" s="4">
        <v>63057</v>
      </c>
      <c r="F104" s="3" t="s">
        <v>155</v>
      </c>
      <c r="G104" s="20">
        <v>33.045200000000001</v>
      </c>
      <c r="H104" s="21">
        <v>2.4399000000000001E-2</v>
      </c>
    </row>
    <row r="105" spans="1:8" x14ac:dyDescent="0.25">
      <c r="A105" s="3" t="s">
        <v>156</v>
      </c>
      <c r="B105" s="5">
        <v>743.75</v>
      </c>
      <c r="C105" s="5">
        <v>248.74</v>
      </c>
      <c r="D105" s="4">
        <v>63283</v>
      </c>
      <c r="F105" s="3" t="s">
        <v>156</v>
      </c>
      <c r="G105" s="20">
        <v>32.937199999999997</v>
      </c>
      <c r="H105" s="21">
        <v>2.4140999999999999E-2</v>
      </c>
    </row>
    <row r="106" spans="1:8" x14ac:dyDescent="0.25">
      <c r="A106" s="3" t="s">
        <v>157</v>
      </c>
      <c r="B106" s="5">
        <v>744.25</v>
      </c>
      <c r="C106" s="5">
        <v>245.38</v>
      </c>
      <c r="D106" s="4">
        <v>62950</v>
      </c>
      <c r="F106" s="3" t="s">
        <v>157</v>
      </c>
      <c r="G106" s="20">
        <v>32.880400000000002</v>
      </c>
      <c r="H106" s="21">
        <v>2.4201E-2</v>
      </c>
    </row>
    <row r="107" spans="1:8" x14ac:dyDescent="0.25">
      <c r="A107" s="3" t="s">
        <v>158</v>
      </c>
      <c r="B107" s="5">
        <v>745.62</v>
      </c>
      <c r="C107" s="5">
        <v>246.48</v>
      </c>
      <c r="D107" s="4">
        <v>62216</v>
      </c>
      <c r="F107" s="3" t="s">
        <v>158</v>
      </c>
      <c r="G107" s="20">
        <v>32.787999999999997</v>
      </c>
      <c r="H107" s="21">
        <v>2.4119999999999999E-2</v>
      </c>
    </row>
    <row r="108" spans="1:8" x14ac:dyDescent="0.25">
      <c r="A108" s="3" t="s">
        <v>159</v>
      </c>
      <c r="B108" s="5">
        <v>751.95</v>
      </c>
      <c r="C108" s="5">
        <v>244.7</v>
      </c>
      <c r="D108" s="4">
        <v>61561</v>
      </c>
      <c r="F108" s="3" t="s">
        <v>159</v>
      </c>
      <c r="G108" s="20">
        <v>32.963000000000001</v>
      </c>
      <c r="H108" s="21">
        <v>2.4188000000000001E-2</v>
      </c>
    </row>
    <row r="109" spans="1:8" x14ac:dyDescent="0.25">
      <c r="A109" s="3" t="s">
        <v>160</v>
      </c>
      <c r="B109" s="5">
        <v>753.75</v>
      </c>
      <c r="C109" s="5">
        <v>243.04</v>
      </c>
      <c r="D109" s="4">
        <v>60178</v>
      </c>
      <c r="F109" s="3" t="s">
        <v>160</v>
      </c>
      <c r="G109" s="20">
        <v>33.090800000000002</v>
      </c>
      <c r="H109" s="21">
        <v>2.4317999999999999E-2</v>
      </c>
    </row>
    <row r="110" spans="1:8" x14ac:dyDescent="0.25">
      <c r="A110" s="3" t="s">
        <v>161</v>
      </c>
      <c r="B110" s="5">
        <v>746.4</v>
      </c>
      <c r="C110" s="5">
        <v>239.6</v>
      </c>
      <c r="D110" s="4">
        <v>60079</v>
      </c>
      <c r="F110" s="3" t="s">
        <v>161</v>
      </c>
      <c r="G110" s="20">
        <v>33.158299999999997</v>
      </c>
      <c r="H110" s="21">
        <v>2.4313999999999999E-2</v>
      </c>
    </row>
    <row r="111" spans="1:8" x14ac:dyDescent="0.25">
      <c r="A111" s="3" t="s">
        <v>162</v>
      </c>
      <c r="B111" s="5">
        <v>757.1</v>
      </c>
      <c r="C111" s="5">
        <v>243.05</v>
      </c>
      <c r="D111" s="4">
        <v>59561</v>
      </c>
      <c r="F111" s="3" t="s">
        <v>162</v>
      </c>
      <c r="G111" s="20">
        <v>33.206400000000002</v>
      </c>
      <c r="H111" s="21">
        <v>2.4458000000000001E-2</v>
      </c>
    </row>
    <row r="112" spans="1:8" x14ac:dyDescent="0.25">
      <c r="A112" s="3" t="s">
        <v>163</v>
      </c>
      <c r="B112" s="5">
        <v>752.21</v>
      </c>
      <c r="C112" s="5">
        <v>243.84</v>
      </c>
      <c r="D112" s="4">
        <v>57536</v>
      </c>
      <c r="F112" s="3" t="s">
        <v>163</v>
      </c>
      <c r="G112" s="20">
        <v>33.233800000000002</v>
      </c>
      <c r="H112" s="21">
        <v>2.4473999999999999E-2</v>
      </c>
    </row>
    <row r="113" spans="1:8" x14ac:dyDescent="0.25">
      <c r="A113" s="3" t="s">
        <v>164</v>
      </c>
      <c r="B113" s="5">
        <v>765.7</v>
      </c>
      <c r="C113" s="5">
        <v>250.28</v>
      </c>
      <c r="D113" s="4">
        <v>58892</v>
      </c>
      <c r="F113" s="3" t="s">
        <v>164</v>
      </c>
      <c r="G113" s="20">
        <v>33.255899999999997</v>
      </c>
      <c r="H113" s="21">
        <v>2.4566000000000001E-2</v>
      </c>
    </row>
    <row r="114" spans="1:8" x14ac:dyDescent="0.25">
      <c r="A114" s="3" t="s">
        <v>165</v>
      </c>
      <c r="B114" s="5">
        <v>733.45</v>
      </c>
      <c r="C114" s="5">
        <v>248.61</v>
      </c>
      <c r="D114" s="4">
        <v>56151</v>
      </c>
      <c r="F114" s="3" t="s">
        <v>165</v>
      </c>
      <c r="G114" s="20">
        <v>33.206499999999998</v>
      </c>
      <c r="H114" s="21">
        <v>2.4733000000000002E-2</v>
      </c>
    </row>
    <row r="115" spans="1:8" x14ac:dyDescent="0.25">
      <c r="A115" s="3" t="s">
        <v>166</v>
      </c>
      <c r="B115" s="5">
        <v>747.59</v>
      </c>
      <c r="C115" s="5">
        <v>240.8</v>
      </c>
      <c r="D115" s="4">
        <v>54283</v>
      </c>
      <c r="F115" s="3" t="s">
        <v>166</v>
      </c>
      <c r="G115" s="20">
        <v>33.303600000000003</v>
      </c>
      <c r="H115" s="21">
        <v>2.4670000000000001E-2</v>
      </c>
    </row>
    <row r="116" spans="1:8" x14ac:dyDescent="0.25">
      <c r="A116" s="3" t="s">
        <v>167</v>
      </c>
      <c r="B116" s="5">
        <v>753.38</v>
      </c>
      <c r="C116" s="5">
        <v>235.51</v>
      </c>
      <c r="D116" s="4">
        <v>51013</v>
      </c>
      <c r="F116" s="3" t="s">
        <v>167</v>
      </c>
      <c r="G116" s="20">
        <v>33.483400000000003</v>
      </c>
      <c r="H116" s="21">
        <v>2.4504000000000001E-2</v>
      </c>
    </row>
    <row r="117" spans="1:8" x14ac:dyDescent="0.25">
      <c r="A117" s="3" t="s">
        <v>168</v>
      </c>
      <c r="B117" s="5">
        <v>737.53</v>
      </c>
      <c r="C117" s="5">
        <v>235.99</v>
      </c>
      <c r="D117" s="4">
        <v>49595</v>
      </c>
      <c r="F117" s="3" t="s">
        <v>168</v>
      </c>
      <c r="G117" s="20">
        <v>33.2515</v>
      </c>
      <c r="H117" s="21">
        <v>2.4563999999999999E-2</v>
      </c>
    </row>
    <row r="118" spans="1:8" x14ac:dyDescent="0.25">
      <c r="A118" s="3" t="s">
        <v>169</v>
      </c>
      <c r="B118" s="5">
        <v>721.83</v>
      </c>
      <c r="C118" s="5">
        <v>235.37</v>
      </c>
      <c r="D118" s="4">
        <v>49389</v>
      </c>
      <c r="F118" s="3" t="s">
        <v>169</v>
      </c>
      <c r="G118" s="20">
        <v>33.175600000000003</v>
      </c>
      <c r="H118" s="21">
        <v>2.4503E-2</v>
      </c>
    </row>
    <row r="119" spans="1:8" x14ac:dyDescent="0.25">
      <c r="A119" s="3" t="s">
        <v>170</v>
      </c>
      <c r="B119" s="5">
        <v>740.35</v>
      </c>
      <c r="C119" s="5">
        <v>240.54</v>
      </c>
      <c r="D119" s="4">
        <v>49465</v>
      </c>
      <c r="F119" s="3" t="s">
        <v>170</v>
      </c>
      <c r="G119" s="20">
        <v>33.228700000000003</v>
      </c>
      <c r="H119" s="21">
        <v>2.4611000000000001E-2</v>
      </c>
    </row>
    <row r="120" spans="1:8" x14ac:dyDescent="0.25">
      <c r="A120" s="3" t="s">
        <v>171</v>
      </c>
      <c r="B120" s="5">
        <v>730.2</v>
      </c>
      <c r="C120" s="5">
        <v>244.17</v>
      </c>
      <c r="D120" s="4">
        <v>48799</v>
      </c>
      <c r="F120" s="3" t="s">
        <v>171</v>
      </c>
      <c r="G120" s="20">
        <v>33.4544</v>
      </c>
      <c r="H120" s="21">
        <v>2.4660000000000001E-2</v>
      </c>
    </row>
    <row r="121" spans="1:8" x14ac:dyDescent="0.25">
      <c r="A121" s="3" t="s">
        <v>172</v>
      </c>
      <c r="B121" s="5">
        <v>714.64</v>
      </c>
      <c r="C121" s="5">
        <v>244.75</v>
      </c>
      <c r="D121" s="4">
        <v>48028</v>
      </c>
      <c r="F121" s="3" t="s">
        <v>172</v>
      </c>
      <c r="G121" s="20">
        <v>33.383099999999999</v>
      </c>
      <c r="H121" s="21">
        <v>2.4718E-2</v>
      </c>
    </row>
    <row r="122" spans="1:8" x14ac:dyDescent="0.25">
      <c r="A122" s="3" t="s">
        <v>173</v>
      </c>
      <c r="B122" s="5">
        <v>693.06</v>
      </c>
      <c r="C122" s="5">
        <v>245.36</v>
      </c>
      <c r="D122" s="4">
        <v>48742</v>
      </c>
      <c r="F122" s="3" t="s">
        <v>173</v>
      </c>
      <c r="G122" s="20">
        <v>33.350900000000003</v>
      </c>
      <c r="H122" s="21">
        <v>2.4663999999999998E-2</v>
      </c>
    </row>
    <row r="123" spans="1:8" x14ac:dyDescent="0.25">
      <c r="A123" s="3" t="s">
        <v>174</v>
      </c>
      <c r="B123" s="5">
        <v>676.89</v>
      </c>
      <c r="C123" s="5">
        <v>242.32</v>
      </c>
      <c r="D123" s="4">
        <v>47938</v>
      </c>
      <c r="F123" s="3" t="s">
        <v>174</v>
      </c>
      <c r="G123" s="20">
        <v>33.460599999999999</v>
      </c>
      <c r="H123" s="21">
        <v>2.4792000000000002E-2</v>
      </c>
    </row>
    <row r="124" spans="1:8" x14ac:dyDescent="0.25">
      <c r="A124" s="3" t="s">
        <v>175</v>
      </c>
      <c r="B124" s="5">
        <v>675.03</v>
      </c>
      <c r="C124" s="5">
        <v>240.35</v>
      </c>
      <c r="D124" s="4">
        <v>46326</v>
      </c>
      <c r="F124" s="3" t="s">
        <v>175</v>
      </c>
      <c r="G124" s="20">
        <v>33.272300000000001</v>
      </c>
      <c r="H124" s="21">
        <v>2.4895E-2</v>
      </c>
    </row>
    <row r="125" spans="1:8" x14ac:dyDescent="0.25">
      <c r="A125" s="3" t="s">
        <v>176</v>
      </c>
      <c r="B125" s="5">
        <v>675.9</v>
      </c>
      <c r="C125" s="5">
        <v>239.14</v>
      </c>
      <c r="D125" s="4">
        <v>46424</v>
      </c>
      <c r="F125" s="3" t="s">
        <v>176</v>
      </c>
      <c r="G125" s="20">
        <v>33.287300000000002</v>
      </c>
      <c r="H125" s="21">
        <v>2.4945999999999999E-2</v>
      </c>
    </row>
    <row r="126" spans="1:8" x14ac:dyDescent="0.25">
      <c r="A126" s="3" t="s">
        <v>177</v>
      </c>
      <c r="B126" s="5">
        <v>685.39</v>
      </c>
      <c r="C126" s="5">
        <v>243.52</v>
      </c>
      <c r="D126" s="4">
        <v>47146</v>
      </c>
      <c r="F126" s="3" t="s">
        <v>177</v>
      </c>
      <c r="G126" s="20">
        <v>33.186900000000001</v>
      </c>
      <c r="H126" s="21">
        <v>2.4837999999999999E-2</v>
      </c>
    </row>
    <row r="127" spans="1:8" x14ac:dyDescent="0.25">
      <c r="A127" s="3" t="s">
        <v>178</v>
      </c>
      <c r="B127" s="5">
        <v>650.63</v>
      </c>
      <c r="C127" s="5">
        <v>235.97</v>
      </c>
      <c r="D127" s="4">
        <v>46533</v>
      </c>
      <c r="F127" s="3" t="s">
        <v>178</v>
      </c>
      <c r="G127" s="20">
        <v>33.136400000000002</v>
      </c>
      <c r="H127" s="21">
        <v>2.4889000000000001E-2</v>
      </c>
    </row>
    <row r="128" spans="1:8" x14ac:dyDescent="0.25">
      <c r="A128" s="3" t="s">
        <v>179</v>
      </c>
      <c r="B128" s="5">
        <v>661.92</v>
      </c>
      <c r="C128" s="5">
        <v>233</v>
      </c>
      <c r="D128" s="4">
        <v>45776</v>
      </c>
      <c r="F128" s="3" t="s">
        <v>179</v>
      </c>
      <c r="G128" s="20">
        <v>33.116100000000003</v>
      </c>
      <c r="H128" s="21">
        <v>2.4849E-2</v>
      </c>
    </row>
    <row r="129" spans="1:8" x14ac:dyDescent="0.25">
      <c r="A129" s="3" t="s">
        <v>180</v>
      </c>
      <c r="B129" s="5">
        <v>685.76</v>
      </c>
      <c r="C129" s="5">
        <v>225.21</v>
      </c>
      <c r="D129" s="4">
        <v>45389</v>
      </c>
      <c r="F129" s="3" t="s">
        <v>180</v>
      </c>
      <c r="G129" s="20">
        <v>33.203800000000001</v>
      </c>
      <c r="H129" s="21">
        <v>2.4764999999999999E-2</v>
      </c>
    </row>
    <row r="130" spans="1:8" x14ac:dyDescent="0.25">
      <c r="A130" s="3" t="s">
        <v>181</v>
      </c>
      <c r="B130" s="5">
        <v>676.98</v>
      </c>
      <c r="C130" s="5">
        <v>222.93</v>
      </c>
      <c r="D130" s="4">
        <v>44859</v>
      </c>
      <c r="F130" s="3" t="s">
        <v>181</v>
      </c>
      <c r="G130" s="20">
        <v>33.008000000000003</v>
      </c>
      <c r="H130" s="21">
        <v>2.4806000000000002E-2</v>
      </c>
    </row>
    <row r="131" spans="1:8" x14ac:dyDescent="0.25">
      <c r="A131" s="3" t="s">
        <v>182</v>
      </c>
      <c r="B131" s="5">
        <v>686.25</v>
      </c>
      <c r="C131" s="5">
        <v>227.56</v>
      </c>
      <c r="D131" s="4">
        <v>48234</v>
      </c>
      <c r="F131" s="3" t="s">
        <v>182</v>
      </c>
      <c r="G131" s="20">
        <v>32.885399999999997</v>
      </c>
      <c r="H131" s="21">
        <v>2.4819000000000001E-2</v>
      </c>
    </row>
    <row r="132" spans="1:8" x14ac:dyDescent="0.25">
      <c r="A132" s="3" t="s">
        <v>183</v>
      </c>
      <c r="B132" s="5">
        <v>711.95</v>
      </c>
      <c r="C132" s="5">
        <v>229.71</v>
      </c>
      <c r="D132" s="4">
        <v>48903</v>
      </c>
      <c r="F132" s="3" t="s">
        <v>183</v>
      </c>
      <c r="G132" s="20">
        <v>32.988500000000002</v>
      </c>
      <c r="H132" s="21">
        <v>2.4728E-2</v>
      </c>
    </row>
    <row r="133" spans="1:8" x14ac:dyDescent="0.25">
      <c r="A133" s="3" t="s">
        <v>184</v>
      </c>
      <c r="B133" s="5">
        <v>727.81</v>
      </c>
      <c r="C133" s="5">
        <v>242.11</v>
      </c>
      <c r="D133" s="4">
        <v>49465</v>
      </c>
      <c r="F133" s="3" t="s">
        <v>184</v>
      </c>
      <c r="G133" s="20">
        <v>32.925400000000003</v>
      </c>
      <c r="H133" s="21">
        <v>2.4584999999999999E-2</v>
      </c>
    </row>
    <row r="134" spans="1:8" x14ac:dyDescent="0.25">
      <c r="A134" s="3" t="s">
        <v>185</v>
      </c>
      <c r="B134" s="5">
        <v>734.43</v>
      </c>
      <c r="C134" s="5">
        <v>242.11</v>
      </c>
      <c r="D134" s="4">
        <v>50839</v>
      </c>
      <c r="F134" s="3" t="s">
        <v>185</v>
      </c>
      <c r="G134" s="20">
        <v>32.911200000000001</v>
      </c>
      <c r="H134" s="21">
        <v>2.4501999999999999E-2</v>
      </c>
    </row>
    <row r="135" spans="1:8" x14ac:dyDescent="0.25">
      <c r="A135" s="3" t="s">
        <v>186</v>
      </c>
      <c r="B135" s="5">
        <v>715.36</v>
      </c>
      <c r="C135" s="5">
        <v>241.16</v>
      </c>
      <c r="D135" s="4">
        <v>49197</v>
      </c>
      <c r="F135" s="3" t="s">
        <v>186</v>
      </c>
      <c r="G135" s="20">
        <v>32.722099999999998</v>
      </c>
      <c r="H135" s="21">
        <v>2.4468E-2</v>
      </c>
    </row>
    <row r="136" spans="1:8" x14ac:dyDescent="0.25">
      <c r="A136" s="3" t="s">
        <v>187</v>
      </c>
      <c r="B136" s="5">
        <v>720.06</v>
      </c>
      <c r="C136" s="5">
        <v>245.12</v>
      </c>
      <c r="D136" s="4">
        <v>49030</v>
      </c>
      <c r="F136" s="3" t="s">
        <v>187</v>
      </c>
      <c r="G136" s="20">
        <v>32.810299999999998</v>
      </c>
      <c r="H136" s="21">
        <v>2.4334999999999999E-2</v>
      </c>
    </row>
    <row r="137" spans="1:8" x14ac:dyDescent="0.25">
      <c r="A137" s="3" t="s">
        <v>188</v>
      </c>
      <c r="B137" s="5">
        <v>717.46</v>
      </c>
      <c r="C137" s="5">
        <v>249.9</v>
      </c>
      <c r="D137" s="4">
        <v>49122</v>
      </c>
      <c r="F137" s="3" t="s">
        <v>188</v>
      </c>
      <c r="G137" s="20">
        <v>32.823500000000003</v>
      </c>
      <c r="H137" s="21">
        <v>2.4257999999999998E-2</v>
      </c>
    </row>
    <row r="138" spans="1:8" x14ac:dyDescent="0.25">
      <c r="A138" s="3" t="s">
        <v>189</v>
      </c>
      <c r="B138" s="5">
        <v>726.4</v>
      </c>
      <c r="C138" s="5">
        <v>249.88</v>
      </c>
      <c r="D138" s="4">
        <v>48280</v>
      </c>
      <c r="F138" s="3" t="s">
        <v>189</v>
      </c>
      <c r="G138" s="20">
        <v>32.631399999999999</v>
      </c>
      <c r="H138" s="21">
        <v>2.4383999999999999E-2</v>
      </c>
    </row>
    <row r="139" spans="1:8" x14ac:dyDescent="0.25">
      <c r="A139" s="3" t="s">
        <v>190</v>
      </c>
      <c r="B139" s="5">
        <v>721.11</v>
      </c>
      <c r="C139" s="5">
        <v>258.76</v>
      </c>
      <c r="D139" s="4">
        <v>48324</v>
      </c>
      <c r="F139" s="3" t="s">
        <v>190</v>
      </c>
      <c r="G139" s="20">
        <v>32.666600000000003</v>
      </c>
      <c r="H139" s="21">
        <v>2.4386999999999999E-2</v>
      </c>
    </row>
    <row r="140" spans="1:8" x14ac:dyDescent="0.25">
      <c r="A140" s="3" t="s">
        <v>191</v>
      </c>
      <c r="B140" s="5">
        <v>722.73</v>
      </c>
      <c r="C140" s="5">
        <v>264.52999999999997</v>
      </c>
      <c r="D140" s="4">
        <v>48992</v>
      </c>
      <c r="F140" s="3" t="s">
        <v>191</v>
      </c>
      <c r="G140" s="20">
        <v>32.581800000000001</v>
      </c>
      <c r="H140" s="21">
        <v>2.4197E-2</v>
      </c>
    </row>
    <row r="141" spans="1:8" x14ac:dyDescent="0.25">
      <c r="A141" s="3" t="s">
        <v>192</v>
      </c>
      <c r="B141" s="5">
        <v>731.45</v>
      </c>
      <c r="C141" s="5">
        <v>276.33</v>
      </c>
      <c r="D141" s="4">
        <v>50572</v>
      </c>
      <c r="F141" s="3" t="s">
        <v>192</v>
      </c>
      <c r="G141" s="20">
        <v>32.659700000000001</v>
      </c>
      <c r="H141" s="21">
        <v>2.4118000000000001E-2</v>
      </c>
    </row>
    <row r="142" spans="1:8" x14ac:dyDescent="0.25">
      <c r="A142" s="3" t="s">
        <v>193</v>
      </c>
      <c r="B142" s="5">
        <v>720.58</v>
      </c>
      <c r="C142" s="5">
        <v>278.70999999999998</v>
      </c>
      <c r="D142" s="4">
        <v>49945</v>
      </c>
      <c r="F142" s="3" t="s">
        <v>193</v>
      </c>
      <c r="G142" s="20">
        <v>32.8292</v>
      </c>
      <c r="H142" s="21">
        <v>2.4038E-2</v>
      </c>
    </row>
    <row r="143" spans="1:8" x14ac:dyDescent="0.25">
      <c r="A143" s="3" t="s">
        <v>194</v>
      </c>
      <c r="B143" s="5">
        <v>716.44</v>
      </c>
      <c r="C143" s="5">
        <v>283.7</v>
      </c>
      <c r="D143" s="4">
        <v>50199</v>
      </c>
      <c r="F143" s="3" t="s">
        <v>194</v>
      </c>
      <c r="G143" s="20">
        <v>32.783999999999999</v>
      </c>
      <c r="H143" s="21">
        <v>2.4014000000000001E-2</v>
      </c>
    </row>
    <row r="144" spans="1:8" x14ac:dyDescent="0.25">
      <c r="A144" s="3" t="s">
        <v>195</v>
      </c>
      <c r="B144" s="5">
        <v>713.09</v>
      </c>
      <c r="C144" s="5">
        <v>280.82</v>
      </c>
      <c r="D144" s="4">
        <v>50241</v>
      </c>
      <c r="F144" s="3" t="s">
        <v>195</v>
      </c>
      <c r="G144" s="20">
        <v>32.749000000000002</v>
      </c>
      <c r="H144" s="21">
        <v>2.4045E-2</v>
      </c>
    </row>
    <row r="145" spans="1:8" x14ac:dyDescent="0.25">
      <c r="A145" s="3" t="s">
        <v>196</v>
      </c>
      <c r="B145" s="5">
        <v>710.04</v>
      </c>
      <c r="C145" s="5">
        <v>285.45</v>
      </c>
      <c r="D145" s="4">
        <v>50636</v>
      </c>
      <c r="F145" s="3" t="s">
        <v>196</v>
      </c>
      <c r="G145" s="20">
        <v>32.7318</v>
      </c>
      <c r="H145" s="21">
        <v>2.4049000000000001E-2</v>
      </c>
    </row>
    <row r="146" spans="1:8" x14ac:dyDescent="0.25">
      <c r="A146" s="3" t="s">
        <v>197</v>
      </c>
      <c r="B146" s="5">
        <v>708.64</v>
      </c>
      <c r="C146" s="5">
        <v>301.08</v>
      </c>
      <c r="D146" s="4">
        <v>51588</v>
      </c>
      <c r="F146" s="3" t="s">
        <v>197</v>
      </c>
      <c r="G146" s="20">
        <v>32.6648</v>
      </c>
      <c r="H146" s="21">
        <v>2.4185999999999999E-2</v>
      </c>
    </row>
    <row r="147" spans="1:8" x14ac:dyDescent="0.25">
      <c r="A147" s="3" t="s">
        <v>198</v>
      </c>
      <c r="B147" s="5">
        <v>699.23</v>
      </c>
      <c r="C147" s="5">
        <v>293.88</v>
      </c>
      <c r="D147" s="4">
        <v>50023</v>
      </c>
      <c r="F147" s="3" t="s">
        <v>198</v>
      </c>
      <c r="G147" s="20">
        <v>32.663899999999998</v>
      </c>
      <c r="H147" s="21">
        <v>2.4145E-2</v>
      </c>
    </row>
    <row r="148" spans="1:8" x14ac:dyDescent="0.25">
      <c r="A148" s="3" t="s">
        <v>199</v>
      </c>
      <c r="B148" s="5">
        <v>681.01</v>
      </c>
      <c r="C148" s="5">
        <v>291.52999999999997</v>
      </c>
      <c r="D148" s="4">
        <v>49720</v>
      </c>
      <c r="F148" s="3" t="s">
        <v>199</v>
      </c>
      <c r="G148" s="20">
        <v>32.664499999999997</v>
      </c>
      <c r="H148" s="21">
        <v>2.4043999999999999E-2</v>
      </c>
    </row>
    <row r="149" spans="1:8" x14ac:dyDescent="0.25">
      <c r="A149" s="3" t="s">
        <v>200</v>
      </c>
      <c r="B149" s="5">
        <v>689.87</v>
      </c>
      <c r="C149" s="5">
        <v>287.68</v>
      </c>
      <c r="D149" s="4">
        <v>49209</v>
      </c>
      <c r="F149" s="3" t="s">
        <v>200</v>
      </c>
      <c r="G149" s="20">
        <v>32.615000000000002</v>
      </c>
      <c r="H149" s="21">
        <v>2.4059000000000001E-2</v>
      </c>
    </row>
    <row r="150" spans="1:8" x14ac:dyDescent="0.25">
      <c r="A150" s="3" t="s">
        <v>201</v>
      </c>
      <c r="B150" s="5">
        <v>682.53</v>
      </c>
      <c r="C150" s="5">
        <v>295.26</v>
      </c>
      <c r="D150" s="4">
        <v>49568</v>
      </c>
      <c r="F150" s="3" t="s">
        <v>201</v>
      </c>
      <c r="G150" s="20">
        <v>32.633099999999999</v>
      </c>
      <c r="H150" s="21">
        <v>2.4223000000000001E-2</v>
      </c>
    </row>
    <row r="151" spans="1:8" x14ac:dyDescent="0.25">
      <c r="A151" s="3" t="s">
        <v>202</v>
      </c>
      <c r="B151" s="5">
        <v>689.18</v>
      </c>
      <c r="C151" s="5">
        <v>301.93</v>
      </c>
      <c r="D151" s="4">
        <v>50149</v>
      </c>
      <c r="F151" s="3" t="s">
        <v>202</v>
      </c>
      <c r="G151" s="20">
        <v>32.620800000000003</v>
      </c>
      <c r="H151" s="21">
        <v>2.4250000000000001E-2</v>
      </c>
    </row>
    <row r="152" spans="1:8" x14ac:dyDescent="0.25">
      <c r="A152" s="3" t="s">
        <v>203</v>
      </c>
      <c r="B152" s="5">
        <v>688.97</v>
      </c>
      <c r="C152" s="5">
        <v>299.83999999999997</v>
      </c>
      <c r="D152" s="4">
        <v>49781</v>
      </c>
      <c r="F152" s="3" t="s">
        <v>203</v>
      </c>
      <c r="G152" s="20">
        <v>32.519100000000002</v>
      </c>
      <c r="H152" s="21">
        <v>2.4364E-2</v>
      </c>
    </row>
    <row r="153" spans="1:8" x14ac:dyDescent="0.25">
      <c r="A153" s="3" t="s">
        <v>204</v>
      </c>
      <c r="B153" s="5">
        <v>689.05</v>
      </c>
      <c r="C153" s="5">
        <v>298.79000000000002</v>
      </c>
      <c r="D153" s="4">
        <v>49520</v>
      </c>
      <c r="F153" s="3" t="s">
        <v>204</v>
      </c>
      <c r="G153" s="20">
        <v>32.487499999999997</v>
      </c>
      <c r="H153" s="21">
        <v>2.4552000000000001E-2</v>
      </c>
    </row>
    <row r="154" spans="1:8" x14ac:dyDescent="0.25">
      <c r="A154" s="3" t="s">
        <v>205</v>
      </c>
      <c r="B154" s="5">
        <v>716.48</v>
      </c>
      <c r="C154" s="5">
        <v>295.29000000000002</v>
      </c>
      <c r="D154" s="4">
        <v>47598</v>
      </c>
      <c r="F154" s="3" t="s">
        <v>205</v>
      </c>
      <c r="G154" s="20">
        <v>32.310499999999998</v>
      </c>
      <c r="H154" s="21">
        <v>2.4684999999999999E-2</v>
      </c>
    </row>
    <row r="155" spans="1:8" x14ac:dyDescent="0.25">
      <c r="A155" s="3" t="s">
        <v>206</v>
      </c>
      <c r="B155" s="5">
        <v>722.57</v>
      </c>
      <c r="C155" s="5">
        <v>303.22000000000003</v>
      </c>
      <c r="D155" s="4">
        <v>47683</v>
      </c>
      <c r="F155" s="3" t="s">
        <v>206</v>
      </c>
      <c r="G155" s="20">
        <v>32.283900000000003</v>
      </c>
      <c r="H155" s="21">
        <v>2.4656999999999998E-2</v>
      </c>
    </row>
    <row r="156" spans="1:8" x14ac:dyDescent="0.25">
      <c r="A156" s="3" t="s">
        <v>207</v>
      </c>
      <c r="B156" s="5">
        <v>735.42</v>
      </c>
      <c r="C156" s="5">
        <v>313.64</v>
      </c>
      <c r="D156" s="4">
        <v>47955</v>
      </c>
      <c r="F156" s="3" t="s">
        <v>207</v>
      </c>
      <c r="G156" s="20">
        <v>32.168300000000002</v>
      </c>
      <c r="H156" s="21">
        <v>2.4712000000000001E-2</v>
      </c>
    </row>
    <row r="157" spans="1:8" x14ac:dyDescent="0.25">
      <c r="A157" s="3" t="s">
        <v>208</v>
      </c>
      <c r="B157" s="5">
        <v>739.26</v>
      </c>
      <c r="C157" s="5">
        <v>309.88</v>
      </c>
      <c r="D157" s="4">
        <v>47251</v>
      </c>
      <c r="F157" s="3" t="s">
        <v>208</v>
      </c>
      <c r="G157" s="20">
        <v>32.278799999999997</v>
      </c>
      <c r="H157" s="21">
        <v>2.4577000000000002E-2</v>
      </c>
    </row>
    <row r="158" spans="1:8" x14ac:dyDescent="0.25">
      <c r="A158" s="3" t="s">
        <v>209</v>
      </c>
      <c r="B158" s="5">
        <v>734.05</v>
      </c>
      <c r="C158" s="5">
        <v>313.41000000000003</v>
      </c>
      <c r="D158" s="4">
        <v>48858</v>
      </c>
      <c r="F158" s="3" t="s">
        <v>209</v>
      </c>
      <c r="G158" s="20">
        <v>32.2958</v>
      </c>
      <c r="H158" s="21">
        <v>2.4500999999999998E-2</v>
      </c>
    </row>
    <row r="159" spans="1:8" x14ac:dyDescent="0.25">
      <c r="A159" s="3" t="s">
        <v>210</v>
      </c>
      <c r="B159" s="5">
        <v>744.99</v>
      </c>
      <c r="C159" s="5">
        <v>310.24</v>
      </c>
      <c r="D159" s="4">
        <v>48092</v>
      </c>
      <c r="F159" s="3" t="s">
        <v>210</v>
      </c>
      <c r="G159" s="20">
        <v>32.318199999999997</v>
      </c>
      <c r="H159" s="21">
        <v>2.4523E-2</v>
      </c>
    </row>
    <row r="160" spans="1:8" x14ac:dyDescent="0.25">
      <c r="A160" s="3" t="s">
        <v>211</v>
      </c>
      <c r="B160" s="5">
        <v>740.33</v>
      </c>
      <c r="C160" s="5">
        <v>310</v>
      </c>
      <c r="D160" s="4">
        <v>48670</v>
      </c>
      <c r="F160" s="3" t="s">
        <v>211</v>
      </c>
      <c r="G160" s="20">
        <v>32.192300000000003</v>
      </c>
      <c r="H160" s="21">
        <v>2.4336E-2</v>
      </c>
    </row>
    <row r="161" spans="1:8" x14ac:dyDescent="0.25">
      <c r="A161" s="3" t="s">
        <v>212</v>
      </c>
      <c r="B161" s="5">
        <v>719.34</v>
      </c>
      <c r="C161" s="5">
        <v>302.35000000000002</v>
      </c>
      <c r="D161" s="4">
        <v>50088</v>
      </c>
      <c r="F161" s="3" t="s">
        <v>212</v>
      </c>
      <c r="G161" s="20">
        <v>32.168399999999998</v>
      </c>
      <c r="H161" s="21">
        <v>2.4406000000000001E-2</v>
      </c>
    </row>
    <row r="162" spans="1:8" x14ac:dyDescent="0.25">
      <c r="A162" s="3" t="s">
        <v>213</v>
      </c>
      <c r="B162" s="5">
        <v>727.05</v>
      </c>
      <c r="C162" s="5">
        <v>305.7</v>
      </c>
      <c r="D162" s="4">
        <v>48868</v>
      </c>
      <c r="F162" s="3" t="s">
        <v>213</v>
      </c>
      <c r="G162" s="20">
        <v>32.046599999999998</v>
      </c>
      <c r="H162" s="21">
        <v>2.4395E-2</v>
      </c>
    </row>
    <row r="163" spans="1:8" x14ac:dyDescent="0.25">
      <c r="A163" s="3" t="s">
        <v>214</v>
      </c>
      <c r="B163" s="5">
        <v>743.2</v>
      </c>
      <c r="C163" s="5">
        <v>310.73</v>
      </c>
      <c r="D163" s="4">
        <v>47760</v>
      </c>
      <c r="F163" s="3" t="s">
        <v>214</v>
      </c>
      <c r="G163" s="20">
        <v>32.099600000000002</v>
      </c>
      <c r="H163" s="21">
        <v>2.4324999999999999E-2</v>
      </c>
    </row>
    <row r="164" spans="1:8" x14ac:dyDescent="0.25">
      <c r="A164" s="3" t="s">
        <v>215</v>
      </c>
      <c r="B164" s="5">
        <v>726.19</v>
      </c>
      <c r="C164" s="5">
        <v>312.52</v>
      </c>
      <c r="D164" s="4">
        <v>46379</v>
      </c>
      <c r="F164" s="3" t="s">
        <v>215</v>
      </c>
      <c r="G164" s="20">
        <v>31.977900000000002</v>
      </c>
      <c r="H164" s="21">
        <v>2.4281E-2</v>
      </c>
    </row>
    <row r="165" spans="1:8" x14ac:dyDescent="0.25">
      <c r="A165" s="3" t="s">
        <v>216</v>
      </c>
      <c r="B165" s="5">
        <v>736.14</v>
      </c>
      <c r="C165" s="5">
        <v>311.14999999999998</v>
      </c>
      <c r="D165" s="4">
        <v>47154</v>
      </c>
      <c r="F165" s="3" t="s">
        <v>216</v>
      </c>
      <c r="G165" s="20">
        <v>32.046100000000003</v>
      </c>
      <c r="H165" s="21">
        <v>2.4271999999999998E-2</v>
      </c>
    </row>
    <row r="166" spans="1:8" x14ac:dyDescent="0.25">
      <c r="A166" s="3" t="s">
        <v>217</v>
      </c>
      <c r="B166" s="5">
        <v>750.94</v>
      </c>
      <c r="C166" s="5">
        <v>323.35000000000002</v>
      </c>
      <c r="D166" s="4">
        <v>45997</v>
      </c>
      <c r="F166" s="3" t="s">
        <v>217</v>
      </c>
      <c r="G166" s="20">
        <v>32.162999999999997</v>
      </c>
      <c r="H166" s="21">
        <v>2.4143999999999999E-2</v>
      </c>
    </row>
    <row r="167" spans="1:8" x14ac:dyDescent="0.25">
      <c r="A167" s="3" t="s">
        <v>218</v>
      </c>
      <c r="B167" s="5">
        <v>730.37</v>
      </c>
      <c r="C167" s="5">
        <v>320.72000000000003</v>
      </c>
      <c r="D167" s="4">
        <v>47437</v>
      </c>
      <c r="F167" s="3" t="s">
        <v>218</v>
      </c>
      <c r="G167" s="20">
        <v>32.386499999999998</v>
      </c>
      <c r="H167" s="21">
        <v>2.4167999999999999E-2</v>
      </c>
    </row>
    <row r="168" spans="1:8" x14ac:dyDescent="0.25">
      <c r="A168" s="3" t="s">
        <v>219</v>
      </c>
      <c r="B168" s="5">
        <v>739.04</v>
      </c>
      <c r="C168" s="5">
        <v>314.67</v>
      </c>
      <c r="D168" s="4">
        <v>48311</v>
      </c>
      <c r="F168" s="3" t="s">
        <v>219</v>
      </c>
      <c r="G168" s="20">
        <v>32.310499999999998</v>
      </c>
      <c r="H168" s="21">
        <v>2.4296000000000002E-2</v>
      </c>
    </row>
    <row r="169" spans="1:8" x14ac:dyDescent="0.25">
      <c r="A169" s="3" t="s">
        <v>220</v>
      </c>
      <c r="B169" s="5">
        <v>739.01</v>
      </c>
      <c r="C169" s="5">
        <v>322.06</v>
      </c>
      <c r="D169" s="4">
        <v>47418</v>
      </c>
      <c r="F169" s="3" t="s">
        <v>220</v>
      </c>
      <c r="G169" s="20">
        <v>32.259399999999999</v>
      </c>
      <c r="H169" s="21">
        <v>2.4222E-2</v>
      </c>
    </row>
    <row r="170" spans="1:8" x14ac:dyDescent="0.25">
      <c r="A170" s="3" t="s">
        <v>221</v>
      </c>
      <c r="B170" s="5">
        <v>753.98</v>
      </c>
      <c r="C170" s="5">
        <v>331.98</v>
      </c>
      <c r="D170" s="4">
        <v>46934</v>
      </c>
      <c r="F170" s="3" t="s">
        <v>221</v>
      </c>
      <c r="G170" s="20">
        <v>32.2059</v>
      </c>
      <c r="H170" s="21">
        <v>2.3968E-2</v>
      </c>
    </row>
    <row r="171" spans="1:8" x14ac:dyDescent="0.25">
      <c r="A171" s="3" t="s">
        <v>222</v>
      </c>
      <c r="B171" s="5">
        <v>757.29</v>
      </c>
      <c r="C171" s="5">
        <v>335.31</v>
      </c>
      <c r="D171" s="4">
        <v>47326</v>
      </c>
      <c r="F171" s="3" t="s">
        <v>222</v>
      </c>
      <c r="G171" s="20">
        <v>32.268599999999999</v>
      </c>
      <c r="H171" s="21">
        <v>2.3942999999999999E-2</v>
      </c>
    </row>
    <row r="172" spans="1:8" x14ac:dyDescent="0.25">
      <c r="A172" s="3" t="s">
        <v>223</v>
      </c>
      <c r="B172" s="5">
        <v>745.42</v>
      </c>
      <c r="C172" s="5">
        <v>340.15</v>
      </c>
      <c r="D172" s="4">
        <v>46493</v>
      </c>
      <c r="F172" s="3" t="s">
        <v>223</v>
      </c>
      <c r="G172" s="20">
        <v>32.216999999999999</v>
      </c>
      <c r="H172" s="21">
        <v>2.3833E-2</v>
      </c>
    </row>
    <row r="173" spans="1:8" x14ac:dyDescent="0.25">
      <c r="A173" s="3" t="s">
        <v>224</v>
      </c>
      <c r="B173" s="5">
        <v>747.95</v>
      </c>
      <c r="C173" s="5">
        <v>343.78</v>
      </c>
      <c r="D173" s="4">
        <v>47043</v>
      </c>
      <c r="F173" s="3" t="s">
        <v>224</v>
      </c>
      <c r="G173" s="20">
        <v>32.353299999999997</v>
      </c>
      <c r="H173" s="21">
        <v>2.3819E-2</v>
      </c>
    </row>
    <row r="174" spans="1:8" x14ac:dyDescent="0.25">
      <c r="A174" s="3" t="s">
        <v>225</v>
      </c>
      <c r="B174" s="5">
        <v>758.21</v>
      </c>
      <c r="C174" s="5">
        <v>334.81</v>
      </c>
      <c r="D174" s="4">
        <v>44714</v>
      </c>
      <c r="F174" s="3" t="s">
        <v>225</v>
      </c>
      <c r="G174" s="20">
        <v>32.305399999999999</v>
      </c>
      <c r="H174" s="21">
        <v>2.3886999999999999E-2</v>
      </c>
    </row>
    <row r="175" spans="1:8" x14ac:dyDescent="0.25">
      <c r="A175" s="3" t="s">
        <v>226</v>
      </c>
      <c r="B175" s="5">
        <v>762.79</v>
      </c>
      <c r="C175" s="5">
        <v>337.68</v>
      </c>
      <c r="D175" s="4">
        <v>46242</v>
      </c>
      <c r="F175" s="3" t="s">
        <v>226</v>
      </c>
      <c r="G175" s="20">
        <v>32.243200000000002</v>
      </c>
      <c r="H175" s="21">
        <v>2.3827000000000001E-2</v>
      </c>
    </row>
    <row r="176" spans="1:8" x14ac:dyDescent="0.25">
      <c r="A176" s="3" t="s">
        <v>227</v>
      </c>
      <c r="B176" s="5">
        <v>760.38</v>
      </c>
      <c r="C176" s="5">
        <v>336.77</v>
      </c>
      <c r="D176" s="4">
        <v>44786</v>
      </c>
      <c r="F176" s="3" t="s">
        <v>227</v>
      </c>
      <c r="G176" s="20">
        <v>32.320500000000003</v>
      </c>
      <c r="H176" s="21">
        <v>2.3886999999999999E-2</v>
      </c>
    </row>
    <row r="177" spans="1:8" x14ac:dyDescent="0.25">
      <c r="A177" s="3" t="s">
        <v>228</v>
      </c>
      <c r="B177" s="5">
        <v>767.46</v>
      </c>
      <c r="C177" s="5">
        <v>346.36</v>
      </c>
      <c r="D177" s="4">
        <v>44782</v>
      </c>
      <c r="F177" s="3" t="s">
        <v>228</v>
      </c>
      <c r="G177" s="20">
        <v>32.371099999999998</v>
      </c>
      <c r="H177" s="21">
        <v>2.3938000000000001E-2</v>
      </c>
    </row>
    <row r="178" spans="1:8" x14ac:dyDescent="0.25">
      <c r="A178" s="3" t="s">
        <v>229</v>
      </c>
      <c r="B178" s="5">
        <v>775.66</v>
      </c>
      <c r="C178" s="5">
        <v>354.87</v>
      </c>
      <c r="D178" s="4">
        <v>46285</v>
      </c>
      <c r="F178" s="3" t="s">
        <v>229</v>
      </c>
      <c r="G178" s="20">
        <v>32.363700000000001</v>
      </c>
      <c r="H178" s="21">
        <v>2.3841000000000001E-2</v>
      </c>
    </row>
    <row r="179" spans="1:8" x14ac:dyDescent="0.25">
      <c r="A179" s="3" t="s">
        <v>230</v>
      </c>
      <c r="B179" s="5">
        <v>791.41</v>
      </c>
      <c r="C179" s="5">
        <v>363.5</v>
      </c>
      <c r="D179" s="4">
        <v>43485</v>
      </c>
      <c r="F179" s="3" t="s">
        <v>230</v>
      </c>
      <c r="G179" s="20">
        <v>32.348999999999997</v>
      </c>
      <c r="H179" s="21">
        <v>2.4003E-2</v>
      </c>
    </row>
    <row r="180" spans="1:8" x14ac:dyDescent="0.25">
      <c r="A180" s="3" t="s">
        <v>231</v>
      </c>
      <c r="B180" s="5">
        <v>763.39</v>
      </c>
      <c r="C180" s="5">
        <v>362.63</v>
      </c>
      <c r="D180" s="4">
        <v>41728</v>
      </c>
      <c r="F180" s="3" t="s">
        <v>231</v>
      </c>
      <c r="G180" s="20">
        <v>32.3142</v>
      </c>
      <c r="H180" s="21">
        <v>2.4094999999999998E-2</v>
      </c>
    </row>
    <row r="181" spans="1:8" x14ac:dyDescent="0.25">
      <c r="A181" s="3" t="s">
        <v>232</v>
      </c>
      <c r="B181" s="5">
        <v>779.49</v>
      </c>
      <c r="C181" s="5">
        <v>361.44</v>
      </c>
      <c r="D181" s="4">
        <v>40504</v>
      </c>
      <c r="F181" s="3" t="s">
        <v>232</v>
      </c>
      <c r="G181" s="20">
        <v>32.241799999999998</v>
      </c>
      <c r="H181" s="21">
        <v>2.4119000000000002E-2</v>
      </c>
    </row>
    <row r="182" spans="1:8" x14ac:dyDescent="0.25">
      <c r="A182" s="3" t="s">
        <v>233</v>
      </c>
      <c r="B182" s="5">
        <v>794.36</v>
      </c>
      <c r="C182" s="5">
        <v>359.62</v>
      </c>
      <c r="D182" s="4">
        <v>39781</v>
      </c>
      <c r="F182" s="3" t="s">
        <v>233</v>
      </c>
      <c r="G182" s="20">
        <v>32.168199999999999</v>
      </c>
      <c r="H182" s="21">
        <v>2.4135E-2</v>
      </c>
    </row>
    <row r="183" spans="1:8" x14ac:dyDescent="0.25">
      <c r="A183" s="3" t="s">
        <v>234</v>
      </c>
      <c r="B183" s="5">
        <v>807.39</v>
      </c>
      <c r="C183" s="5">
        <v>360.16</v>
      </c>
      <c r="D183" s="4">
        <v>38923</v>
      </c>
      <c r="F183" s="3" t="s">
        <v>234</v>
      </c>
      <c r="G183" s="20">
        <v>32.113599999999998</v>
      </c>
      <c r="H183" s="21">
        <v>2.3963999999999999E-2</v>
      </c>
    </row>
    <row r="184" spans="1:8" x14ac:dyDescent="0.25">
      <c r="A184" s="3" t="s">
        <v>235</v>
      </c>
      <c r="B184" s="5">
        <v>790.98</v>
      </c>
      <c r="C184" s="5">
        <v>348.5</v>
      </c>
      <c r="D184" s="4">
        <v>39904</v>
      </c>
      <c r="F184" s="3" t="s">
        <v>235</v>
      </c>
      <c r="G184" s="20">
        <v>32.077500000000001</v>
      </c>
      <c r="H184" s="21">
        <v>2.4049000000000001E-2</v>
      </c>
    </row>
    <row r="185" spans="1:8" x14ac:dyDescent="0.25">
      <c r="A185" s="3" t="s">
        <v>236</v>
      </c>
      <c r="B185" s="5">
        <v>813.03</v>
      </c>
      <c r="C185" s="5">
        <v>351.61</v>
      </c>
      <c r="D185" s="4">
        <v>39600</v>
      </c>
      <c r="F185" s="3" t="s">
        <v>236</v>
      </c>
      <c r="G185" s="20">
        <v>32.010199999999998</v>
      </c>
      <c r="H185" s="21">
        <v>2.3993E-2</v>
      </c>
    </row>
    <row r="186" spans="1:8" x14ac:dyDescent="0.25">
      <c r="A186" s="3" t="s">
        <v>237</v>
      </c>
      <c r="B186" s="5">
        <v>821.76</v>
      </c>
      <c r="C186" s="5">
        <v>351.65</v>
      </c>
      <c r="D186" s="4">
        <v>40360</v>
      </c>
      <c r="F186" s="3" t="s">
        <v>237</v>
      </c>
      <c r="G186" s="20">
        <v>31.963100000000001</v>
      </c>
      <c r="H186" s="21">
        <v>2.3945000000000001E-2</v>
      </c>
    </row>
    <row r="187" spans="1:8" x14ac:dyDescent="0.25">
      <c r="A187" s="3" t="s">
        <v>238</v>
      </c>
      <c r="B187" s="5">
        <v>833.01</v>
      </c>
      <c r="C187" s="5">
        <v>353.52</v>
      </c>
      <c r="D187" s="4">
        <v>40279</v>
      </c>
      <c r="F187" s="3" t="s">
        <v>238</v>
      </c>
      <c r="G187" s="20">
        <v>32.036700000000003</v>
      </c>
      <c r="H187" s="21">
        <v>2.3955000000000001E-2</v>
      </c>
    </row>
    <row r="188" spans="1:8" x14ac:dyDescent="0.25">
      <c r="A188" s="3" t="s">
        <v>239</v>
      </c>
      <c r="B188" s="5">
        <v>843.98</v>
      </c>
      <c r="C188" s="5">
        <v>355.02</v>
      </c>
      <c r="D188" s="4">
        <v>39024</v>
      </c>
      <c r="F188" s="3" t="s">
        <v>239</v>
      </c>
      <c r="G188" s="20">
        <v>32.008000000000003</v>
      </c>
      <c r="H188" s="21">
        <v>2.3841999999999999E-2</v>
      </c>
    </row>
    <row r="189" spans="1:8" x14ac:dyDescent="0.25">
      <c r="A189" s="3" t="s">
        <v>240</v>
      </c>
      <c r="B189" s="5">
        <v>849.63</v>
      </c>
      <c r="C189" s="5">
        <v>367.07</v>
      </c>
      <c r="D189" s="4">
        <v>39059</v>
      </c>
      <c r="F189" s="3" t="s">
        <v>240</v>
      </c>
      <c r="G189" s="20">
        <v>32.141399999999997</v>
      </c>
      <c r="H189" s="21">
        <v>2.3823E-2</v>
      </c>
    </row>
    <row r="190" spans="1:8" x14ac:dyDescent="0.25">
      <c r="A190" s="3" t="s">
        <v>241</v>
      </c>
      <c r="B190" s="5">
        <v>855</v>
      </c>
      <c r="C190" s="5">
        <v>365.84</v>
      </c>
      <c r="D190" s="4">
        <v>39326</v>
      </c>
      <c r="F190" s="3" t="s">
        <v>241</v>
      </c>
      <c r="G190" s="20">
        <v>32.105499999999999</v>
      </c>
      <c r="H190" s="21">
        <v>2.3701E-2</v>
      </c>
    </row>
    <row r="191" spans="1:8" x14ac:dyDescent="0.25">
      <c r="A191" s="3" t="s">
        <v>242</v>
      </c>
      <c r="B191" s="5">
        <v>850.76</v>
      </c>
      <c r="C191" s="5">
        <v>380.78</v>
      </c>
      <c r="D191" s="4">
        <v>40053</v>
      </c>
      <c r="F191" s="3" t="s">
        <v>242</v>
      </c>
      <c r="G191" s="20">
        <v>32.157600000000002</v>
      </c>
      <c r="H191" s="21">
        <v>2.3717999999999999E-2</v>
      </c>
    </row>
    <row r="192" spans="1:8" x14ac:dyDescent="0.25">
      <c r="A192" s="3" t="s">
        <v>243</v>
      </c>
      <c r="B192" s="5">
        <v>852.25</v>
      </c>
      <c r="C192" s="5">
        <v>383.34</v>
      </c>
      <c r="D192" s="4">
        <v>40238</v>
      </c>
      <c r="F192" s="3" t="s">
        <v>243</v>
      </c>
      <c r="G192" s="20">
        <v>32.154200000000003</v>
      </c>
      <c r="H192" s="21">
        <v>2.3564000000000002E-2</v>
      </c>
    </row>
    <row r="193" spans="1:8" x14ac:dyDescent="0.25">
      <c r="A193" s="3" t="s">
        <v>244</v>
      </c>
      <c r="B193" s="5">
        <v>878.79</v>
      </c>
      <c r="C193" s="5">
        <v>382.22</v>
      </c>
      <c r="D193" s="4">
        <v>39752</v>
      </c>
      <c r="F193" s="3" t="s">
        <v>244</v>
      </c>
      <c r="G193" s="20">
        <v>31.9998</v>
      </c>
      <c r="H193" s="21">
        <v>2.3529999999999999E-2</v>
      </c>
    </row>
    <row r="194" spans="1:8" x14ac:dyDescent="0.25">
      <c r="A194" s="3" t="s">
        <v>245</v>
      </c>
      <c r="B194" s="5">
        <v>889.67</v>
      </c>
      <c r="C194" s="5">
        <v>382.44</v>
      </c>
      <c r="D194" s="4">
        <v>39333</v>
      </c>
      <c r="F194" s="3" t="s">
        <v>245</v>
      </c>
      <c r="G194" s="20">
        <v>32.212699999999998</v>
      </c>
      <c r="H194" s="21">
        <v>2.3517E-2</v>
      </c>
    </row>
    <row r="195" spans="1:8" x14ac:dyDescent="0.25">
      <c r="A195" s="3" t="s">
        <v>246</v>
      </c>
      <c r="B195" s="5">
        <v>858.04</v>
      </c>
      <c r="C195" s="5">
        <v>378.91</v>
      </c>
      <c r="D195" s="4">
        <v>38571</v>
      </c>
      <c r="F195" s="3" t="s">
        <v>246</v>
      </c>
      <c r="G195" s="20">
        <v>32.285200000000003</v>
      </c>
      <c r="H195" s="21">
        <v>2.3695000000000001E-2</v>
      </c>
    </row>
    <row r="196" spans="1:8" x14ac:dyDescent="0.25">
      <c r="A196" s="3" t="s">
        <v>247</v>
      </c>
      <c r="B196" s="5">
        <v>877.82</v>
      </c>
      <c r="C196" s="5">
        <v>374.48</v>
      </c>
      <c r="D196" s="4">
        <v>38986</v>
      </c>
      <c r="F196" s="3" t="s">
        <v>247</v>
      </c>
      <c r="G196" s="20">
        <v>32.421599999999998</v>
      </c>
      <c r="H196" s="21">
        <v>2.3712E-2</v>
      </c>
    </row>
    <row r="197" spans="1:8" x14ac:dyDescent="0.25">
      <c r="A197" s="3" t="s">
        <v>248</v>
      </c>
      <c r="B197" s="5">
        <v>878.01</v>
      </c>
      <c r="C197" s="5">
        <v>370.49</v>
      </c>
      <c r="D197" s="4">
        <v>40005</v>
      </c>
      <c r="F197" s="3" t="s">
        <v>248</v>
      </c>
      <c r="G197" s="20">
        <v>32.245600000000003</v>
      </c>
      <c r="H197" s="21">
        <v>2.3736E-2</v>
      </c>
    </row>
    <row r="198" spans="1:8" x14ac:dyDescent="0.25">
      <c r="A198" s="3" t="s">
        <v>249</v>
      </c>
      <c r="B198" s="5">
        <v>905.29</v>
      </c>
      <c r="C198" s="5">
        <v>372.01</v>
      </c>
      <c r="D198" s="4">
        <v>40102</v>
      </c>
      <c r="F198" s="3" t="s">
        <v>249</v>
      </c>
      <c r="G198" s="20">
        <v>32.312600000000003</v>
      </c>
      <c r="H198" s="21">
        <v>2.3777E-2</v>
      </c>
    </row>
    <row r="199" spans="1:8" x14ac:dyDescent="0.25">
      <c r="A199" s="3" t="s">
        <v>250</v>
      </c>
      <c r="B199" s="5">
        <v>869.4</v>
      </c>
      <c r="C199" s="5">
        <v>374.3</v>
      </c>
      <c r="D199" s="4">
        <v>39816</v>
      </c>
      <c r="F199" s="3" t="s">
        <v>250</v>
      </c>
      <c r="G199" s="20">
        <v>32.2667</v>
      </c>
      <c r="H199" s="21">
        <v>2.3651999999999999E-2</v>
      </c>
    </row>
    <row r="200" spans="1:8" x14ac:dyDescent="0.25">
      <c r="A200" s="3" t="s">
        <v>251</v>
      </c>
      <c r="B200" s="5">
        <v>891.45</v>
      </c>
      <c r="C200" s="5">
        <v>374.59</v>
      </c>
      <c r="D200" s="4">
        <v>40519</v>
      </c>
      <c r="F200" s="3" t="s">
        <v>251</v>
      </c>
      <c r="G200" s="20">
        <v>32.323999999999998</v>
      </c>
      <c r="H200" s="21">
        <v>2.376E-2</v>
      </c>
    </row>
    <row r="201" spans="1:8" x14ac:dyDescent="0.25">
      <c r="A201" s="3" t="s">
        <v>252</v>
      </c>
      <c r="B201" s="5">
        <v>901.43</v>
      </c>
      <c r="C201" s="5">
        <v>379.6</v>
      </c>
      <c r="D201" s="4">
        <v>40399</v>
      </c>
      <c r="F201" s="3" t="s">
        <v>252</v>
      </c>
      <c r="G201" s="20">
        <v>32.324300000000001</v>
      </c>
      <c r="H201" s="21">
        <v>2.3741000000000002E-2</v>
      </c>
    </row>
    <row r="202" spans="1:8" x14ac:dyDescent="0.25">
      <c r="A202" s="3" t="s">
        <v>253</v>
      </c>
      <c r="B202" s="5">
        <v>891.58</v>
      </c>
      <c r="C202" s="5">
        <v>371.81</v>
      </c>
      <c r="D202" s="4">
        <v>40381</v>
      </c>
      <c r="F202" s="3" t="s">
        <v>253</v>
      </c>
      <c r="G202" s="20">
        <v>32.3581</v>
      </c>
      <c r="H202" s="21">
        <v>2.3609999999999999E-2</v>
      </c>
    </row>
    <row r="203" spans="1:8" x14ac:dyDescent="0.25">
      <c r="A203" s="3" t="s">
        <v>254</v>
      </c>
      <c r="B203" s="5">
        <v>878.46</v>
      </c>
      <c r="C203" s="5">
        <v>374.13</v>
      </c>
      <c r="D203" s="4">
        <v>38793</v>
      </c>
      <c r="F203" s="3" t="s">
        <v>254</v>
      </c>
      <c r="G203" s="20">
        <v>32.293799999999997</v>
      </c>
      <c r="H203" s="21">
        <v>2.3602000000000001E-2</v>
      </c>
    </row>
    <row r="204" spans="1:8" x14ac:dyDescent="0.25">
      <c r="A204" s="3" t="s">
        <v>255</v>
      </c>
      <c r="B204" s="5">
        <v>904.3</v>
      </c>
      <c r="C204" s="5">
        <v>381.04</v>
      </c>
      <c r="D204" s="4">
        <v>39248</v>
      </c>
      <c r="F204" s="3" t="s">
        <v>255</v>
      </c>
      <c r="G204" s="20">
        <v>32.158499999999997</v>
      </c>
      <c r="H204" s="21">
        <v>2.3668000000000002E-2</v>
      </c>
    </row>
    <row r="205" spans="1:8" x14ac:dyDescent="0.25">
      <c r="A205" s="3" t="s">
        <v>256</v>
      </c>
      <c r="B205" s="5">
        <v>891.87</v>
      </c>
      <c r="C205" s="5">
        <v>374.82</v>
      </c>
      <c r="D205" s="4">
        <v>38692</v>
      </c>
      <c r="F205" s="3" t="s">
        <v>256</v>
      </c>
      <c r="G205" s="20">
        <v>32.161900000000003</v>
      </c>
      <c r="H205" s="21">
        <v>2.3730999999999999E-2</v>
      </c>
    </row>
    <row r="206" spans="1:8" x14ac:dyDescent="0.25">
      <c r="A206" s="3" t="s">
        <v>257</v>
      </c>
      <c r="B206" s="5">
        <v>905.25</v>
      </c>
      <c r="C206" s="5">
        <v>378.18</v>
      </c>
      <c r="D206" s="4">
        <v>39253</v>
      </c>
      <c r="F206" s="3" t="s">
        <v>257</v>
      </c>
      <c r="G206" s="20">
        <v>32.0182</v>
      </c>
      <c r="H206" s="21">
        <v>2.3758000000000001E-2</v>
      </c>
    </row>
    <row r="207" spans="1:8" x14ac:dyDescent="0.25">
      <c r="A207" s="3" t="s">
        <v>258</v>
      </c>
      <c r="B207" s="5">
        <v>923.71</v>
      </c>
      <c r="C207" s="5">
        <v>384.95</v>
      </c>
      <c r="D207" s="4">
        <v>40295</v>
      </c>
      <c r="F207" s="3" t="s">
        <v>258</v>
      </c>
      <c r="G207" s="20">
        <v>31.9285</v>
      </c>
      <c r="H207" s="21">
        <v>2.3786999999999999E-2</v>
      </c>
    </row>
    <row r="208" spans="1:8" x14ac:dyDescent="0.25">
      <c r="A208" s="3" t="s">
        <v>259</v>
      </c>
      <c r="B208" s="5">
        <v>924.47</v>
      </c>
      <c r="C208" s="5">
        <v>378.79</v>
      </c>
      <c r="D208" s="4">
        <v>41432</v>
      </c>
      <c r="F208" s="3" t="s">
        <v>259</v>
      </c>
      <c r="G208" s="20">
        <v>31.8324</v>
      </c>
      <c r="H208" s="21">
        <v>2.3813000000000001E-2</v>
      </c>
    </row>
    <row r="209" spans="1:8" x14ac:dyDescent="0.25">
      <c r="A209" s="3" t="s">
        <v>260</v>
      </c>
      <c r="B209" s="5">
        <v>950.79</v>
      </c>
      <c r="C209" s="5">
        <v>371.13</v>
      </c>
      <c r="D209" s="4">
        <v>41299</v>
      </c>
      <c r="F209" s="3" t="s">
        <v>260</v>
      </c>
      <c r="G209" s="20">
        <v>32.063899999999997</v>
      </c>
      <c r="H209" s="21">
        <v>2.3737000000000001E-2</v>
      </c>
    </row>
    <row r="210" spans="1:8" x14ac:dyDescent="0.25">
      <c r="A210" s="3" t="s">
        <v>261</v>
      </c>
      <c r="B210" s="5">
        <v>997.88</v>
      </c>
      <c r="C210" s="5">
        <v>384.93</v>
      </c>
      <c r="D210" s="4">
        <v>42965</v>
      </c>
      <c r="F210" s="3" t="s">
        <v>261</v>
      </c>
      <c r="G210" s="20">
        <v>32.096699999999998</v>
      </c>
      <c r="H210" s="21">
        <v>2.3778000000000001E-2</v>
      </c>
    </row>
    <row r="211" spans="1:8" x14ac:dyDescent="0.25">
      <c r="A211" s="3" t="s">
        <v>262</v>
      </c>
      <c r="B211" s="5">
        <v>954.9</v>
      </c>
      <c r="C211" s="5">
        <v>378.53</v>
      </c>
      <c r="D211" s="4">
        <v>41882</v>
      </c>
      <c r="F211" s="3" t="s">
        <v>262</v>
      </c>
      <c r="G211" s="20">
        <v>32.203800000000001</v>
      </c>
      <c r="H211" s="21">
        <v>2.3848999999999999E-2</v>
      </c>
    </row>
    <row r="212" spans="1:8" x14ac:dyDescent="0.25">
      <c r="A212" s="3" t="s">
        <v>263</v>
      </c>
      <c r="B212" s="5">
        <v>954.68</v>
      </c>
      <c r="C212" s="5">
        <v>378.44</v>
      </c>
      <c r="D212" s="4">
        <v>42872</v>
      </c>
      <c r="F212" s="3" t="s">
        <v>263</v>
      </c>
      <c r="G212" s="20">
        <v>32.283099999999997</v>
      </c>
      <c r="H212" s="21">
        <v>2.3723000000000001E-2</v>
      </c>
    </row>
    <row r="213" spans="1:8" x14ac:dyDescent="0.25">
      <c r="A213" s="3" t="s">
        <v>264</v>
      </c>
      <c r="B213" s="5">
        <v>946.41</v>
      </c>
      <c r="C213" s="5">
        <v>376.67</v>
      </c>
      <c r="D213" s="4">
        <v>41986</v>
      </c>
      <c r="F213" s="3" t="s">
        <v>264</v>
      </c>
      <c r="G213" s="20">
        <v>32.239100000000001</v>
      </c>
      <c r="H213" s="21">
        <v>2.3595999999999999E-2</v>
      </c>
    </row>
    <row r="214" spans="1:8" x14ac:dyDescent="0.25">
      <c r="A214" s="3" t="s">
        <v>265</v>
      </c>
      <c r="B214" s="5">
        <v>920.24</v>
      </c>
      <c r="C214" s="5">
        <v>376.62</v>
      </c>
      <c r="D214" s="4">
        <v>42823</v>
      </c>
      <c r="F214" s="3" t="s">
        <v>265</v>
      </c>
      <c r="G214" s="20">
        <v>32.137799999999999</v>
      </c>
      <c r="H214" s="21">
        <v>2.3726000000000001E-2</v>
      </c>
    </row>
    <row r="215" spans="1:8" x14ac:dyDescent="0.25">
      <c r="A215" s="3" t="s">
        <v>266</v>
      </c>
      <c r="B215" s="5">
        <v>920.97</v>
      </c>
      <c r="C215" s="5">
        <v>386.35</v>
      </c>
      <c r="D215" s="4">
        <v>42718</v>
      </c>
      <c r="F215" s="3" t="s">
        <v>266</v>
      </c>
      <c r="G215" s="20">
        <v>32.118200000000002</v>
      </c>
      <c r="H215" s="21">
        <v>2.3618E-2</v>
      </c>
    </row>
    <row r="216" spans="1:8" x14ac:dyDescent="0.25">
      <c r="A216" s="3" t="s">
        <v>267</v>
      </c>
      <c r="B216" s="5">
        <v>932.04</v>
      </c>
      <c r="C216" s="5">
        <v>374.64</v>
      </c>
      <c r="D216" s="4">
        <v>42880</v>
      </c>
      <c r="F216" s="3" t="s">
        <v>267</v>
      </c>
      <c r="G216" s="20">
        <v>32.090200000000003</v>
      </c>
      <c r="H216" s="21">
        <v>2.3713999999999999E-2</v>
      </c>
    </row>
    <row r="217" spans="1:8" x14ac:dyDescent="0.25">
      <c r="A217" s="3" t="s">
        <v>268</v>
      </c>
      <c r="B217" s="5">
        <v>966.49</v>
      </c>
      <c r="C217" s="5">
        <v>374.06</v>
      </c>
      <c r="D217" s="4">
        <v>43605</v>
      </c>
      <c r="F217" s="3" t="s">
        <v>268</v>
      </c>
      <c r="G217" s="20">
        <v>32.009300000000003</v>
      </c>
      <c r="H217" s="21">
        <v>2.3684E-2</v>
      </c>
    </row>
    <row r="218" spans="1:8" x14ac:dyDescent="0.25">
      <c r="A218" s="3" t="s">
        <v>269</v>
      </c>
      <c r="B218" s="5">
        <v>975.34</v>
      </c>
      <c r="C218" s="5">
        <v>373.28</v>
      </c>
      <c r="D218" s="4">
        <v>43894</v>
      </c>
      <c r="F218" s="3" t="s">
        <v>269</v>
      </c>
      <c r="G218" s="20">
        <v>31.923100000000002</v>
      </c>
      <c r="H218" s="21">
        <v>2.3595000000000001E-2</v>
      </c>
    </row>
    <row r="219" spans="1:8" x14ac:dyDescent="0.25">
      <c r="A219" s="3" t="s">
        <v>270</v>
      </c>
      <c r="B219" s="5">
        <v>972.56</v>
      </c>
      <c r="C219" s="5">
        <v>368.66</v>
      </c>
      <c r="D219" s="4">
        <v>43758</v>
      </c>
      <c r="F219" s="3" t="s">
        <v>270</v>
      </c>
      <c r="G219" s="20">
        <v>31.967500000000001</v>
      </c>
      <c r="H219" s="21">
        <v>2.3722E-2</v>
      </c>
    </row>
    <row r="220" spans="1:8" x14ac:dyDescent="0.25">
      <c r="A220" s="3" t="s">
        <v>271</v>
      </c>
      <c r="B220" s="5">
        <v>967.71</v>
      </c>
      <c r="C220" s="5">
        <v>368.97</v>
      </c>
      <c r="D220" s="4">
        <v>41715</v>
      </c>
      <c r="F220" s="3" t="s">
        <v>271</v>
      </c>
      <c r="G220" s="20">
        <v>31.904399999999999</v>
      </c>
      <c r="H220" s="21">
        <v>2.3879000000000001E-2</v>
      </c>
    </row>
    <row r="221" spans="1:8" x14ac:dyDescent="0.25">
      <c r="A221" s="3" t="s">
        <v>272</v>
      </c>
      <c r="B221" s="5">
        <v>960.76</v>
      </c>
      <c r="C221" s="5">
        <v>375.38</v>
      </c>
      <c r="D221" s="4">
        <v>42442</v>
      </c>
      <c r="F221" s="3" t="s">
        <v>272</v>
      </c>
      <c r="G221" s="20">
        <v>31.823399999999999</v>
      </c>
      <c r="H221" s="21">
        <v>2.4065E-2</v>
      </c>
    </row>
    <row r="222" spans="1:8" x14ac:dyDescent="0.25">
      <c r="A222" s="3" t="s">
        <v>273</v>
      </c>
      <c r="B222" s="5">
        <v>985.35</v>
      </c>
      <c r="C222" s="5">
        <v>377.79</v>
      </c>
      <c r="D222" s="4">
        <v>43648</v>
      </c>
      <c r="F222" s="3" t="s">
        <v>273</v>
      </c>
      <c r="G222" s="20">
        <v>31.847300000000001</v>
      </c>
      <c r="H222" s="21">
        <v>2.4256E-2</v>
      </c>
    </row>
    <row r="223" spans="1:8" x14ac:dyDescent="0.25">
      <c r="A223" s="3" t="s">
        <v>274</v>
      </c>
      <c r="B223" s="5">
        <v>1019.24</v>
      </c>
      <c r="C223" s="5">
        <v>378.47</v>
      </c>
      <c r="D223" s="4">
        <v>43837</v>
      </c>
      <c r="F223" s="3" t="s">
        <v>274</v>
      </c>
      <c r="G223" s="20">
        <v>31.748699999999999</v>
      </c>
      <c r="H223" s="21">
        <v>2.4341000000000002E-2</v>
      </c>
    </row>
    <row r="224" spans="1:8" x14ac:dyDescent="0.25">
      <c r="A224" s="3" t="s">
        <v>275</v>
      </c>
      <c r="B224" s="5">
        <v>1082.95</v>
      </c>
      <c r="C224" s="5">
        <v>381.96</v>
      </c>
      <c r="D224" s="4">
        <v>42641</v>
      </c>
      <c r="F224" s="3" t="s">
        <v>275</v>
      </c>
      <c r="G224" s="20">
        <v>31.841999999999999</v>
      </c>
      <c r="H224" s="21">
        <v>2.4249E-2</v>
      </c>
    </row>
    <row r="225" spans="1:8" x14ac:dyDescent="0.25">
      <c r="A225" s="3" t="s">
        <v>276</v>
      </c>
      <c r="B225" s="5">
        <v>1118.81</v>
      </c>
      <c r="C225" s="5">
        <v>386.74</v>
      </c>
      <c r="D225" s="4">
        <v>41675</v>
      </c>
      <c r="F225" s="3" t="s">
        <v>276</v>
      </c>
      <c r="G225" s="20">
        <v>31.7378</v>
      </c>
      <c r="H225" s="21">
        <v>2.4233999999999999E-2</v>
      </c>
    </row>
    <row r="226" spans="1:8" x14ac:dyDescent="0.25">
      <c r="A226" s="3" t="s">
        <v>277</v>
      </c>
      <c r="B226" s="5">
        <v>1092.07</v>
      </c>
      <c r="C226" s="5">
        <v>387.03</v>
      </c>
      <c r="D226" s="4">
        <v>40328</v>
      </c>
      <c r="F226" s="3" t="s">
        <v>277</v>
      </c>
      <c r="G226" s="20">
        <v>31.6675</v>
      </c>
      <c r="H226" s="21">
        <v>2.4337999999999999E-2</v>
      </c>
    </row>
    <row r="227" spans="1:8" x14ac:dyDescent="0.25">
      <c r="A227" s="3" t="s">
        <v>278</v>
      </c>
      <c r="B227" s="5">
        <v>1075.8900000000001</v>
      </c>
      <c r="C227" s="5">
        <v>376.22</v>
      </c>
      <c r="D227" s="4">
        <v>40091</v>
      </c>
      <c r="F227" s="3" t="s">
        <v>278</v>
      </c>
      <c r="G227" s="20">
        <v>31.6187</v>
      </c>
      <c r="H227" s="21">
        <v>2.4322E-2</v>
      </c>
    </row>
    <row r="228" spans="1:8" x14ac:dyDescent="0.25">
      <c r="A228" s="3" t="s">
        <v>279</v>
      </c>
      <c r="B228" s="5">
        <v>1076.01</v>
      </c>
      <c r="C228" s="5">
        <v>364.97</v>
      </c>
      <c r="D228" s="4">
        <v>41168</v>
      </c>
      <c r="F228" s="3" t="s">
        <v>279</v>
      </c>
      <c r="G228" s="20">
        <v>31.6267</v>
      </c>
      <c r="H228" s="21">
        <v>2.4500000000000001E-2</v>
      </c>
    </row>
    <row r="229" spans="1:8" x14ac:dyDescent="0.25">
      <c r="A229" s="3" t="s">
        <v>280</v>
      </c>
      <c r="B229" s="5">
        <v>1055.73</v>
      </c>
      <c r="C229" s="5">
        <v>360.66</v>
      </c>
      <c r="D229" s="4">
        <v>42825</v>
      </c>
      <c r="F229" s="3" t="s">
        <v>280</v>
      </c>
      <c r="G229" s="20">
        <v>31.732700000000001</v>
      </c>
      <c r="H229" s="21">
        <v>2.4580999999999999E-2</v>
      </c>
    </row>
    <row r="230" spans="1:8" x14ac:dyDescent="0.25">
      <c r="A230" s="3" t="s">
        <v>281</v>
      </c>
      <c r="B230" s="5">
        <v>1052.44</v>
      </c>
      <c r="C230" s="5">
        <v>357.22</v>
      </c>
      <c r="D230" s="4">
        <v>42209</v>
      </c>
      <c r="F230" s="3" t="s">
        <v>281</v>
      </c>
      <c r="G230" s="20">
        <v>31.7409</v>
      </c>
      <c r="H230" s="21">
        <v>2.4618000000000001E-2</v>
      </c>
    </row>
    <row r="231" spans="1:8" x14ac:dyDescent="0.25">
      <c r="A231" s="3" t="s">
        <v>282</v>
      </c>
      <c r="B231" s="5">
        <v>1070.82</v>
      </c>
      <c r="C231" s="5">
        <v>355.48</v>
      </c>
      <c r="D231" s="4">
        <v>40527</v>
      </c>
      <c r="F231" s="3" t="s">
        <v>282</v>
      </c>
      <c r="G231" s="20">
        <v>31.557600000000001</v>
      </c>
      <c r="H231" s="21">
        <v>2.46E-2</v>
      </c>
    </row>
    <row r="232" spans="1:8" x14ac:dyDescent="0.25">
      <c r="A232" s="3" t="s">
        <v>283</v>
      </c>
      <c r="B232" s="5">
        <v>1043.6600000000001</v>
      </c>
      <c r="C232" s="5">
        <v>349.23</v>
      </c>
      <c r="D232" s="4">
        <v>40069</v>
      </c>
      <c r="F232" s="3" t="s">
        <v>283</v>
      </c>
      <c r="G232" s="20">
        <v>31.459299999999999</v>
      </c>
      <c r="H232" s="21">
        <v>2.4607E-2</v>
      </c>
    </row>
    <row r="233" spans="1:8" x14ac:dyDescent="0.25">
      <c r="A233" s="3" t="s">
        <v>284</v>
      </c>
      <c r="B233" s="5">
        <v>1011.06</v>
      </c>
      <c r="C233" s="5">
        <v>347.17</v>
      </c>
      <c r="D233" s="4">
        <v>39395</v>
      </c>
      <c r="F233" s="3" t="s">
        <v>284</v>
      </c>
      <c r="G233" s="20">
        <v>31.4527</v>
      </c>
      <c r="H233" s="21">
        <v>2.4549000000000001E-2</v>
      </c>
    </row>
    <row r="234" spans="1:8" x14ac:dyDescent="0.25">
      <c r="A234" s="3" t="s">
        <v>285</v>
      </c>
      <c r="B234" s="5">
        <v>990.15</v>
      </c>
      <c r="C234" s="5">
        <v>343.62</v>
      </c>
      <c r="D234" s="4">
        <v>40791</v>
      </c>
      <c r="F234" s="3" t="s">
        <v>285</v>
      </c>
      <c r="G234" s="20">
        <v>31.462599999999998</v>
      </c>
      <c r="H234" s="21">
        <v>2.4566000000000001E-2</v>
      </c>
    </row>
    <row r="235" spans="1:8" x14ac:dyDescent="0.25">
      <c r="A235" s="3" t="s">
        <v>286</v>
      </c>
      <c r="B235" s="5">
        <v>983.44</v>
      </c>
      <c r="C235" s="5">
        <v>342.12</v>
      </c>
      <c r="D235" s="4">
        <v>41454</v>
      </c>
      <c r="F235" s="3" t="s">
        <v>286</v>
      </c>
      <c r="G235" s="20">
        <v>31.3583</v>
      </c>
      <c r="H235" s="21">
        <v>2.4638E-2</v>
      </c>
    </row>
    <row r="236" spans="1:8" x14ac:dyDescent="0.25">
      <c r="A236" s="3" t="s">
        <v>287</v>
      </c>
      <c r="B236" s="5">
        <v>979.79</v>
      </c>
      <c r="C236" s="5">
        <v>344.58</v>
      </c>
      <c r="D236" s="4">
        <v>41866</v>
      </c>
      <c r="F236" s="3" t="s">
        <v>287</v>
      </c>
      <c r="G236" s="20">
        <v>31.394600000000001</v>
      </c>
      <c r="H236" s="21">
        <v>2.4624E-2</v>
      </c>
    </row>
    <row r="237" spans="1:8" x14ac:dyDescent="0.25">
      <c r="A237" s="3" t="s">
        <v>288</v>
      </c>
      <c r="B237" s="5">
        <v>954.85</v>
      </c>
      <c r="C237" s="5">
        <v>345.45</v>
      </c>
      <c r="D237" s="4">
        <v>41133</v>
      </c>
      <c r="F237" s="3" t="s">
        <v>288</v>
      </c>
      <c r="G237" s="20">
        <v>31.433199999999999</v>
      </c>
      <c r="H237" s="21">
        <v>2.4750000000000001E-2</v>
      </c>
    </row>
    <row r="238" spans="1:8" x14ac:dyDescent="0.25">
      <c r="A238" s="3" t="s">
        <v>289</v>
      </c>
      <c r="B238" s="5">
        <v>947.72</v>
      </c>
      <c r="C238" s="5">
        <v>344.48</v>
      </c>
      <c r="D238" s="4">
        <v>40034</v>
      </c>
      <c r="F238" s="3" t="s">
        <v>289</v>
      </c>
      <c r="G238" s="20">
        <v>31.543299999999999</v>
      </c>
      <c r="H238" s="21">
        <v>2.4846E-2</v>
      </c>
    </row>
    <row r="239" spans="1:8" x14ac:dyDescent="0.25">
      <c r="A239" s="3" t="s">
        <v>290</v>
      </c>
      <c r="B239" s="5">
        <v>962.24</v>
      </c>
      <c r="C239" s="5">
        <v>350.88</v>
      </c>
      <c r="D239" s="4">
        <v>42270</v>
      </c>
      <c r="F239" s="3" t="s">
        <v>290</v>
      </c>
      <c r="G239" s="20">
        <v>31.569600000000001</v>
      </c>
      <c r="H239" s="21">
        <v>2.5075E-2</v>
      </c>
    </row>
    <row r="240" spans="1:8" x14ac:dyDescent="0.25">
      <c r="A240" s="3" t="s">
        <v>291</v>
      </c>
      <c r="B240" s="5">
        <v>952.65</v>
      </c>
      <c r="C240" s="5">
        <v>347.87</v>
      </c>
      <c r="D240" s="4">
        <v>43699</v>
      </c>
      <c r="F240" s="3" t="s">
        <v>291</v>
      </c>
      <c r="G240" s="20">
        <v>31.7377</v>
      </c>
      <c r="H240" s="21">
        <v>2.4878999999999998E-2</v>
      </c>
    </row>
    <row r="241" spans="1:11" x14ac:dyDescent="0.25">
      <c r="A241" s="3" t="s">
        <v>292</v>
      </c>
      <c r="B241" s="5">
        <v>920.73</v>
      </c>
      <c r="C241" s="5">
        <v>341.13</v>
      </c>
      <c r="D241" s="4">
        <v>44675</v>
      </c>
      <c r="F241" s="3" t="s">
        <v>292</v>
      </c>
      <c r="G241" s="20">
        <v>31.8202</v>
      </c>
      <c r="H241" s="21">
        <v>2.4663000000000001E-2</v>
      </c>
    </row>
    <row r="242" spans="1:11" x14ac:dyDescent="0.25">
      <c r="A242" s="3" t="s">
        <v>293</v>
      </c>
      <c r="B242" s="5">
        <v>905.96</v>
      </c>
      <c r="C242" s="5">
        <v>353.99</v>
      </c>
      <c r="D242" s="4">
        <v>44459</v>
      </c>
      <c r="F242" s="3" t="s">
        <v>293</v>
      </c>
      <c r="G242" s="20">
        <v>31.919499999999999</v>
      </c>
      <c r="H242" s="21">
        <v>2.4767999999999998E-2</v>
      </c>
    </row>
    <row r="243" spans="1:11" x14ac:dyDescent="0.25">
      <c r="A243" s="3" t="s">
        <v>294</v>
      </c>
      <c r="B243" s="5">
        <v>886.83</v>
      </c>
      <c r="C243" s="5">
        <v>352.26</v>
      </c>
      <c r="D243" s="4">
        <v>44271</v>
      </c>
      <c r="F243" s="3" t="s">
        <v>294</v>
      </c>
      <c r="G243" s="20">
        <v>31.930599999999998</v>
      </c>
      <c r="H243" s="21">
        <v>2.477E-2</v>
      </c>
    </row>
    <row r="244" spans="1:11" x14ac:dyDescent="0.25">
      <c r="A244" s="3" t="s">
        <v>295</v>
      </c>
      <c r="B244" s="5">
        <v>878.01</v>
      </c>
      <c r="C244" s="5">
        <v>348.51</v>
      </c>
      <c r="D244" s="4">
        <v>44213</v>
      </c>
      <c r="F244" s="3" t="s">
        <v>295</v>
      </c>
      <c r="G244" s="20">
        <v>31.980499999999999</v>
      </c>
      <c r="H244" s="21">
        <v>2.4847999999999999E-2</v>
      </c>
    </row>
    <row r="245" spans="1:11" x14ac:dyDescent="0.25">
      <c r="A245" s="3" t="s">
        <v>296</v>
      </c>
      <c r="B245" s="5">
        <v>870.4</v>
      </c>
      <c r="C245" s="5">
        <v>341.9</v>
      </c>
      <c r="D245" s="4">
        <v>43971</v>
      </c>
      <c r="F245" s="3" t="s">
        <v>296</v>
      </c>
      <c r="G245" s="20">
        <v>32.005400000000002</v>
      </c>
      <c r="H245" s="21">
        <v>2.4708000000000001E-2</v>
      </c>
    </row>
    <row r="246" spans="1:11" x14ac:dyDescent="0.25">
      <c r="A246" s="3" t="s">
        <v>297</v>
      </c>
      <c r="B246" s="5">
        <v>868.7</v>
      </c>
      <c r="C246" s="5">
        <v>332.4</v>
      </c>
      <c r="D246" s="4">
        <v>43974</v>
      </c>
      <c r="F246" s="3" t="s">
        <v>297</v>
      </c>
      <c r="G246" s="20">
        <v>31.9528</v>
      </c>
      <c r="H246" s="21">
        <v>2.4816000000000001E-2</v>
      </c>
    </row>
    <row r="247" spans="1:11" x14ac:dyDescent="0.25">
      <c r="A247" s="3" t="s">
        <v>298</v>
      </c>
      <c r="B247" s="5">
        <v>866.97</v>
      </c>
      <c r="C247" s="5">
        <v>340.16</v>
      </c>
      <c r="D247" s="4">
        <v>43717</v>
      </c>
      <c r="F247" s="3" t="s">
        <v>298</v>
      </c>
      <c r="G247" s="20">
        <v>31.970800000000001</v>
      </c>
      <c r="H247" s="21">
        <v>2.4823000000000001E-2</v>
      </c>
    </row>
    <row r="248" spans="1:11" x14ac:dyDescent="0.25">
      <c r="A248" s="3" t="s">
        <v>299</v>
      </c>
      <c r="B248" s="5">
        <v>848.86</v>
      </c>
      <c r="C248" s="5">
        <v>333.55</v>
      </c>
      <c r="D248" s="4">
        <v>44516</v>
      </c>
      <c r="F248" s="3" t="s">
        <v>299</v>
      </c>
      <c r="G248" s="20">
        <v>32.101300000000002</v>
      </c>
      <c r="H248" s="21">
        <v>2.4801E-2</v>
      </c>
    </row>
    <row r="249" spans="1:11" x14ac:dyDescent="0.25">
      <c r="A249" s="3" t="s">
        <v>300</v>
      </c>
      <c r="B249" s="5">
        <v>858.52</v>
      </c>
      <c r="C249" s="5">
        <v>334.2</v>
      </c>
      <c r="D249" s="4">
        <v>43552</v>
      </c>
      <c r="F249" s="3" t="s">
        <v>300</v>
      </c>
      <c r="G249" s="20">
        <v>32.014000000000003</v>
      </c>
      <c r="H249" s="21">
        <v>2.4702999999999999E-2</v>
      </c>
    </row>
    <row r="250" spans="1:11" x14ac:dyDescent="0.25">
      <c r="A250" s="3" t="s">
        <v>301</v>
      </c>
      <c r="B250" s="5">
        <v>849.52</v>
      </c>
      <c r="C250" s="5">
        <v>333.48</v>
      </c>
      <c r="D250" s="4">
        <v>43999</v>
      </c>
      <c r="F250" s="3" t="s">
        <v>301</v>
      </c>
      <c r="G250" s="20">
        <v>32.174300000000002</v>
      </c>
      <c r="H250" s="21">
        <v>2.4646999999999999E-2</v>
      </c>
    </row>
    <row r="251" spans="1:11" x14ac:dyDescent="0.25">
      <c r="A251" s="3" t="s">
        <v>302</v>
      </c>
      <c r="B251" s="5">
        <v>842.61</v>
      </c>
      <c r="C251" s="5">
        <v>340.43</v>
      </c>
      <c r="D251" s="4">
        <v>43897</v>
      </c>
      <c r="F251" s="3" t="s">
        <v>302</v>
      </c>
      <c r="G251" s="20">
        <v>32.314599999999999</v>
      </c>
      <c r="H251" s="21">
        <v>2.4660999999999999E-2</v>
      </c>
    </row>
    <row r="252" spans="1:11" x14ac:dyDescent="0.25">
      <c r="A252" s="3" t="s">
        <v>303</v>
      </c>
      <c r="B252" s="5">
        <v>863.87</v>
      </c>
      <c r="C252" s="5">
        <v>334.47</v>
      </c>
      <c r="D252" s="4">
        <v>44506</v>
      </c>
      <c r="F252" s="3" t="s">
        <v>303</v>
      </c>
      <c r="G252" s="20">
        <v>32.296500000000002</v>
      </c>
      <c r="H252" s="21">
        <v>2.4712999999999999E-2</v>
      </c>
    </row>
    <row r="253" spans="1:11" x14ac:dyDescent="0.25">
      <c r="A253" s="3" t="s">
        <v>304</v>
      </c>
      <c r="B253" s="5">
        <v>858.34</v>
      </c>
      <c r="C253" s="5">
        <v>322.48</v>
      </c>
      <c r="D253" s="4">
        <v>44776</v>
      </c>
      <c r="F253" s="3" t="s">
        <v>304</v>
      </c>
      <c r="G253" s="20">
        <v>32.268999999999998</v>
      </c>
      <c r="H253" s="21">
        <v>2.4607E-2</v>
      </c>
    </row>
    <row r="254" spans="1:11" x14ac:dyDescent="0.25">
      <c r="A254" s="77" t="s">
        <v>305</v>
      </c>
      <c r="B254" s="75"/>
      <c r="C254" s="75"/>
      <c r="D254" s="75"/>
      <c r="E254" s="75"/>
      <c r="F254" s="75"/>
      <c r="G254" s="75"/>
      <c r="H254" s="75"/>
      <c r="I254" s="75"/>
      <c r="J254" s="75"/>
      <c r="K254" s="75"/>
    </row>
  </sheetData>
  <mergeCells count="2">
    <mergeCell ref="A1:I1"/>
    <mergeCell ref="A254:K254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0"/>
  <sheetViews>
    <sheetView topLeftCell="A88" workbookViewId="0">
      <selection activeCell="B52" sqref="B52"/>
    </sheetView>
  </sheetViews>
  <sheetFormatPr defaultRowHeight="15.75" x14ac:dyDescent="0.25"/>
  <cols>
    <col min="1" max="6" width="30" customWidth="1"/>
    <col min="7" max="9" width="20.7109375" customWidth="1"/>
    <col min="10" max="10" width="30" customWidth="1"/>
    <col min="11" max="12" width="8" customWidth="1"/>
  </cols>
  <sheetData>
    <row r="1" spans="1:12" x14ac:dyDescent="0.25">
      <c r="A1" s="76" t="s">
        <v>306</v>
      </c>
      <c r="B1" s="75"/>
      <c r="C1" s="75"/>
      <c r="D1" s="75"/>
      <c r="E1" s="75"/>
      <c r="F1" s="75"/>
      <c r="G1" s="75"/>
      <c r="H1" s="75"/>
      <c r="I1" s="75"/>
      <c r="J1" s="75"/>
    </row>
    <row r="3" spans="1:12" x14ac:dyDescent="0.25">
      <c r="A3" s="74" t="s">
        <v>307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x14ac:dyDescent="0.25">
      <c r="A4" s="22" t="s">
        <v>308</v>
      </c>
      <c r="B4" s="78"/>
      <c r="C4" s="75"/>
      <c r="D4" s="75"/>
      <c r="E4" s="75"/>
      <c r="F4" s="75"/>
      <c r="G4" s="75"/>
      <c r="H4" s="75"/>
      <c r="I4" s="75"/>
      <c r="J4" s="75"/>
    </row>
    <row r="5" spans="1:12" x14ac:dyDescent="0.25">
      <c r="A5" s="22" t="s">
        <v>309</v>
      </c>
      <c r="B5" s="78"/>
      <c r="C5" s="75"/>
      <c r="D5" s="75"/>
      <c r="E5" s="75"/>
      <c r="F5" s="75"/>
      <c r="G5" s="75"/>
      <c r="H5" s="75"/>
      <c r="I5" s="75"/>
      <c r="J5" s="75"/>
    </row>
    <row r="6" spans="1:12" x14ac:dyDescent="0.25">
      <c r="A6" s="22" t="s">
        <v>310</v>
      </c>
      <c r="B6" s="78"/>
      <c r="C6" s="75"/>
      <c r="D6" s="75"/>
      <c r="E6" s="75"/>
      <c r="F6" s="75"/>
      <c r="G6" s="75"/>
      <c r="H6" s="75"/>
      <c r="I6" s="75"/>
      <c r="J6" s="75"/>
    </row>
    <row r="7" spans="1:12" x14ac:dyDescent="0.25">
      <c r="A7" s="22" t="s">
        <v>311</v>
      </c>
      <c r="B7" s="78"/>
      <c r="C7" s="75"/>
      <c r="D7" s="75"/>
      <c r="E7" s="75"/>
      <c r="F7" s="75"/>
      <c r="G7" s="75"/>
      <c r="H7" s="75"/>
      <c r="I7" s="75"/>
      <c r="J7" s="75"/>
    </row>
    <row r="8" spans="1:12" x14ac:dyDescent="0.25">
      <c r="A8" s="22" t="s">
        <v>312</v>
      </c>
      <c r="B8" s="78"/>
      <c r="C8" s="75"/>
      <c r="D8" s="75"/>
      <c r="E8" s="75"/>
      <c r="F8" s="75"/>
      <c r="G8" s="75"/>
      <c r="H8" s="75"/>
      <c r="I8" s="75"/>
      <c r="J8" s="75"/>
    </row>
    <row r="9" spans="1:12" x14ac:dyDescent="0.25">
      <c r="A9" s="22" t="s">
        <v>313</v>
      </c>
      <c r="B9" s="78"/>
      <c r="C9" s="75"/>
      <c r="D9" s="75"/>
      <c r="E9" s="75"/>
      <c r="F9" s="75"/>
      <c r="G9" s="75"/>
      <c r="H9" s="75"/>
      <c r="I9" s="75"/>
      <c r="J9" s="75"/>
    </row>
    <row r="10" spans="1:12" x14ac:dyDescent="0.25">
      <c r="A10" s="22" t="s">
        <v>314</v>
      </c>
      <c r="B10" s="78"/>
      <c r="C10" s="75"/>
      <c r="D10" s="75"/>
      <c r="E10" s="75"/>
      <c r="F10" s="75"/>
      <c r="G10" s="75"/>
      <c r="H10" s="75"/>
      <c r="I10" s="75"/>
      <c r="J10" s="75"/>
    </row>
    <row r="11" spans="1:12" x14ac:dyDescent="0.25">
      <c r="A11" s="22" t="s">
        <v>315</v>
      </c>
      <c r="B11" s="78"/>
      <c r="C11" s="75"/>
      <c r="D11" s="75"/>
      <c r="E11" s="75"/>
      <c r="F11" s="75"/>
      <c r="G11" s="75"/>
      <c r="H11" s="75"/>
      <c r="I11" s="75"/>
      <c r="J11" s="75"/>
    </row>
    <row r="12" spans="1:12" x14ac:dyDescent="0.25">
      <c r="A12" s="22" t="s">
        <v>316</v>
      </c>
      <c r="B12" s="78"/>
      <c r="C12" s="75"/>
      <c r="D12" s="75"/>
      <c r="E12" s="75"/>
      <c r="F12" s="75"/>
      <c r="G12" s="75"/>
      <c r="H12" s="75"/>
      <c r="I12" s="75"/>
      <c r="J12" s="75"/>
    </row>
    <row r="13" spans="1:12" x14ac:dyDescent="0.25">
      <c r="A13" s="24" t="s">
        <v>317</v>
      </c>
      <c r="B13" s="78" t="s">
        <v>318</v>
      </c>
      <c r="C13" s="75"/>
      <c r="D13" s="75"/>
      <c r="E13" s="75"/>
      <c r="F13" s="75"/>
      <c r="G13" s="75"/>
      <c r="H13" s="75"/>
      <c r="I13" s="75"/>
      <c r="J13" s="75"/>
    </row>
    <row r="14" spans="1:12" x14ac:dyDescent="0.25">
      <c r="A14" s="74" t="s">
        <v>319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</row>
    <row r="15" spans="1:12" x14ac:dyDescent="0.25">
      <c r="A15" s="1" t="s">
        <v>48</v>
      </c>
      <c r="B15" s="1" t="s">
        <v>320</v>
      </c>
      <c r="C15" s="1" t="s">
        <v>321</v>
      </c>
      <c r="D15" s="1" t="s">
        <v>322</v>
      </c>
      <c r="E15" s="1" t="s">
        <v>323</v>
      </c>
      <c r="F15" s="1" t="s">
        <v>324</v>
      </c>
      <c r="G15" s="1" t="s">
        <v>325</v>
      </c>
      <c r="H15" s="1" t="s">
        <v>326</v>
      </c>
      <c r="I15" s="1" t="s">
        <v>327</v>
      </c>
      <c r="J15" s="1" t="s">
        <v>328</v>
      </c>
    </row>
    <row r="16" spans="1:12" x14ac:dyDescent="0.25">
      <c r="A16" s="3" t="s">
        <v>55</v>
      </c>
      <c r="B16" s="25">
        <f>LN(②原始價格與FX!B4/②原始價格與FX!B3)</f>
        <v>2.1370025736192545E-2</v>
      </c>
      <c r="C16" s="25">
        <f>LN(②原始價格與FX!C4/②原始價格與FX!C3)</f>
        <v>3.4427539445983417E-2</v>
      </c>
      <c r="D16" s="25">
        <f>LN(②原始價格與FX!D4/②原始價格與FX!D3)</f>
        <v>3.5532601742420136E-2</v>
      </c>
      <c r="E16" s="25">
        <f>LN(②原始價格與FX!G4/②原始價格與FX!G3)</f>
        <v>-1.8355297082723427E-3</v>
      </c>
      <c r="F16" s="25">
        <f>LN(②原始價格與FX!H4/②原始價格與FX!H3)</f>
        <v>4.246290881451004E-3</v>
      </c>
      <c r="G16" s="25">
        <f t="shared" ref="G16:G79" si="0">B16</f>
        <v>2.1370025736192545E-2</v>
      </c>
      <c r="H16" s="26">
        <f t="shared" ref="H16:H79" si="1">C16+E16</f>
        <v>3.2592009737711071E-2</v>
      </c>
      <c r="I16" s="26">
        <f t="shared" ref="I16:I79" si="2">D16+F16</f>
        <v>3.9778892623871139E-2</v>
      </c>
      <c r="J16" s="27">
        <f>G16*①基本設定!$G$5+H16*①基本設定!$G$6+I16*①基本設定!$G$7</f>
        <v>52696.244470385725</v>
      </c>
    </row>
    <row r="17" spans="1:10" x14ac:dyDescent="0.25">
      <c r="A17" s="3" t="s">
        <v>56</v>
      </c>
      <c r="B17" s="25">
        <f>LN(②原始價格與FX!B5/②原始價格與FX!B4)</f>
        <v>-1.8657042538750855E-2</v>
      </c>
      <c r="C17" s="25">
        <f>LN(②原始價格與FX!C5/②原始價格與FX!C4)</f>
        <v>-2.8445467768435907E-2</v>
      </c>
      <c r="D17" s="25">
        <f>LN(②原始價格與FX!D5/②原始價格與FX!D4)</f>
        <v>-7.3895029393112373E-3</v>
      </c>
      <c r="E17" s="25">
        <f>LN(②原始價格與FX!G5/②原始價格與FX!G4)</f>
        <v>-3.5667285551032632E-3</v>
      </c>
      <c r="F17" s="25">
        <f>LN(②原始價格與FX!H5/②原始價格與FX!H4)</f>
        <v>-3.3904051858926044E-4</v>
      </c>
      <c r="G17" s="25">
        <f t="shared" si="0"/>
        <v>-1.8657042538750855E-2</v>
      </c>
      <c r="H17" s="26">
        <f t="shared" si="1"/>
        <v>-3.2012196323539167E-2</v>
      </c>
      <c r="I17" s="26">
        <f t="shared" si="2"/>
        <v>-7.7285434579004979E-3</v>
      </c>
      <c r="J17" s="28">
        <f>G17*①基本設定!$G$5+H17*①基本設定!$G$6+I17*①基本設定!$G$7</f>
        <v>-49411.098466609095</v>
      </c>
    </row>
    <row r="18" spans="1:10" x14ac:dyDescent="0.25">
      <c r="A18" s="3" t="s">
        <v>57</v>
      </c>
      <c r="B18" s="25">
        <f>LN(②原始價格與FX!B6/②原始價格與FX!B5)</f>
        <v>1.8020583189464937E-2</v>
      </c>
      <c r="C18" s="25">
        <f>LN(②原始價格與FX!C6/②原始價格與FX!C5)</f>
        <v>1.4085491373261637E-2</v>
      </c>
      <c r="D18" s="25">
        <f>LN(②原始價格與FX!D6/②原始價格與FX!D5)</f>
        <v>4.4722264897716503E-2</v>
      </c>
      <c r="E18" s="25">
        <f>LN(②原始價格與FX!G6/②原始價格與FX!G5)</f>
        <v>1.0110927309795246E-3</v>
      </c>
      <c r="F18" s="25">
        <f>LN(②原始價格與FX!H6/②原始價格與FX!H5)</f>
        <v>-6.5063698302580851E-3</v>
      </c>
      <c r="G18" s="25">
        <f t="shared" si="0"/>
        <v>1.8020583189464937E-2</v>
      </c>
      <c r="H18" s="26">
        <f t="shared" si="1"/>
        <v>1.5096584104241162E-2</v>
      </c>
      <c r="I18" s="26">
        <f t="shared" si="2"/>
        <v>3.8215895067458421E-2</v>
      </c>
      <c r="J18" s="27">
        <f>G18*①基本設定!$G$5+H18*①基本設定!$G$6+I18*①基本設定!$G$7</f>
        <v>31598.340428987838</v>
      </c>
    </row>
    <row r="19" spans="1:10" x14ac:dyDescent="0.25">
      <c r="A19" s="3" t="s">
        <v>58</v>
      </c>
      <c r="B19" s="25">
        <f>LN(②原始價格與FX!B7/②原始價格與FX!B6)</f>
        <v>1.5823345585973415E-2</v>
      </c>
      <c r="C19" s="25">
        <f>LN(②原始價格與FX!C7/②原始價格與FX!C6)</f>
        <v>1.5769052118231434E-2</v>
      </c>
      <c r="D19" s="25">
        <f>LN(②原始價格與FX!D7/②原始價格與FX!D6)</f>
        <v>-9.2737192809844975E-3</v>
      </c>
      <c r="E19" s="25">
        <f>LN(②原始價格與FX!G7/②原始價格與FX!G6)</f>
        <v>-9.7397033534338024E-4</v>
      </c>
      <c r="F19" s="25">
        <f>LN(②原始價格與FX!H7/②原始價格與FX!H6)</f>
        <v>2.2586359775559222E-3</v>
      </c>
      <c r="G19" s="25">
        <f t="shared" si="0"/>
        <v>1.5823345585973415E-2</v>
      </c>
      <c r="H19" s="26">
        <f t="shared" si="1"/>
        <v>1.4795081782888053E-2</v>
      </c>
      <c r="I19" s="26">
        <f t="shared" si="2"/>
        <v>-7.0150833034285758E-3</v>
      </c>
      <c r="J19" s="27">
        <f>G19*①基本設定!$G$5+H19*①基本設定!$G$6+I19*①基本設定!$G$7</f>
        <v>28900.265570618769</v>
      </c>
    </row>
    <row r="20" spans="1:10" x14ac:dyDescent="0.25">
      <c r="A20" s="3" t="s">
        <v>59</v>
      </c>
      <c r="B20" s="25">
        <f>LN(②原始價格與FX!B8/②原始價格與FX!B7)</f>
        <v>-2.1356361273199773E-2</v>
      </c>
      <c r="C20" s="25">
        <f>LN(②原始價格與FX!C8/②原始價格與FX!C7)</f>
        <v>2.0186018781917218E-2</v>
      </c>
      <c r="D20" s="25">
        <f>LN(②原始價格與FX!D8/②原始價格與FX!D7)</f>
        <v>2.2362237239539626E-3</v>
      </c>
      <c r="E20" s="25">
        <f>LN(②原始價格與FX!G8/②原始價格與FX!G7)</f>
        <v>-2.499556058518725E-3</v>
      </c>
      <c r="F20" s="25">
        <f>LN(②原始價格與FX!H8/②原始價格與FX!H7)</f>
        <v>-2.7280494327371085E-3</v>
      </c>
      <c r="G20" s="25">
        <f t="shared" si="0"/>
        <v>-2.1356361273199773E-2</v>
      </c>
      <c r="H20" s="26">
        <f t="shared" si="1"/>
        <v>1.7686462723398494E-2</v>
      </c>
      <c r="I20" s="26">
        <f t="shared" si="2"/>
        <v>-4.9182570878314588E-4</v>
      </c>
      <c r="J20" s="27">
        <f>G20*①基本設定!$G$5+H20*①基本設定!$G$6+I20*①基本設定!$G$7</f>
        <v>68.077352608082677</v>
      </c>
    </row>
    <row r="21" spans="1:10" x14ac:dyDescent="0.25">
      <c r="A21" s="3" t="s">
        <v>60</v>
      </c>
      <c r="B21" s="25">
        <f>LN(②原始價格與FX!B9/②原始價格與FX!B8)</f>
        <v>1.7040734607337821E-2</v>
      </c>
      <c r="C21" s="25">
        <f>LN(②原始價格與FX!C9/②原始價格與FX!C8)</f>
        <v>-1.8570635819456064E-2</v>
      </c>
      <c r="D21" s="25">
        <f>LN(②原始價格與FX!D9/②原始價格與FX!D8)</f>
        <v>-1.016342686817605E-2</v>
      </c>
      <c r="E21" s="25">
        <f>LN(②原始價格與FX!G9/②原始價格與FX!G8)</f>
        <v>2.5304903355563113E-3</v>
      </c>
      <c r="F21" s="25">
        <f>LN(②原始價格與FX!H9/②原始價格與FX!H8)</f>
        <v>1.1247757636803996E-2</v>
      </c>
      <c r="G21" s="25">
        <f t="shared" si="0"/>
        <v>1.7040734607337821E-2</v>
      </c>
      <c r="H21" s="26">
        <f t="shared" si="1"/>
        <v>-1.6040145483899752E-2</v>
      </c>
      <c r="I21" s="26">
        <f t="shared" si="2"/>
        <v>1.0843307686279457E-3</v>
      </c>
      <c r="J21" s="28">
        <f>G21*①基本設定!$G$5+H21*①基本設定!$G$6+I21*①基本設定!$G$7</f>
        <v>-2052.6680511295117</v>
      </c>
    </row>
    <row r="22" spans="1:10" x14ac:dyDescent="0.25">
      <c r="A22" s="3" t="s">
        <v>61</v>
      </c>
      <c r="B22" s="25">
        <f>LN(②原始價格與FX!B10/②原始價格與FX!B9)</f>
        <v>-2.5033987057666126E-2</v>
      </c>
      <c r="C22" s="25">
        <f>LN(②原始價格與FX!C10/②原始價格與FX!C9)</f>
        <v>-1.9558983127909487E-2</v>
      </c>
      <c r="D22" s="25">
        <f>LN(②原始價格與FX!D10/②原始價格與FX!D9)</f>
        <v>1.1232902793275261E-2</v>
      </c>
      <c r="E22" s="25">
        <f>LN(②原始價格與FX!G10/②原始價格與FX!G9)</f>
        <v>-1.9228363571868392E-3</v>
      </c>
      <c r="F22" s="25">
        <f>LN(②原始價格與FX!H10/②原始價格與FX!H9)</f>
        <v>1.8974937699736045E-3</v>
      </c>
      <c r="G22" s="25">
        <f t="shared" si="0"/>
        <v>-2.5033987057666126E-2</v>
      </c>
      <c r="H22" s="26">
        <f t="shared" si="1"/>
        <v>-2.1481819485096327E-2</v>
      </c>
      <c r="I22" s="26">
        <f t="shared" si="2"/>
        <v>1.3130396563248865E-2</v>
      </c>
      <c r="J22" s="28">
        <f>G22*①基本設定!$G$5+H22*①基本設定!$G$6+I22*①基本設定!$G$7</f>
        <v>-43696.961616115019</v>
      </c>
    </row>
    <row r="23" spans="1:10" x14ac:dyDescent="0.25">
      <c r="A23" s="3" t="s">
        <v>62</v>
      </c>
      <c r="B23" s="25">
        <f>LN(②原始價格與FX!B11/②原始價格與FX!B10)</f>
        <v>-2.8805536690749887E-2</v>
      </c>
      <c r="C23" s="25">
        <f>LN(②原始價格與FX!C11/②原始價格與FX!C10)</f>
        <v>-1.648859625603585E-2</v>
      </c>
      <c r="D23" s="25">
        <f>LN(②原始價格與FX!D11/②原始價格與FX!D10)</f>
        <v>-4.405558924302549E-3</v>
      </c>
      <c r="E23" s="25">
        <f>LN(②原始價格與FX!G11/②原始價格與FX!G10)</f>
        <v>-1.9172248932068045E-3</v>
      </c>
      <c r="F23" s="25">
        <f>LN(②原始價格與FX!H11/②原始價格與FX!H10)</f>
        <v>6.1735072076118712E-3</v>
      </c>
      <c r="G23" s="25">
        <f t="shared" si="0"/>
        <v>-2.8805536690749887E-2</v>
      </c>
      <c r="H23" s="26">
        <f t="shared" si="1"/>
        <v>-1.8405821149242656E-2</v>
      </c>
      <c r="I23" s="26">
        <f t="shared" si="2"/>
        <v>1.7679482833093223E-3</v>
      </c>
      <c r="J23" s="28">
        <f>G23*①基本設定!$G$5+H23*①基本設定!$G$6+I23*①基本設定!$G$7</f>
        <v>-43858.544191033521</v>
      </c>
    </row>
    <row r="24" spans="1:10" x14ac:dyDescent="0.25">
      <c r="A24" s="3" t="s">
        <v>63</v>
      </c>
      <c r="B24" s="25">
        <f>LN(②原始價格與FX!B12/②原始價格與FX!B11)</f>
        <v>-1.2579213360188666E-2</v>
      </c>
      <c r="C24" s="25">
        <f>LN(②原始價格與FX!C12/②原始價格與FX!C11)</f>
        <v>-7.2593633709553337E-3</v>
      </c>
      <c r="D24" s="25">
        <f>LN(②原始價格與FX!D12/②原始價格與FX!D11)</f>
        <v>-7.9900718134980377E-3</v>
      </c>
      <c r="E24" s="25">
        <f>LN(②原始價格與FX!G12/②原始價格與FX!G11)</f>
        <v>-1.7062543474267557E-3</v>
      </c>
      <c r="F24" s="25">
        <f>LN(②原始價格與FX!H12/②原始價格與FX!H11)</f>
        <v>9.206562417956092E-4</v>
      </c>
      <c r="G24" s="25">
        <f t="shared" si="0"/>
        <v>-1.2579213360188666E-2</v>
      </c>
      <c r="H24" s="26">
        <f t="shared" si="1"/>
        <v>-8.9656177183820886E-3</v>
      </c>
      <c r="I24" s="26">
        <f t="shared" si="2"/>
        <v>-7.0694155717024284E-3</v>
      </c>
      <c r="J24" s="28">
        <f>G24*①基本設定!$G$5+H24*①基本設定!$G$6+I24*①基本設定!$G$7</f>
        <v>-20204.74564848404</v>
      </c>
    </row>
    <row r="25" spans="1:10" x14ac:dyDescent="0.25">
      <c r="A25" s="3" t="s">
        <v>64</v>
      </c>
      <c r="B25" s="25">
        <f>LN(②原始價格與FX!B13/②原始價格與FX!B12)</f>
        <v>9.1672887974188072E-3</v>
      </c>
      <c r="C25" s="25">
        <f>LN(②原始價格與FX!C13/②原始價格與FX!C12)</f>
        <v>-4.4138153013035548E-3</v>
      </c>
      <c r="D25" s="25">
        <f>LN(②原始價格與FX!D13/②原始價格與FX!D12)</f>
        <v>6.6337023776743666E-3</v>
      </c>
      <c r="E25" s="25">
        <f>LN(②原始價格與FX!G13/②原始價格與FX!G12)</f>
        <v>3.648273602396964E-3</v>
      </c>
      <c r="F25" s="25">
        <f>LN(②原始價格與FX!H13/②原始價格與FX!H12)</f>
        <v>-4.2336533380327593E-3</v>
      </c>
      <c r="G25" s="25">
        <f t="shared" si="0"/>
        <v>9.1672887974188072E-3</v>
      </c>
      <c r="H25" s="26">
        <f t="shared" si="1"/>
        <v>-7.6554169890659081E-4</v>
      </c>
      <c r="I25" s="26">
        <f t="shared" si="2"/>
        <v>2.4000490396416073E-3</v>
      </c>
      <c r="J25" s="27">
        <f>G25*①基本設定!$G$5+H25*①基本設定!$G$6+I25*①基本設定!$G$7</f>
        <v>7098.4724803547315</v>
      </c>
    </row>
    <row r="26" spans="1:10" x14ac:dyDescent="0.25">
      <c r="A26" s="3" t="s">
        <v>65</v>
      </c>
      <c r="B26" s="25">
        <f>LN(②原始價格與FX!B14/②原始價格與FX!B13)</f>
        <v>1.9462234056161895E-3</v>
      </c>
      <c r="C26" s="25">
        <f>LN(②原始價格與FX!C14/②原始價格與FX!C13)</f>
        <v>8.2667572540292156E-3</v>
      </c>
      <c r="D26" s="25">
        <f>LN(②原始價格與FX!D14/②原始價格與FX!D13)</f>
        <v>7.1905667904800319E-3</v>
      </c>
      <c r="E26" s="25">
        <f>LN(②原始價格與FX!G14/②原始價格與FX!G13)</f>
        <v>1.737173304145515E-3</v>
      </c>
      <c r="F26" s="25">
        <f>LN(②原始價格與FX!H14/②原始價格與FX!H13)</f>
        <v>-1.0507072225596078E-3</v>
      </c>
      <c r="G26" s="25">
        <f t="shared" si="0"/>
        <v>1.9462234056161895E-3</v>
      </c>
      <c r="H26" s="26">
        <f t="shared" si="1"/>
        <v>1.000393055817473E-2</v>
      </c>
      <c r="I26" s="26">
        <f t="shared" si="2"/>
        <v>6.1398595679204243E-3</v>
      </c>
      <c r="J26" s="27">
        <f>G26*①基本設定!$G$5+H26*①基本設定!$G$6+I26*①基本設定!$G$7</f>
        <v>12148.250505602013</v>
      </c>
    </row>
    <row r="27" spans="1:10" x14ac:dyDescent="0.25">
      <c r="A27" s="3" t="s">
        <v>66</v>
      </c>
      <c r="B27" s="25">
        <f>LN(②原始價格與FX!B15/②原始價格與FX!B14)</f>
        <v>3.3954422429724379E-2</v>
      </c>
      <c r="C27" s="25">
        <f>LN(②原始價格與FX!C15/②原始價格與FX!C14)</f>
        <v>-1.734699844120371E-3</v>
      </c>
      <c r="D27" s="25">
        <f>LN(②原始價格與FX!D15/②原始價格與FX!D14)</f>
        <v>3.0911540123511608E-2</v>
      </c>
      <c r="E27" s="25">
        <f>LN(②原始價格與FX!G15/②原始價格與FX!G14)</f>
        <v>-5.1428507533007387E-3</v>
      </c>
      <c r="F27" s="25">
        <f>LN(②原始價格與FX!H15/②原始價格與FX!H14)</f>
        <v>-2.3997485466483539E-3</v>
      </c>
      <c r="G27" s="25">
        <f t="shared" si="0"/>
        <v>3.3954422429724379E-2</v>
      </c>
      <c r="H27" s="26">
        <f t="shared" si="1"/>
        <v>-6.8775505974211096E-3</v>
      </c>
      <c r="I27" s="26">
        <f t="shared" si="2"/>
        <v>2.8511791576863253E-2</v>
      </c>
      <c r="J27" s="27">
        <f>G27*①基本設定!$G$5+H27*①基本設定!$G$6+I27*①基本設定!$G$7</f>
        <v>22301.809593797694</v>
      </c>
    </row>
    <row r="28" spans="1:10" x14ac:dyDescent="0.25">
      <c r="A28" s="3" t="s">
        <v>67</v>
      </c>
      <c r="B28" s="25">
        <f>LN(②原始價格與FX!B16/②原始價格與FX!B15)</f>
        <v>-7.2637341088239325E-3</v>
      </c>
      <c r="C28" s="25">
        <f>LN(②原始價格與FX!C16/②原始價格與FX!C15)</f>
        <v>-1.7901121238249499E-2</v>
      </c>
      <c r="D28" s="25">
        <f>LN(②原始價格與FX!D16/②原始價格與FX!D15)</f>
        <v>2.1018642801733607E-2</v>
      </c>
      <c r="E28" s="25">
        <f>LN(②原始價格與FX!G16/②原始價格與FX!G15)</f>
        <v>6.2196403803584949E-6</v>
      </c>
      <c r="F28" s="25">
        <f>LN(②原始價格與FX!H16/②原始價格與FX!H15)</f>
        <v>-2.1942788785716521E-3</v>
      </c>
      <c r="G28" s="25">
        <f t="shared" si="0"/>
        <v>-7.2637341088239325E-3</v>
      </c>
      <c r="H28" s="26">
        <f t="shared" si="1"/>
        <v>-1.7894901597869141E-2</v>
      </c>
      <c r="I28" s="26">
        <f t="shared" si="2"/>
        <v>1.8824363923161953E-2</v>
      </c>
      <c r="J28" s="28">
        <f>G28*①基本設定!$G$5+H28*①基本設定!$G$6+I28*①基本設定!$G$7</f>
        <v>-24648.76340110357</v>
      </c>
    </row>
    <row r="29" spans="1:10" x14ac:dyDescent="0.25">
      <c r="A29" s="3" t="s">
        <v>68</v>
      </c>
      <c r="B29" s="25">
        <f>LN(②原始價格與FX!B17/②原始價格與FX!B16)</f>
        <v>-7.9862374998018529E-3</v>
      </c>
      <c r="C29" s="25">
        <f>LN(②原始價格與FX!C17/②原始價格與FX!C16)</f>
        <v>-8.3199769967395205E-3</v>
      </c>
      <c r="D29" s="25">
        <f>LN(②原始價格與FX!D17/②原始價格與FX!D16)</f>
        <v>-3.2258370343291133E-2</v>
      </c>
      <c r="E29" s="25">
        <f>LN(②原始價格與FX!G17/②原始價格與FX!G16)</f>
        <v>2.6274449407564186E-3</v>
      </c>
      <c r="F29" s="25">
        <f>LN(②原始價格與FX!H17/②原始價格與FX!H16)</f>
        <v>-1.4373285078596078E-3</v>
      </c>
      <c r="G29" s="25">
        <f t="shared" si="0"/>
        <v>-7.9862374998018529E-3</v>
      </c>
      <c r="H29" s="26">
        <f t="shared" si="1"/>
        <v>-5.692532055983102E-3</v>
      </c>
      <c r="I29" s="26">
        <f t="shared" si="2"/>
        <v>-3.3695698851150743E-2</v>
      </c>
      <c r="J29" s="28">
        <f>G29*①基本設定!$G$5+H29*①基本設定!$G$6+I29*①基本設定!$G$7</f>
        <v>-13149.80947044586</v>
      </c>
    </row>
    <row r="30" spans="1:10" x14ac:dyDescent="0.25">
      <c r="A30" s="3" t="s">
        <v>69</v>
      </c>
      <c r="B30" s="25">
        <f>LN(②原始價格與FX!B18/②原始價格與FX!B17)</f>
        <v>-4.1161026524356534E-2</v>
      </c>
      <c r="C30" s="25">
        <f>LN(②原始價格與FX!C18/②原始價格與FX!C17)</f>
        <v>2.2276676412031843E-4</v>
      </c>
      <c r="D30" s="25">
        <f>LN(②原始價格與FX!D18/②原始價格與FX!D17)</f>
        <v>-3.1037019818089179E-2</v>
      </c>
      <c r="E30" s="25">
        <f>LN(②原始價格與FX!G18/②原始價格與FX!G17)</f>
        <v>6.1083852662449374E-4</v>
      </c>
      <c r="F30" s="25">
        <f>LN(②原始價格與FX!H18/②原始價格與FX!H17)</f>
        <v>1.9019045905477091E-3</v>
      </c>
      <c r="G30" s="25">
        <f t="shared" si="0"/>
        <v>-4.1161026524356534E-2</v>
      </c>
      <c r="H30" s="26">
        <f t="shared" si="1"/>
        <v>8.3360529074481219E-4</v>
      </c>
      <c r="I30" s="26">
        <f t="shared" si="2"/>
        <v>-2.9135115227541468E-2</v>
      </c>
      <c r="J30" s="28">
        <f>G30*①基本設定!$G$5+H30*①基本設定!$G$6+I30*①基本設定!$G$7</f>
        <v>-34783.71737454948</v>
      </c>
    </row>
    <row r="31" spans="1:10" x14ac:dyDescent="0.25">
      <c r="A31" s="3" t="s">
        <v>70</v>
      </c>
      <c r="B31" s="25">
        <f>LN(②原始價格與FX!B19/②原始價格與FX!B18)</f>
        <v>1.6366297871458112E-2</v>
      </c>
      <c r="C31" s="25">
        <f>LN(②原始價格與FX!C19/②原始價格與FX!C18)</f>
        <v>3.6630127021513928E-2</v>
      </c>
      <c r="D31" s="25">
        <f>LN(②原始價格與FX!D19/②原始價格與FX!D18)</f>
        <v>8.4122190334362384E-3</v>
      </c>
      <c r="E31" s="25">
        <f>LN(②原始價格與FX!G19/②原始價格與FX!G18)</f>
        <v>6.3436363303541483E-3</v>
      </c>
      <c r="F31" s="25">
        <f>LN(②原始價格與FX!H19/②原始價格與FX!H18)</f>
        <v>2.6987155320687996E-3</v>
      </c>
      <c r="G31" s="25">
        <f t="shared" si="0"/>
        <v>1.6366297871458112E-2</v>
      </c>
      <c r="H31" s="26">
        <f t="shared" si="1"/>
        <v>4.2973763351868075E-2</v>
      </c>
      <c r="I31" s="26">
        <f t="shared" si="2"/>
        <v>1.1110934565505038E-2</v>
      </c>
      <c r="J31" s="27">
        <f>G31*①基本設定!$G$5+H31*①基本設定!$G$6+I31*①基本設定!$G$7</f>
        <v>58888.723562220657</v>
      </c>
    </row>
    <row r="32" spans="1:10" x14ac:dyDescent="0.25">
      <c r="A32" s="3" t="s">
        <v>71</v>
      </c>
      <c r="B32" s="25">
        <f>LN(②原始價格與FX!B20/②原始價格與FX!B19)</f>
        <v>-2.1735649573040847E-2</v>
      </c>
      <c r="C32" s="25">
        <f>LN(②原始價格與FX!C20/②原始價格與FX!C19)</f>
        <v>1.394775184540903E-3</v>
      </c>
      <c r="D32" s="25">
        <f>LN(②原始價格與FX!D20/②原始價格與FX!D19)</f>
        <v>1.3266531575502781E-2</v>
      </c>
      <c r="E32" s="25">
        <f>LN(②原始價格與FX!G20/②原始價格與FX!G19)</f>
        <v>-2.2603060880953658E-3</v>
      </c>
      <c r="F32" s="25">
        <f>LN(②原始價格與FX!H20/②原始價格與FX!H19)</f>
        <v>6.2967213335747858E-3</v>
      </c>
      <c r="G32" s="25">
        <f t="shared" si="0"/>
        <v>-2.1735649573040847E-2</v>
      </c>
      <c r="H32" s="26">
        <f t="shared" si="1"/>
        <v>-8.6553090355446279E-4</v>
      </c>
      <c r="I32" s="26">
        <f t="shared" si="2"/>
        <v>1.9563252909077566E-2</v>
      </c>
      <c r="J32" s="28">
        <f>G32*①基本設定!$G$5+H32*①基本設定!$G$6+I32*①基本設定!$G$7</f>
        <v>-19341.700126679534</v>
      </c>
    </row>
    <row r="33" spans="1:10" x14ac:dyDescent="0.25">
      <c r="A33" s="3" t="s">
        <v>72</v>
      </c>
      <c r="B33" s="25">
        <f>LN(②原始價格與FX!B21/②原始價格與FX!B20)</f>
        <v>-4.4290632537478496E-3</v>
      </c>
      <c r="C33" s="25">
        <f>LN(②原始價格與FX!C21/②原始價格與FX!C20)</f>
        <v>-3.7532506271534602E-4</v>
      </c>
      <c r="D33" s="25">
        <f>LN(②原始價格與FX!D21/②原始價格與FX!D20)</f>
        <v>2.7867475177306596E-2</v>
      </c>
      <c r="E33" s="25">
        <f>LN(②原始價格與FX!G21/②原始價格與FX!G20)</f>
        <v>4.6604723352539448E-4</v>
      </c>
      <c r="F33" s="25">
        <f>LN(②原始價格與FX!H21/②原始價格與FX!H20)</f>
        <v>1.0874112322041456E-3</v>
      </c>
      <c r="G33" s="25">
        <f t="shared" si="0"/>
        <v>-4.4290632537478496E-3</v>
      </c>
      <c r="H33" s="26">
        <f t="shared" si="1"/>
        <v>9.0722170810048455E-5</v>
      </c>
      <c r="I33" s="26">
        <f t="shared" si="2"/>
        <v>2.895488640951074E-2</v>
      </c>
      <c r="J33" s="28">
        <f>G33*①基本設定!$G$5+H33*①基本設定!$G$6+I33*①基本設定!$G$7</f>
        <v>-3388.2118145391742</v>
      </c>
    </row>
    <row r="34" spans="1:10" x14ac:dyDescent="0.25">
      <c r="A34" s="3" t="s">
        <v>73</v>
      </c>
      <c r="B34" s="25">
        <f>LN(②原始價格與FX!B22/②原始價格與FX!B21)</f>
        <v>2.6096071580236749E-2</v>
      </c>
      <c r="C34" s="25">
        <f>LN(②原始價格與FX!C22/②原始價格與FX!C21)</f>
        <v>1.9700623875296218E-2</v>
      </c>
      <c r="D34" s="25">
        <f>LN(②原始價格與FX!D22/②原始價格與FX!D21)</f>
        <v>-9.6006931380909991E-3</v>
      </c>
      <c r="E34" s="25">
        <f>LN(②原始價格與FX!G22/②原始價格與FX!G21)</f>
        <v>-3.6136889483972643E-3</v>
      </c>
      <c r="F34" s="25">
        <f>LN(②原始價格與FX!H22/②原始價格與FX!H21)</f>
        <v>-1.2129578834122908E-3</v>
      </c>
      <c r="G34" s="25">
        <f t="shared" si="0"/>
        <v>2.6096071580236749E-2</v>
      </c>
      <c r="H34" s="26">
        <f t="shared" si="1"/>
        <v>1.6086934926898954E-2</v>
      </c>
      <c r="I34" s="26">
        <f t="shared" si="2"/>
        <v>-1.0813651021503289E-2</v>
      </c>
      <c r="J34" s="27">
        <f>G34*①基本設定!$G$5+H34*①基本設定!$G$6+I34*①基本設定!$G$7</f>
        <v>39020.205671221614</v>
      </c>
    </row>
    <row r="35" spans="1:10" x14ac:dyDescent="0.25">
      <c r="A35" s="3" t="s">
        <v>74</v>
      </c>
      <c r="B35" s="25">
        <f>LN(②原始價格與FX!B23/②原始價格與FX!B22)</f>
        <v>-2.7461211211996151E-4</v>
      </c>
      <c r="C35" s="25">
        <f>LN(②原始價格與FX!C23/②原始價格與FX!C22)</f>
        <v>1.0773599316915197E-2</v>
      </c>
      <c r="D35" s="25">
        <f>LN(②原始價格與FX!D23/②原始價格與FX!D22)</f>
        <v>-1.9208561500623472E-3</v>
      </c>
      <c r="E35" s="25">
        <f>LN(②原始價格與FX!G23/②原始價格與FX!G22)</f>
        <v>7.3987512178610743E-4</v>
      </c>
      <c r="F35" s="25">
        <f>LN(②原始價格與FX!H23/②原始價格與FX!H22)</f>
        <v>-6.2132861514314656E-3</v>
      </c>
      <c r="G35" s="25">
        <f t="shared" si="0"/>
        <v>-2.7461211211996151E-4</v>
      </c>
      <c r="H35" s="26">
        <f t="shared" si="1"/>
        <v>1.1513474438701305E-2</v>
      </c>
      <c r="I35" s="26">
        <f t="shared" si="2"/>
        <v>-8.134142301493813E-3</v>
      </c>
      <c r="J35" s="27">
        <f>G35*①基本設定!$G$5+H35*①基本設定!$G$6+I35*①基本設定!$G$7</f>
        <v>11655.577447243233</v>
      </c>
    </row>
    <row r="36" spans="1:10" x14ac:dyDescent="0.25">
      <c r="A36" s="3" t="s">
        <v>75</v>
      </c>
      <c r="B36" s="25">
        <f>LN(②原始價格與FX!B24/②原始價格與FX!B23)</f>
        <v>-1.1393970587053466E-2</v>
      </c>
      <c r="C36" s="25">
        <f>LN(②原始價格與FX!C24/②原始價格與FX!C23)</f>
        <v>-1.5728540665266185E-2</v>
      </c>
      <c r="D36" s="25">
        <f>LN(②原始價格與FX!D24/②原始價格與FX!D23)</f>
        <v>-1.8328689717497629E-2</v>
      </c>
      <c r="E36" s="25">
        <f>LN(②原始價格與FX!G24/②原始價格與FX!G23)</f>
        <v>-1.0620001586422697E-3</v>
      </c>
      <c r="F36" s="25">
        <f>LN(②原始價格與FX!H24/②原始價格與FX!H23)</f>
        <v>8.4221164828374303E-5</v>
      </c>
      <c r="G36" s="25">
        <f t="shared" si="0"/>
        <v>-1.1393970587053466E-2</v>
      </c>
      <c r="H36" s="26">
        <f t="shared" si="1"/>
        <v>-1.6790540823908455E-2</v>
      </c>
      <c r="I36" s="26">
        <f t="shared" si="2"/>
        <v>-1.8244468552669254E-2</v>
      </c>
      <c r="J36" s="28">
        <f>G36*①基本設定!$G$5+H36*①基本設定!$G$6+I36*①基本設定!$G$7</f>
        <v>-27453.138259023093</v>
      </c>
    </row>
    <row r="37" spans="1:10" x14ac:dyDescent="0.25">
      <c r="A37" s="3" t="s">
        <v>76</v>
      </c>
      <c r="B37" s="25">
        <f>LN(②原始價格與FX!B25/②原始價格與FX!B24)</f>
        <v>-1.2632409028371682E-2</v>
      </c>
      <c r="C37" s="25">
        <f>LN(②原始價格與FX!C25/②原始價格與FX!C24)</f>
        <v>-1.0678243148886083E-2</v>
      </c>
      <c r="D37" s="25">
        <f>LN(②原始價格與FX!D25/②原始價格與FX!D24)</f>
        <v>2.0314375269012884E-2</v>
      </c>
      <c r="E37" s="25">
        <f>LN(②原始價格與FX!G25/②原始價格與FX!G24)</f>
        <v>-2.2329468036715928E-3</v>
      </c>
      <c r="F37" s="25">
        <f>LN(②原始價格與FX!H25/②原始價格與FX!H24)</f>
        <v>5.6267207027639052E-3</v>
      </c>
      <c r="G37" s="25">
        <f t="shared" si="0"/>
        <v>-1.2632409028371682E-2</v>
      </c>
      <c r="H37" s="26">
        <f t="shared" si="1"/>
        <v>-1.2911189952557675E-2</v>
      </c>
      <c r="I37" s="26">
        <f t="shared" si="2"/>
        <v>2.5941095971776788E-2</v>
      </c>
      <c r="J37" s="28">
        <f>G37*①基本設定!$G$5+H37*①基本設定!$G$6+I37*①基本設定!$G$7</f>
        <v>-23992.454323437076</v>
      </c>
    </row>
    <row r="38" spans="1:10" x14ac:dyDescent="0.25">
      <c r="A38" s="3" t="s">
        <v>77</v>
      </c>
      <c r="B38" s="25">
        <f>LN(②原始價格與FX!B26/②原始價格與FX!B25)</f>
        <v>-1.5219052327295821E-2</v>
      </c>
      <c r="C38" s="25">
        <f>LN(②原始價格與FX!C26/②原始價格與FX!C25)</f>
        <v>1.1576170054588891E-2</v>
      </c>
      <c r="D38" s="25">
        <f>LN(②原始價格與FX!D26/②原始價格與FX!D25)</f>
        <v>9.2147519163218502E-3</v>
      </c>
      <c r="E38" s="25">
        <f>LN(②原始價格與FX!G26/②原始價格與FX!G25)</f>
        <v>4.9800652961379411E-3</v>
      </c>
      <c r="F38" s="25">
        <f>LN(②原始價格與FX!H26/②原始價格與FX!H25)</f>
        <v>-5.4582996497342974E-3</v>
      </c>
      <c r="G38" s="25">
        <f t="shared" si="0"/>
        <v>-1.5219052327295821E-2</v>
      </c>
      <c r="H38" s="26">
        <f t="shared" si="1"/>
        <v>1.6556235350726832E-2</v>
      </c>
      <c r="I38" s="26">
        <f t="shared" si="2"/>
        <v>3.7564522665875528E-3</v>
      </c>
      <c r="J38" s="27">
        <f>G38*①基本設定!$G$5+H38*①基本設定!$G$6+I38*①基本設定!$G$7</f>
        <v>4206.6691661931554</v>
      </c>
    </row>
    <row r="39" spans="1:10" x14ac:dyDescent="0.25">
      <c r="A39" s="3" t="s">
        <v>78</v>
      </c>
      <c r="B39" s="25">
        <f>LN(②原始價格與FX!B27/②原始價格與FX!B26)</f>
        <v>3.5997543995398727E-3</v>
      </c>
      <c r="C39" s="25">
        <f>LN(②原始價格與FX!C27/②原始價格與FX!C26)</f>
        <v>-1.2751886308021635E-2</v>
      </c>
      <c r="D39" s="25">
        <f>LN(②原始價格與FX!D27/②原始價格與FX!D26)</f>
        <v>-1.1538266529546414E-2</v>
      </c>
      <c r="E39" s="25">
        <f>LN(②原始價格與FX!G27/②原始價格與FX!G26)</f>
        <v>-5.818707490475342E-3</v>
      </c>
      <c r="F39" s="25">
        <f>LN(②原始價格與FX!H27/②原始價格與FX!H26)</f>
        <v>-5.615264591018701E-3</v>
      </c>
      <c r="G39" s="25">
        <f t="shared" si="0"/>
        <v>3.5997543995398727E-3</v>
      </c>
      <c r="H39" s="26">
        <f t="shared" si="1"/>
        <v>-1.8570593798496977E-2</v>
      </c>
      <c r="I39" s="26">
        <f t="shared" si="2"/>
        <v>-1.7153531120565113E-2</v>
      </c>
      <c r="J39" s="28">
        <f>G39*①基本設定!$G$5+H39*①基本設定!$G$6+I39*①基本設定!$G$7</f>
        <v>-16423.725750707486</v>
      </c>
    </row>
    <row r="40" spans="1:10" x14ac:dyDescent="0.25">
      <c r="A40" s="3" t="s">
        <v>79</v>
      </c>
      <c r="B40" s="25">
        <f>LN(②原始價格與FX!B28/②原始價格與FX!B27)</f>
        <v>4.0269686056180622E-2</v>
      </c>
      <c r="C40" s="25">
        <f>LN(②原始價格與FX!C28/②原始價格與FX!C27)</f>
        <v>1.3068609283642141E-2</v>
      </c>
      <c r="D40" s="25">
        <f>LN(②原始價格與FX!D28/②原始價格與FX!D27)</f>
        <v>2.1088875783100987E-2</v>
      </c>
      <c r="E40" s="25">
        <f>LN(②原始價格與FX!G28/②原始價格與FX!G27)</f>
        <v>4.0500323604175841E-3</v>
      </c>
      <c r="F40" s="25">
        <f>LN(②原始價格與FX!H28/②原始價格與FX!H27)</f>
        <v>-4.8383083943459347E-3</v>
      </c>
      <c r="G40" s="25">
        <f t="shared" si="0"/>
        <v>4.0269686056180622E-2</v>
      </c>
      <c r="H40" s="26">
        <f t="shared" si="1"/>
        <v>1.7118641644059726E-2</v>
      </c>
      <c r="I40" s="26">
        <f t="shared" si="2"/>
        <v>1.6250567388755053E-2</v>
      </c>
      <c r="J40" s="27">
        <f>G40*①基本設定!$G$5+H40*①基本設定!$G$6+I40*①基本設定!$G$7</f>
        <v>52557.772457118277</v>
      </c>
    </row>
    <row r="41" spans="1:10" x14ac:dyDescent="0.25">
      <c r="A41" s="3" t="s">
        <v>80</v>
      </c>
      <c r="B41" s="25">
        <f>LN(②原始價格與FX!B29/②原始價格與FX!B28)</f>
        <v>1.4065263559419974E-2</v>
      </c>
      <c r="C41" s="25">
        <f>LN(②原始價格與FX!C29/②原始價格與FX!C28)</f>
        <v>2.2389579160511368E-2</v>
      </c>
      <c r="D41" s="25">
        <f>LN(②原始價格與FX!D29/②原始價格與FX!D28)</f>
        <v>2.3639471113824865E-3</v>
      </c>
      <c r="E41" s="25">
        <f>LN(②原始價格與FX!G29/②原始價格與FX!G28)</f>
        <v>-6.9657828099320147E-4</v>
      </c>
      <c r="F41" s="25">
        <f>LN(②原始價格與FX!H29/②原始價格與FX!H28)</f>
        <v>5.5578090073342386E-3</v>
      </c>
      <c r="G41" s="25">
        <f t="shared" si="0"/>
        <v>1.4065263559419974E-2</v>
      </c>
      <c r="H41" s="26">
        <f t="shared" si="1"/>
        <v>2.1693000879518167E-2</v>
      </c>
      <c r="I41" s="26">
        <f t="shared" si="2"/>
        <v>7.921756118716726E-3</v>
      </c>
      <c r="J41" s="27">
        <f>G41*①基本設定!$G$5+H41*①基本設定!$G$6+I41*①基本設定!$G$7</f>
        <v>34733.775254734282</v>
      </c>
    </row>
    <row r="42" spans="1:10" x14ac:dyDescent="0.25">
      <c r="A42" s="3" t="s">
        <v>81</v>
      </c>
      <c r="B42" s="25">
        <f>LN(②原始價格與FX!B30/②原始價格與FX!B29)</f>
        <v>-1.1403327648616467E-2</v>
      </c>
      <c r="C42" s="25">
        <f>LN(②原始價格與FX!C30/②原始價格與FX!C29)</f>
        <v>-3.6192583843129571E-3</v>
      </c>
      <c r="D42" s="25">
        <f>LN(②原始價格與FX!D30/②原始價格與FX!D29)</f>
        <v>-7.850474258826224E-3</v>
      </c>
      <c r="E42" s="25">
        <f>LN(②原始價格與FX!G30/②原始價格與FX!G29)</f>
        <v>2.088280866873187E-3</v>
      </c>
      <c r="F42" s="25">
        <f>LN(②原始價格與FX!H30/②原始價格與FX!H29)</f>
        <v>3.8848119121479997E-3</v>
      </c>
      <c r="G42" s="25">
        <f t="shared" si="0"/>
        <v>-1.1403327648616467E-2</v>
      </c>
      <c r="H42" s="26">
        <f t="shared" si="1"/>
        <v>-1.5309775174397701E-3</v>
      </c>
      <c r="I42" s="26">
        <f t="shared" si="2"/>
        <v>-3.9656623466782243E-3</v>
      </c>
      <c r="J42" s="28">
        <f>G42*①基本設定!$G$5+H42*①基本設定!$G$6+I42*①基本設定!$G$7</f>
        <v>-11424.759595319467</v>
      </c>
    </row>
    <row r="43" spans="1:10" x14ac:dyDescent="0.25">
      <c r="A43" s="3" t="s">
        <v>82</v>
      </c>
      <c r="B43" s="25">
        <f>LN(②原始價格與FX!B31/②原始價格與FX!B30)</f>
        <v>1.6612547964738229E-2</v>
      </c>
      <c r="C43" s="25">
        <f>LN(②原始價格與FX!C31/②原始價格與FX!C30)</f>
        <v>8.2534255778785436E-3</v>
      </c>
      <c r="D43" s="25">
        <f>LN(②原始價格與FX!D31/②原始價格與FX!D30)</f>
        <v>9.8668468675079703E-3</v>
      </c>
      <c r="E43" s="25">
        <f>LN(②原始價格與FX!G31/②原始價格與FX!G30)</f>
        <v>2.8119790491999127E-4</v>
      </c>
      <c r="F43" s="25">
        <f>LN(②原始價格與FX!H31/②原始價格與FX!H30)</f>
        <v>9.0202201664051369E-3</v>
      </c>
      <c r="G43" s="25">
        <f t="shared" si="0"/>
        <v>1.6612547964738229E-2</v>
      </c>
      <c r="H43" s="26">
        <f t="shared" si="1"/>
        <v>8.5346234827985354E-3</v>
      </c>
      <c r="I43" s="26">
        <f t="shared" si="2"/>
        <v>1.8887067033913109E-2</v>
      </c>
      <c r="J43" s="27">
        <f>G43*①基本設定!$G$5+H43*①基本設定!$G$6+I43*①基本設定!$G$7</f>
        <v>23348.432786209738</v>
      </c>
    </row>
    <row r="44" spans="1:10" x14ac:dyDescent="0.25">
      <c r="A44" s="3" t="s">
        <v>83</v>
      </c>
      <c r="B44" s="25">
        <f>LN(②原始價格與FX!B32/②原始價格與FX!B31)</f>
        <v>3.6971711108853304E-3</v>
      </c>
      <c r="C44" s="25">
        <f>LN(②原始價格與FX!C32/②原始價格與FX!C31)</f>
        <v>2.2552764071803066E-2</v>
      </c>
      <c r="D44" s="25">
        <f>LN(②原始價格與FX!D32/②原始價格與FX!D31)</f>
        <v>-5.7555029761942288E-3</v>
      </c>
      <c r="E44" s="25">
        <f>LN(②原始價格與FX!G32/②原始價格與FX!G31)</f>
        <v>-1.3077777529026996E-3</v>
      </c>
      <c r="F44" s="25">
        <f>LN(②原始價格與FX!H32/②原始價格與FX!H31)</f>
        <v>-4.8146457955405633E-3</v>
      </c>
      <c r="G44" s="25">
        <f t="shared" si="0"/>
        <v>3.6971711108853304E-3</v>
      </c>
      <c r="H44" s="26">
        <f t="shared" si="1"/>
        <v>2.1244986318900368E-2</v>
      </c>
      <c r="I44" s="26">
        <f t="shared" si="2"/>
        <v>-1.0570148771734792E-2</v>
      </c>
      <c r="J44" s="27">
        <f>G44*①基本設定!$G$5+H44*①基本設定!$G$6+I44*①基本設定!$G$7</f>
        <v>25164.479470611743</v>
      </c>
    </row>
    <row r="45" spans="1:10" x14ac:dyDescent="0.25">
      <c r="A45" s="3" t="s">
        <v>84</v>
      </c>
      <c r="B45" s="25">
        <f>LN(②原始價格與FX!B33/②原始價格與FX!B32)</f>
        <v>-8.7716182668778429E-3</v>
      </c>
      <c r="C45" s="25">
        <f>LN(②原始價格與FX!C33/②原始價格與FX!C32)</f>
        <v>1.332122375643607E-2</v>
      </c>
      <c r="D45" s="25">
        <f>LN(②原始價格與FX!D33/②原始價格與FX!D32)</f>
        <v>-4.9705907741975073E-4</v>
      </c>
      <c r="E45" s="25">
        <f>LN(②原始價格與FX!G33/②原始價格與FX!G32)</f>
        <v>3.6498947194064723E-4</v>
      </c>
      <c r="F45" s="25">
        <f>LN(②原始價格與FX!H33/②原始價格與FX!H32)</f>
        <v>1.1433464838759112E-2</v>
      </c>
      <c r="G45" s="25">
        <f t="shared" si="0"/>
        <v>-8.7716182668778429E-3</v>
      </c>
      <c r="H45" s="26">
        <f t="shared" si="1"/>
        <v>1.3686213228376718E-2</v>
      </c>
      <c r="I45" s="26">
        <f t="shared" si="2"/>
        <v>1.0936405761339361E-2</v>
      </c>
      <c r="J45" s="27">
        <f>G45*①基本設定!$G$5+H45*①基本設定!$G$6+I45*①基本設定!$G$7</f>
        <v>6833.3262947220937</v>
      </c>
    </row>
    <row r="46" spans="1:10" x14ac:dyDescent="0.25">
      <c r="A46" s="3" t="s">
        <v>85</v>
      </c>
      <c r="B46" s="25">
        <f>LN(②原始價格與FX!B34/②原始價格與FX!B33)</f>
        <v>8.0199080909108007E-3</v>
      </c>
      <c r="C46" s="25">
        <f>LN(②原始價格與FX!C34/②原始價格與FX!C33)</f>
        <v>-9.8616199147291729E-3</v>
      </c>
      <c r="D46" s="25">
        <f>LN(②原始價格與FX!D34/②原始價格與FX!D33)</f>
        <v>-1.2748353869026698E-5</v>
      </c>
      <c r="E46" s="25">
        <f>LN(②原始價格與FX!G34/②原始價格與FX!G33)</f>
        <v>4.815881633153535E-3</v>
      </c>
      <c r="F46" s="25">
        <f>LN(②原始價格與FX!H34/②原始價格與FX!H33)</f>
        <v>-1.037796643508309E-3</v>
      </c>
      <c r="G46" s="25">
        <f t="shared" si="0"/>
        <v>8.0199080909108007E-3</v>
      </c>
      <c r="H46" s="26">
        <f t="shared" si="1"/>
        <v>-5.0457382815756379E-3</v>
      </c>
      <c r="I46" s="26">
        <f t="shared" si="2"/>
        <v>-1.0505449973773357E-3</v>
      </c>
      <c r="J46" s="27">
        <f>G46*①基本設定!$G$5+H46*①基本設定!$G$6+I46*①基本設定!$G$7</f>
        <v>1621.6427959019454</v>
      </c>
    </row>
    <row r="47" spans="1:10" x14ac:dyDescent="0.25">
      <c r="A47" s="3" t="s">
        <v>86</v>
      </c>
      <c r="B47" s="25">
        <f>LN(②原始價格與FX!B35/②原始價格與FX!B34)</f>
        <v>9.447055706364442E-3</v>
      </c>
      <c r="C47" s="25">
        <f>LN(②原始價格與FX!C35/②原始價格與FX!C34)</f>
        <v>-1.9764588077740893E-2</v>
      </c>
      <c r="D47" s="25">
        <f>LN(②原始價格與FX!D35/②原始價格與FX!D34)</f>
        <v>-1.7152682216237693E-2</v>
      </c>
      <c r="E47" s="25">
        <f>LN(②原始價格與FX!G35/②原始價格與FX!G34)</f>
        <v>-4.8468077784282904E-3</v>
      </c>
      <c r="F47" s="25">
        <f>LN(②原始價格與FX!H35/②原始價格與FX!H34)</f>
        <v>2.4916943650505686E-4</v>
      </c>
      <c r="G47" s="25">
        <f t="shared" si="0"/>
        <v>9.447055706364442E-3</v>
      </c>
      <c r="H47" s="26">
        <f t="shared" si="1"/>
        <v>-2.4611395856169185E-2</v>
      </c>
      <c r="I47" s="26">
        <f t="shared" si="2"/>
        <v>-1.6903512779732635E-2</v>
      </c>
      <c r="J47" s="28">
        <f>G47*①基本設定!$G$5+H47*①基本設定!$G$6+I47*①基本設定!$G$7</f>
        <v>-17688.051025340039</v>
      </c>
    </row>
    <row r="48" spans="1:10" x14ac:dyDescent="0.25">
      <c r="A48" s="3" t="s">
        <v>87</v>
      </c>
      <c r="B48" s="25">
        <f>LN(②原始價格與FX!B36/②原始價格與FX!B35)</f>
        <v>9.2602408312584643E-3</v>
      </c>
      <c r="C48" s="25">
        <f>LN(②原始價格與FX!C36/②原始價格與FX!C35)</f>
        <v>4.1597678896448567E-2</v>
      </c>
      <c r="D48" s="25">
        <f>LN(②原始價格與FX!D36/②原始價格與FX!D35)</f>
        <v>2.0576144526059399E-2</v>
      </c>
      <c r="E48" s="25">
        <f>LN(②原始價格與FX!G36/②原始價格與FX!G35)</f>
        <v>1.5760152334586132E-3</v>
      </c>
      <c r="F48" s="25">
        <f>LN(②原始價格與FX!H36/②原始價格與FX!H35)</f>
        <v>2.5297046272961341E-3</v>
      </c>
      <c r="G48" s="25">
        <f t="shared" si="0"/>
        <v>9.2602408312584643E-3</v>
      </c>
      <c r="H48" s="26">
        <f t="shared" si="1"/>
        <v>4.3173694129907181E-2</v>
      </c>
      <c r="I48" s="26">
        <f t="shared" si="2"/>
        <v>2.3105849153355534E-2</v>
      </c>
      <c r="J48" s="27">
        <f>G48*①基本設定!$G$5+H48*①基本設定!$G$6+I48*①基本設定!$G$7</f>
        <v>53129.518298961346</v>
      </c>
    </row>
    <row r="49" spans="1:10" x14ac:dyDescent="0.25">
      <c r="A49" s="3" t="s">
        <v>88</v>
      </c>
      <c r="B49" s="25">
        <f>LN(②原始價格與FX!B37/②原始價格與FX!B36)</f>
        <v>-3.7729968705200778E-4</v>
      </c>
      <c r="C49" s="25">
        <f>LN(②原始價格與FX!C37/②原始價格與FX!C36)</f>
        <v>-1.4104884429287865E-2</v>
      </c>
      <c r="D49" s="25">
        <f>LN(②原始價格與FX!D37/②原始價格與FX!D36)</f>
        <v>5.5366707379750123E-3</v>
      </c>
      <c r="E49" s="25">
        <f>LN(②原始價格與FX!G37/②原始價格與FX!G36)</f>
        <v>-3.026494200187548E-4</v>
      </c>
      <c r="F49" s="25">
        <f>LN(②原始價格與FX!H37/②原始價格與FX!H36)</f>
        <v>-4.1088272958670225E-3</v>
      </c>
      <c r="G49" s="25">
        <f t="shared" si="0"/>
        <v>-3.7729968705200778E-4</v>
      </c>
      <c r="H49" s="26">
        <f t="shared" si="1"/>
        <v>-1.440753384930662E-2</v>
      </c>
      <c r="I49" s="26">
        <f t="shared" si="2"/>
        <v>1.4278434421079898E-3</v>
      </c>
      <c r="J49" s="28">
        <f>G49*①基本設定!$G$5+H49*①基本設定!$G$6+I49*①基本設定!$G$7</f>
        <v>-15300.584750393693</v>
      </c>
    </row>
    <row r="50" spans="1:10" x14ac:dyDescent="0.25">
      <c r="A50" s="3" t="s">
        <v>89</v>
      </c>
      <c r="B50" s="25">
        <f>LN(②原始價格與FX!B38/②原始價格與FX!B37)</f>
        <v>-4.9233262913850245E-2</v>
      </c>
      <c r="C50" s="25">
        <f>LN(②原始價格與FX!C38/②原始價格與FX!C37)</f>
        <v>-1.3651918490576957E-2</v>
      </c>
      <c r="D50" s="25">
        <f>LN(②原始價格與FX!D38/②原始價格與FX!D37)</f>
        <v>-1.7589706215627322E-2</v>
      </c>
      <c r="E50" s="25">
        <f>LN(②原始價格與FX!G38/②原始價格與FX!G37)</f>
        <v>-1.5950544340047415E-3</v>
      </c>
      <c r="F50" s="25">
        <f>LN(②原始價格與FX!H38/②原始價格與FX!H37)</f>
        <v>1.6621653525581599E-3</v>
      </c>
      <c r="G50" s="25">
        <f t="shared" si="0"/>
        <v>-4.9233262913850245E-2</v>
      </c>
      <c r="H50" s="26">
        <f t="shared" si="1"/>
        <v>-1.5246972924581699E-2</v>
      </c>
      <c r="I50" s="26">
        <f t="shared" si="2"/>
        <v>-1.5927540863069162E-2</v>
      </c>
      <c r="J50" s="28">
        <f>G50*①基本設定!$G$5+H50*①基本設定!$G$6+I50*①基本設定!$G$7</f>
        <v>-58300.353313050306</v>
      </c>
    </row>
    <row r="51" spans="1:10" x14ac:dyDescent="0.25">
      <c r="A51" s="3" t="s">
        <v>90</v>
      </c>
      <c r="B51" s="25">
        <f>LN(②原始價格與FX!B39/②原始價格與FX!B38)</f>
        <v>-9.5943101271406452E-3</v>
      </c>
      <c r="C51" s="25">
        <f>LN(②原始價格與FX!C39/②原始價格與FX!C38)</f>
        <v>3.7697436380177127E-2</v>
      </c>
      <c r="D51" s="25">
        <f>LN(②原始價格與FX!D39/②原始價格與FX!D38)</f>
        <v>-4.5660062202999188E-2</v>
      </c>
      <c r="E51" s="25">
        <f>LN(②原始價格與FX!G39/②原始價格與FX!G38)</f>
        <v>4.2385960345400261E-3</v>
      </c>
      <c r="F51" s="25">
        <f>LN(②原始價格與FX!H39/②原始價格與FX!H38)</f>
        <v>4.2260586595259343E-3</v>
      </c>
      <c r="G51" s="25">
        <f t="shared" si="0"/>
        <v>-9.5943101271406452E-3</v>
      </c>
      <c r="H51" s="26">
        <f t="shared" si="1"/>
        <v>4.1936032414717155E-2</v>
      </c>
      <c r="I51" s="26">
        <f t="shared" si="2"/>
        <v>-4.1434003543473256E-2</v>
      </c>
      <c r="J51" s="27">
        <f>G51*①基本設定!$G$5+H51*①基本設定!$G$6+I51*①基本設定!$G$7</f>
        <v>34946.893389150369</v>
      </c>
    </row>
    <row r="52" spans="1:10" x14ac:dyDescent="0.25">
      <c r="A52" s="3" t="s">
        <v>91</v>
      </c>
      <c r="B52" s="25">
        <f>LN(②原始價格與FX!B40/②原始價格與FX!B39)</f>
        <v>3.6536671915676175E-4</v>
      </c>
      <c r="C52" s="25">
        <f>LN(②原始價格與FX!C40/②原始價格與FX!C39)</f>
        <v>1.7924190338392534E-3</v>
      </c>
      <c r="D52" s="25">
        <f>LN(②原始價格與FX!D40/②原始價格與FX!D39)</f>
        <v>1.0683547629362014E-2</v>
      </c>
      <c r="E52" s="25">
        <f>LN(②原始價格與FX!G40/②原始價格與FX!G39)</f>
        <v>-7.2111387478545361E-4</v>
      </c>
      <c r="F52" s="25">
        <f>LN(②原始價格與FX!H40/②原始價格與FX!H39)</f>
        <v>-8.6861213659348668E-4</v>
      </c>
      <c r="G52" s="25">
        <f t="shared" si="0"/>
        <v>3.6536671915676175E-4</v>
      </c>
      <c r="H52" s="26">
        <f t="shared" si="1"/>
        <v>1.0713051590537999E-3</v>
      </c>
      <c r="I52" s="26">
        <f t="shared" si="2"/>
        <v>9.8149354927685277E-3</v>
      </c>
      <c r="J52" s="27">
        <f>G52*①基本設定!$G$5+H52*①基本設定!$G$6+I52*①基本設定!$G$7</f>
        <v>1536.5489061865637</v>
      </c>
    </row>
    <row r="53" spans="1:10" x14ac:dyDescent="0.25">
      <c r="A53" s="3" t="s">
        <v>92</v>
      </c>
      <c r="B53" s="25">
        <f>LN(②原始價格與FX!B41/②原始價格與FX!B40)</f>
        <v>-3.1237633411959693E-2</v>
      </c>
      <c r="C53" s="25">
        <f>LN(②原始價格與FX!C41/②原始價格與FX!C40)</f>
        <v>-1.5953503377701638E-2</v>
      </c>
      <c r="D53" s="25">
        <f>LN(②原始價格與FX!D41/②原始價格與FX!D40)</f>
        <v>-3.9937938364492317E-2</v>
      </c>
      <c r="E53" s="25">
        <f>LN(②原始價格與FX!G41/②原始價格與FX!G40)</f>
        <v>3.5973088239608319E-3</v>
      </c>
      <c r="F53" s="25">
        <f>LN(②原始價格與FX!H41/②原始價格與FX!H40)</f>
        <v>4.3767360010599715E-3</v>
      </c>
      <c r="G53" s="25">
        <f t="shared" si="0"/>
        <v>-3.1237633411959693E-2</v>
      </c>
      <c r="H53" s="26">
        <f t="shared" si="1"/>
        <v>-1.2356194553740806E-2</v>
      </c>
      <c r="I53" s="26">
        <f t="shared" si="2"/>
        <v>-3.5561202363432347E-2</v>
      </c>
      <c r="J53" s="28">
        <f>G53*①基本設定!$G$5+H53*①基本設定!$G$6+I53*①基本設定!$G$7</f>
        <v>-40062.167286889904</v>
      </c>
    </row>
    <row r="54" spans="1:10" x14ac:dyDescent="0.25">
      <c r="A54" s="3" t="s">
        <v>93</v>
      </c>
      <c r="B54" s="25">
        <f>LN(②原始價格與FX!B42/②原始價格與FX!B41)</f>
        <v>-1.7603740849258841E-3</v>
      </c>
      <c r="C54" s="25">
        <f>LN(②原始價格與FX!C42/②原始價格與FX!C41)</f>
        <v>3.3385734073578459E-3</v>
      </c>
      <c r="D54" s="25">
        <f>LN(②原始價格與FX!D42/②原始價格與FX!D41)</f>
        <v>4.2595627827164226E-3</v>
      </c>
      <c r="E54" s="25">
        <f>LN(②原始價格與FX!G42/②原始價格與FX!G41)</f>
        <v>1.5224160240403623E-3</v>
      </c>
      <c r="F54" s="25">
        <f>LN(②原始價格與FX!H42/②原始價格與FX!H41)</f>
        <v>-9.0636937090684145E-3</v>
      </c>
      <c r="G54" s="25">
        <f t="shared" si="0"/>
        <v>-1.7603740849258841E-3</v>
      </c>
      <c r="H54" s="26">
        <f t="shared" si="1"/>
        <v>4.8609894313982084E-3</v>
      </c>
      <c r="I54" s="26">
        <f t="shared" si="2"/>
        <v>-4.8041309263519918E-3</v>
      </c>
      <c r="J54" s="27">
        <f>G54*①基本設定!$G$5+H54*①基本設定!$G$6+I54*①基本設定!$G$7</f>
        <v>3494.4093347217149</v>
      </c>
    </row>
    <row r="55" spans="1:10" x14ac:dyDescent="0.25">
      <c r="A55" s="3" t="s">
        <v>94</v>
      </c>
      <c r="B55" s="25">
        <f>LN(②原始價格與FX!B43/②原始價格與FX!B42)</f>
        <v>-3.1512536544302306E-3</v>
      </c>
      <c r="C55" s="25">
        <f>LN(②原始價格與FX!C43/②原始價格與FX!C42)</f>
        <v>2.8388252631532289E-3</v>
      </c>
      <c r="D55" s="25">
        <f>LN(②原始價格與FX!D43/②原始價格與FX!D42)</f>
        <v>4.1865266204497717E-3</v>
      </c>
      <c r="E55" s="25">
        <f>LN(②原始價格與FX!G43/②原始價格與FX!G42)</f>
        <v>-4.1953138630310034E-3</v>
      </c>
      <c r="F55" s="25">
        <f>LN(②原始價格與FX!H43/②原始價格與FX!H42)</f>
        <v>2.9889183279416154E-3</v>
      </c>
      <c r="G55" s="25">
        <f t="shared" si="0"/>
        <v>-3.1512536544302306E-3</v>
      </c>
      <c r="H55" s="26">
        <f t="shared" si="1"/>
        <v>-1.3564885998777745E-3</v>
      </c>
      <c r="I55" s="26">
        <f t="shared" si="2"/>
        <v>7.1754449483913876E-3</v>
      </c>
      <c r="J55" s="28">
        <f>G55*①基本設定!$G$5+H55*①基本設定!$G$6+I55*①基本設定!$G$7</f>
        <v>-4037.3486898464798</v>
      </c>
    </row>
    <row r="56" spans="1:10" x14ac:dyDescent="0.25">
      <c r="A56" s="3" t="s">
        <v>95</v>
      </c>
      <c r="B56" s="25">
        <f>LN(②原始價格與FX!B44/②原始價格與FX!B43)</f>
        <v>8.905865592809481E-3</v>
      </c>
      <c r="C56" s="25">
        <f>LN(②原始價格與FX!C44/②原始價格與FX!C43)</f>
        <v>3.3180473498002762E-3</v>
      </c>
      <c r="D56" s="25">
        <f>LN(②原始價格與FX!D44/②原始價格與FX!D43)</f>
        <v>-3.5387813044658711E-2</v>
      </c>
      <c r="E56" s="25">
        <f>LN(②原始價格與FX!G44/②原始價格與FX!G43)</f>
        <v>3.4589503607493021E-3</v>
      </c>
      <c r="F56" s="25">
        <f>LN(②原始價格與FX!H44/②原始價格與FX!H43)</f>
        <v>1.9049202381190354E-3</v>
      </c>
      <c r="G56" s="25">
        <f t="shared" si="0"/>
        <v>8.905865592809481E-3</v>
      </c>
      <c r="H56" s="26">
        <f t="shared" si="1"/>
        <v>6.7769977105495783E-3</v>
      </c>
      <c r="I56" s="26">
        <f t="shared" si="2"/>
        <v>-3.3482892806539676E-2</v>
      </c>
      <c r="J56" s="27">
        <f>G56*①基本設定!$G$5+H56*①基本設定!$G$6+I56*①基本設定!$G$7</f>
        <v>14327.483200589817</v>
      </c>
    </row>
    <row r="57" spans="1:10" x14ac:dyDescent="0.25">
      <c r="A57" s="3" t="s">
        <v>96</v>
      </c>
      <c r="B57" s="25">
        <f>LN(②原始價格與FX!B45/②原始價格與FX!B44)</f>
        <v>-1.5492455704910993E-2</v>
      </c>
      <c r="C57" s="25">
        <f>LN(②原始價格與FX!C45/②原始價格與FX!C44)</f>
        <v>2.238334835557671E-3</v>
      </c>
      <c r="D57" s="25">
        <f>LN(②原始價格與FX!D45/②原始價格與FX!D44)</f>
        <v>-2.1049774043710872E-2</v>
      </c>
      <c r="E57" s="25">
        <f>LN(②原始價格與FX!G45/②原始價格與FX!G44)</f>
        <v>3.4984027386564845E-4</v>
      </c>
      <c r="F57" s="25">
        <f>LN(②原始價格與FX!H45/②原始價格與FX!H44)</f>
        <v>-4.1372747776974364E-5</v>
      </c>
      <c r="G57" s="25">
        <f t="shared" si="0"/>
        <v>-1.5492455704910993E-2</v>
      </c>
      <c r="H57" s="26">
        <f t="shared" si="1"/>
        <v>2.5881751094233196E-3</v>
      </c>
      <c r="I57" s="26">
        <f t="shared" si="2"/>
        <v>-2.1091146791487846E-2</v>
      </c>
      <c r="J57" s="28">
        <f>G57*①基本設定!$G$5+H57*①基本設定!$G$6+I57*①基本設定!$G$7</f>
        <v>-10836.924254411118</v>
      </c>
    </row>
    <row r="58" spans="1:10" x14ac:dyDescent="0.25">
      <c r="A58" s="3" t="s">
        <v>97</v>
      </c>
      <c r="B58" s="25">
        <f>LN(②原始價格與FX!B46/②原始價格與FX!B45)</f>
        <v>-1.518312592138845E-2</v>
      </c>
      <c r="C58" s="25">
        <f>LN(②原始價格與FX!C46/②原始價格與FX!C45)</f>
        <v>-1.6539382084261064E-3</v>
      </c>
      <c r="D58" s="25">
        <f>LN(②原始價格與FX!D46/②原始價格與FX!D45)</f>
        <v>-3.4520713916304474E-3</v>
      </c>
      <c r="E58" s="25">
        <f>LN(②原始價格與FX!G46/②原始價格與FX!G45)</f>
        <v>1.1346040069687901E-3</v>
      </c>
      <c r="F58" s="25">
        <f>LN(②原始價格與FX!H46/②原始價格與FX!H45)</f>
        <v>-5.7675311845233343E-3</v>
      </c>
      <c r="G58" s="25">
        <f t="shared" si="0"/>
        <v>-1.518312592138845E-2</v>
      </c>
      <c r="H58" s="26">
        <f t="shared" si="1"/>
        <v>-5.1933420145731631E-4</v>
      </c>
      <c r="I58" s="26">
        <f t="shared" si="2"/>
        <v>-9.2196025761537813E-3</v>
      </c>
      <c r="J58" s="28">
        <f>G58*①基本設定!$G$5+H58*①基本設定!$G$6+I58*①基本設定!$G$7</f>
        <v>-13674.284535250907</v>
      </c>
    </row>
    <row r="59" spans="1:10" x14ac:dyDescent="0.25">
      <c r="A59" s="3" t="s">
        <v>98</v>
      </c>
      <c r="B59" s="25">
        <f>LN(②原始價格與FX!B47/②原始價格與FX!B46)</f>
        <v>1.8680868643041533E-2</v>
      </c>
      <c r="C59" s="25">
        <f>LN(②原始價格與FX!C47/②原始價格與FX!C46)</f>
        <v>1.4308055382532893E-2</v>
      </c>
      <c r="D59" s="25">
        <f>LN(②原始價格與FX!D47/②原始價格與FX!D46)</f>
        <v>-2.8200107818155424E-3</v>
      </c>
      <c r="E59" s="25">
        <f>LN(②原始價格與FX!G47/②原始價格與FX!G46)</f>
        <v>-2.0954238166757721E-3</v>
      </c>
      <c r="F59" s="25">
        <f>LN(②原始價格與FX!H47/②原始價格與FX!H46)</f>
        <v>2.3276123397883435E-3</v>
      </c>
      <c r="G59" s="25">
        <f t="shared" si="0"/>
        <v>1.8680868643041533E-2</v>
      </c>
      <c r="H59" s="26">
        <f t="shared" si="1"/>
        <v>1.221263156585712E-2</v>
      </c>
      <c r="I59" s="26">
        <f t="shared" si="2"/>
        <v>-4.9239844202719893E-4</v>
      </c>
      <c r="J59" s="27">
        <f>G59*①基本設定!$G$5+H59*①基本設定!$G$6+I59*①基本設定!$G$7</f>
        <v>28737.563739833367</v>
      </c>
    </row>
    <row r="60" spans="1:10" x14ac:dyDescent="0.25">
      <c r="A60" s="3" t="s">
        <v>99</v>
      </c>
      <c r="B60" s="25">
        <f>LN(②原始價格與FX!B48/②原始價格與FX!B47)</f>
        <v>3.0888473904485425E-3</v>
      </c>
      <c r="C60" s="25">
        <f>LN(②原始價格與FX!C48/②原始價格與FX!C47)</f>
        <v>-4.7773211677079749E-2</v>
      </c>
      <c r="D60" s="25">
        <f>LN(②原始價格與FX!D48/②原始價格與FX!D47)</f>
        <v>-2.6390276267306861E-2</v>
      </c>
      <c r="E60" s="25">
        <f>LN(②原始價格與FX!G48/②原始價格與FX!G47)</f>
        <v>-8.787454784674498E-4</v>
      </c>
      <c r="F60" s="25">
        <f>LN(②原始價格與FX!H48/②原始價格與FX!H47)</f>
        <v>-6.6447944635213206E-4</v>
      </c>
      <c r="G60" s="25">
        <f t="shared" si="0"/>
        <v>3.0888473904485425E-3</v>
      </c>
      <c r="H60" s="26">
        <f t="shared" si="1"/>
        <v>-4.8651957155547196E-2</v>
      </c>
      <c r="I60" s="26">
        <f t="shared" si="2"/>
        <v>-2.7054755713658993E-2</v>
      </c>
      <c r="J60" s="28">
        <f>G60*①基本設定!$G$5+H60*①基本設定!$G$6+I60*①基本設定!$G$7</f>
        <v>-48273.98599344075</v>
      </c>
    </row>
    <row r="61" spans="1:10" x14ac:dyDescent="0.25">
      <c r="A61" s="3" t="s">
        <v>100</v>
      </c>
      <c r="B61" s="25">
        <f>LN(②原始價格與FX!B49/②原始價格與FX!B48)</f>
        <v>-2.1485388276476216E-3</v>
      </c>
      <c r="C61" s="25">
        <f>LN(②原始價格與FX!C49/②原始價格與FX!C48)</f>
        <v>-4.1107308409424448E-2</v>
      </c>
      <c r="D61" s="25">
        <f>LN(②原始價格與FX!D49/②原始價格與FX!D48)</f>
        <v>-1.5701857168974206E-2</v>
      </c>
      <c r="E61" s="25">
        <f>LN(②原始價格與FX!G49/②原始價格與FX!G48)</f>
        <v>-9.8369222808800496E-5</v>
      </c>
      <c r="F61" s="25">
        <f>LN(②原始價格與FX!H49/②原始價格與FX!H48)</f>
        <v>1.4529757418473295E-3</v>
      </c>
      <c r="G61" s="25">
        <f t="shared" si="0"/>
        <v>-2.1485388276476216E-3</v>
      </c>
      <c r="H61" s="26">
        <f t="shared" si="1"/>
        <v>-4.1205677632233248E-2</v>
      </c>
      <c r="I61" s="26">
        <f t="shared" si="2"/>
        <v>-1.4248881427126877E-2</v>
      </c>
      <c r="J61" s="28">
        <f>G61*①基本設定!$G$5+H61*①基本設定!$G$6+I61*①基本設定!$G$7</f>
        <v>-44879.757931311426</v>
      </c>
    </row>
    <row r="62" spans="1:10" x14ac:dyDescent="0.25">
      <c r="A62" s="3" t="s">
        <v>101</v>
      </c>
      <c r="B62" s="25">
        <f>LN(②原始價格與FX!B50/②原始價格與FX!B49)</f>
        <v>5.8390117057262126E-3</v>
      </c>
      <c r="C62" s="25">
        <f>LN(②原始價格與FX!C50/②原始價格與FX!C49)</f>
        <v>1.9839653591024492E-2</v>
      </c>
      <c r="D62" s="25">
        <f>LN(②原始價格與FX!D50/②原始價格與FX!D49)</f>
        <v>1.4078016429649771E-2</v>
      </c>
      <c r="E62" s="25">
        <f>LN(②原始價格與FX!G50/②原始價格與FX!G49)</f>
        <v>-1.6398868369007864E-3</v>
      </c>
      <c r="F62" s="25">
        <f>LN(②原始價格與FX!H50/②原始價格與FX!H49)</f>
        <v>-4.323611956902256E-3</v>
      </c>
      <c r="G62" s="25">
        <f t="shared" si="0"/>
        <v>5.8390117057262126E-3</v>
      </c>
      <c r="H62" s="26">
        <f t="shared" si="1"/>
        <v>1.8199766754123707E-2</v>
      </c>
      <c r="I62" s="26">
        <f t="shared" si="2"/>
        <v>9.754404472747516E-3</v>
      </c>
      <c r="J62" s="27">
        <f>G62*①基本設定!$G$5+H62*①基本設定!$G$6+I62*①基本設定!$G$7</f>
        <v>24057.99042054814</v>
      </c>
    </row>
    <row r="63" spans="1:10" x14ac:dyDescent="0.25">
      <c r="A63" s="3" t="s">
        <v>102</v>
      </c>
      <c r="B63" s="25">
        <f>LN(②原始價格與FX!B51/②原始價格與FX!B50)</f>
        <v>3.8476791017849371E-2</v>
      </c>
      <c r="C63" s="25">
        <f>LN(②原始價格與FX!C51/②原始價格與FX!C50)</f>
        <v>3.7100174324113055E-2</v>
      </c>
      <c r="D63" s="25">
        <f>LN(②原始價格與FX!D51/②原始價格與FX!D50)</f>
        <v>-2.017046260161948E-2</v>
      </c>
      <c r="E63" s="25">
        <f>LN(②原始價格與FX!G51/②原始價格與FX!G50)</f>
        <v>9.2642043642677478E-4</v>
      </c>
      <c r="F63" s="25">
        <f>LN(②原始價格與FX!H51/②原始價格與FX!H50)</f>
        <v>-6.8981648566570014E-3</v>
      </c>
      <c r="G63" s="25">
        <f t="shared" si="0"/>
        <v>3.8476791017849371E-2</v>
      </c>
      <c r="H63" s="26">
        <f t="shared" si="1"/>
        <v>3.8026594760539829E-2</v>
      </c>
      <c r="I63" s="26">
        <f t="shared" si="2"/>
        <v>-2.7068627458276481E-2</v>
      </c>
      <c r="J63" s="27">
        <f>G63*①基本設定!$G$5+H63*①基本設定!$G$6+I63*①基本設定!$G$7</f>
        <v>72298.36314614852</v>
      </c>
    </row>
    <row r="64" spans="1:10" x14ac:dyDescent="0.25">
      <c r="A64" s="3" t="s">
        <v>103</v>
      </c>
      <c r="B64" s="25">
        <f>LN(②原始價格與FX!B52/②原始價格與FX!B51)</f>
        <v>-3.724463609144764E-3</v>
      </c>
      <c r="C64" s="25">
        <f>LN(②原始價格與FX!C52/②原始價格與FX!C51)</f>
        <v>-3.1763389651437886E-3</v>
      </c>
      <c r="D64" s="25">
        <f>LN(②原始價格與FX!D52/②原始價格與FX!D51)</f>
        <v>9.6685832315751281E-4</v>
      </c>
      <c r="E64" s="25">
        <f>LN(②原始價格與FX!G52/②原始價格與FX!G51)</f>
        <v>-5.1081010668376555E-4</v>
      </c>
      <c r="F64" s="25">
        <f>LN(②原始價格與FX!H52/②原始價格與FX!H51)</f>
        <v>-5.6795625863356163E-3</v>
      </c>
      <c r="G64" s="25">
        <f t="shared" si="0"/>
        <v>-3.724463609144764E-3</v>
      </c>
      <c r="H64" s="26">
        <f t="shared" si="1"/>
        <v>-3.6871490718275541E-3</v>
      </c>
      <c r="I64" s="26">
        <f t="shared" si="2"/>
        <v>-4.7127042631781033E-3</v>
      </c>
      <c r="J64" s="28">
        <f>G64*①基本設定!$G$5+H64*①基本設定!$G$6+I64*①基本設定!$G$7</f>
        <v>-7085.6243068396943</v>
      </c>
    </row>
    <row r="65" spans="1:10" x14ac:dyDescent="0.25">
      <c r="A65" s="3" t="s">
        <v>104</v>
      </c>
      <c r="B65" s="25">
        <f>LN(②原始價格與FX!B53/②原始價格與FX!B52)</f>
        <v>-1.0643224313411062E-2</v>
      </c>
      <c r="C65" s="25">
        <f>LN(②原始價格與FX!C53/②原始價格與FX!C52)</f>
        <v>8.0699499765477193E-3</v>
      </c>
      <c r="D65" s="25">
        <f>LN(②原始價格與FX!D53/②原始價格與FX!D52)</f>
        <v>1.6159324265120421E-2</v>
      </c>
      <c r="E65" s="25">
        <f>LN(②原始價格與FX!G53/②原始價格與FX!G52)</f>
        <v>3.2297099673307705E-3</v>
      </c>
      <c r="F65" s="25">
        <f>LN(②原始價格與FX!H53/②原始價格與FX!H52)</f>
        <v>9.5316797309219718E-3</v>
      </c>
      <c r="G65" s="25">
        <f t="shared" si="0"/>
        <v>-1.0643224313411062E-2</v>
      </c>
      <c r="H65" s="26">
        <f t="shared" si="1"/>
        <v>1.1299659943878489E-2</v>
      </c>
      <c r="I65" s="26">
        <f t="shared" si="2"/>
        <v>2.5691003996042391E-2</v>
      </c>
      <c r="J65" s="27">
        <f>G65*①基本設定!$G$5+H65*①基本設定!$G$6+I65*①基本設定!$G$7</f>
        <v>2905.973162795156</v>
      </c>
    </row>
    <row r="66" spans="1:10" x14ac:dyDescent="0.25">
      <c r="A66" s="3" t="s">
        <v>105</v>
      </c>
      <c r="B66" s="25">
        <f>LN(②原始價格與FX!B54/②原始價格與FX!B53)</f>
        <v>-2.9695105799778361E-2</v>
      </c>
      <c r="C66" s="25">
        <f>LN(②原始價格與FX!C54/②原始價格與FX!C53)</f>
        <v>8.6899434836430062E-3</v>
      </c>
      <c r="D66" s="25">
        <f>LN(②原始價格與FX!D54/②原始價格與FX!D53)</f>
        <v>-1.6374100898248492E-2</v>
      </c>
      <c r="E66" s="25">
        <f>LN(②原始價格與FX!G54/②原始價格與FX!G53)</f>
        <v>-3.5036855236525747E-3</v>
      </c>
      <c r="F66" s="25">
        <f>LN(②原始價格與FX!H54/②原始價格與FX!H53)</f>
        <v>3.6708004344471095E-3</v>
      </c>
      <c r="G66" s="25">
        <f t="shared" si="0"/>
        <v>-2.9695105799778361E-2</v>
      </c>
      <c r="H66" s="26">
        <f t="shared" si="1"/>
        <v>5.1862579599904314E-3</v>
      </c>
      <c r="I66" s="26">
        <f t="shared" si="2"/>
        <v>-1.2703300463801383E-2</v>
      </c>
      <c r="J66" s="28">
        <f>G66*①基本設定!$G$5+H66*①基本設定!$G$6+I66*①基本設定!$G$7</f>
        <v>-20231.647229783837</v>
      </c>
    </row>
    <row r="67" spans="1:10" x14ac:dyDescent="0.25">
      <c r="A67" s="3" t="s">
        <v>106</v>
      </c>
      <c r="B67" s="25">
        <f>LN(②原始價格與FX!B55/②原始價格與FX!B54)</f>
        <v>2.1929409994387649E-2</v>
      </c>
      <c r="C67" s="25">
        <f>LN(②原始價格與FX!C55/②原始價格與FX!C54)</f>
        <v>1.6146979663296056E-2</v>
      </c>
      <c r="D67" s="25">
        <f>LN(②原始價格與FX!D55/②原始價格與FX!D54)</f>
        <v>4.5617444320694787E-3</v>
      </c>
      <c r="E67" s="25">
        <f>LN(②原始價格與FX!G55/②原始價格與FX!G54)</f>
        <v>-1.4789164704671453E-3</v>
      </c>
      <c r="F67" s="25">
        <f>LN(②原始價格與FX!H55/②原始價格與FX!H54)</f>
        <v>-2.4596156224866881E-3</v>
      </c>
      <c r="G67" s="25">
        <f t="shared" si="0"/>
        <v>2.1929409994387649E-2</v>
      </c>
      <c r="H67" s="26">
        <f t="shared" si="1"/>
        <v>1.4668063192828911E-2</v>
      </c>
      <c r="I67" s="26">
        <f t="shared" si="2"/>
        <v>2.1021288095827905E-3</v>
      </c>
      <c r="J67" s="27">
        <f>G67*①基本設定!$G$5+H67*①基本設定!$G$6+I67*①基本設定!$G$7</f>
        <v>34109.622920201247</v>
      </c>
    </row>
    <row r="68" spans="1:10" x14ac:dyDescent="0.25">
      <c r="A68" s="3" t="s">
        <v>107</v>
      </c>
      <c r="B68" s="25">
        <f>LN(②原始價格與FX!B56/②原始價格與FX!B55)</f>
        <v>4.056740123165644E-2</v>
      </c>
      <c r="C68" s="25">
        <f>LN(②原始價格與FX!C56/②原始價格與FX!C55)</f>
        <v>2.672014315585523E-2</v>
      </c>
      <c r="D68" s="25">
        <f>LN(②原始價格與FX!D56/②原始價格與FX!D55)</f>
        <v>1.3320584132442276E-2</v>
      </c>
      <c r="E68" s="25">
        <f>LN(②原始價格與FX!G56/②原始價格與FX!G55)</f>
        <v>-1.3822981670193013E-3</v>
      </c>
      <c r="F68" s="25">
        <f>LN(②原始價格與FX!H56/②原始價格與FX!H55)</f>
        <v>1.4598238291449106E-3</v>
      </c>
      <c r="G68" s="25">
        <f t="shared" si="0"/>
        <v>4.056740123165644E-2</v>
      </c>
      <c r="H68" s="26">
        <f t="shared" si="1"/>
        <v>2.5337844988835928E-2</v>
      </c>
      <c r="I68" s="26">
        <f t="shared" si="2"/>
        <v>1.4780407961587187E-2</v>
      </c>
      <c r="J68" s="27">
        <f>G68*①基本設定!$G$5+H68*①基本設定!$G$6+I68*①基本設定!$G$7</f>
        <v>61350.009865638436</v>
      </c>
    </row>
    <row r="69" spans="1:10" x14ac:dyDescent="0.25">
      <c r="A69" s="3" t="s">
        <v>108</v>
      </c>
      <c r="B69" s="25">
        <f>LN(②原始價格與FX!B57/②原始價格與FX!B56)</f>
        <v>5.7718019763495334E-3</v>
      </c>
      <c r="C69" s="25">
        <f>LN(②原始價格與FX!C57/②原始價格與FX!C56)</f>
        <v>4.3484115517393389E-2</v>
      </c>
      <c r="D69" s="25">
        <f>LN(②原始價格與FX!D57/②原始價格與FX!D56)</f>
        <v>4.0710463577085153E-2</v>
      </c>
      <c r="E69" s="25">
        <f>LN(②原始價格與FX!G57/②原始價格與FX!G56)</f>
        <v>1.8847588477128678E-3</v>
      </c>
      <c r="F69" s="25">
        <f>LN(②原始價格與FX!H57/②原始價格與FX!H56)</f>
        <v>-2.7963873895718236E-3</v>
      </c>
      <c r="G69" s="25">
        <f t="shared" si="0"/>
        <v>5.7718019763495334E-3</v>
      </c>
      <c r="H69" s="26">
        <f t="shared" si="1"/>
        <v>4.5368874365106254E-2</v>
      </c>
      <c r="I69" s="26">
        <f t="shared" si="2"/>
        <v>3.7914076187513329E-2</v>
      </c>
      <c r="J69" s="27">
        <f>G69*①基本設定!$G$5+H69*①基本設定!$G$6+I69*①基本設定!$G$7</f>
        <v>52582.711095269085</v>
      </c>
    </row>
    <row r="70" spans="1:10" x14ac:dyDescent="0.25">
      <c r="A70" s="3" t="s">
        <v>109</v>
      </c>
      <c r="B70" s="25">
        <f>LN(②原始價格與FX!B58/②原始價格與FX!B57)</f>
        <v>1.9802296367648849E-2</v>
      </c>
      <c r="C70" s="25">
        <f>LN(②原始價格與FX!C58/②原始價格與FX!C57)</f>
        <v>9.549807058609942E-3</v>
      </c>
      <c r="D70" s="25">
        <f>LN(②原始價格與FX!D58/②原始價格與FX!D57)</f>
        <v>1.7513230798889289E-2</v>
      </c>
      <c r="E70" s="25">
        <f>LN(②原始價格與FX!G58/②原始價格與FX!G57)</f>
        <v>-1.894021752096585E-3</v>
      </c>
      <c r="F70" s="25">
        <f>LN(②原始價格與FX!H58/②原始價格與FX!H57)</f>
        <v>4.4205418330118722E-3</v>
      </c>
      <c r="G70" s="25">
        <f t="shared" si="0"/>
        <v>1.9802296367648849E-2</v>
      </c>
      <c r="H70" s="26">
        <f t="shared" si="1"/>
        <v>7.6557853065133573E-3</v>
      </c>
      <c r="I70" s="26">
        <f t="shared" si="2"/>
        <v>2.1933772631901161E-2</v>
      </c>
      <c r="J70" s="27">
        <f>G70*①基本設定!$G$5+H70*①基本設定!$G$6+I70*①基本設定!$G$7</f>
        <v>25205.371905238491</v>
      </c>
    </row>
    <row r="71" spans="1:10" x14ac:dyDescent="0.25">
      <c r="A71" s="3" t="s">
        <v>110</v>
      </c>
      <c r="B71" s="25">
        <f>LN(②原始價格與FX!B59/②原始價格與FX!B58)</f>
        <v>3.7654875210397756E-3</v>
      </c>
      <c r="C71" s="25">
        <f>LN(②原始價格與FX!C59/②原始價格與FX!C58)</f>
        <v>-2.4730364235626048E-2</v>
      </c>
      <c r="D71" s="25">
        <f>LN(②原始價格與FX!D59/②原始價格與FX!D58)</f>
        <v>1.444073511709121E-2</v>
      </c>
      <c r="E71" s="25">
        <f>LN(②原始價格與FX!G59/②原始價格與FX!G58)</f>
        <v>4.1719621254603491E-3</v>
      </c>
      <c r="F71" s="25">
        <f>LN(②原始價格與FX!H59/②原始價格與FX!H58)</f>
        <v>-4.2115859846221099E-3</v>
      </c>
      <c r="G71" s="25">
        <f t="shared" si="0"/>
        <v>3.7654875210397756E-3</v>
      </c>
      <c r="H71" s="26">
        <f t="shared" si="1"/>
        <v>-2.0558402110165699E-2</v>
      </c>
      <c r="I71" s="26">
        <f t="shared" si="2"/>
        <v>1.02291491324691E-2</v>
      </c>
      <c r="J71" s="28">
        <f>G71*①基本設定!$G$5+H71*①基本設定!$G$6+I71*①基本設定!$G$7</f>
        <v>-18048.27935348549</v>
      </c>
    </row>
    <row r="72" spans="1:10" x14ac:dyDescent="0.25">
      <c r="A72" s="3" t="s">
        <v>111</v>
      </c>
      <c r="B72" s="25">
        <f>LN(②原始價格與FX!B60/②原始價格與FX!B59)</f>
        <v>9.0908225225885576E-3</v>
      </c>
      <c r="C72" s="25">
        <f>LN(②原始價格與FX!C60/②原始價格與FX!C59)</f>
        <v>-2.0234296524047658E-2</v>
      </c>
      <c r="D72" s="25">
        <f>LN(②原始價格與FX!D60/②原始價格與FX!D59)</f>
        <v>-1.6205382859023048E-2</v>
      </c>
      <c r="E72" s="25">
        <f>LN(②原始價格與FX!G60/②原始價格與FX!G59)</f>
        <v>-9.7826295386326391E-4</v>
      </c>
      <c r="F72" s="25">
        <f>LN(②原始價格與FX!H60/②原始價格與FX!H59)</f>
        <v>4.0867446370056173E-3</v>
      </c>
      <c r="G72" s="25">
        <f t="shared" si="0"/>
        <v>9.0908225225885576E-3</v>
      </c>
      <c r="H72" s="26">
        <f t="shared" si="1"/>
        <v>-2.1212559477910922E-2</v>
      </c>
      <c r="I72" s="26">
        <f t="shared" si="2"/>
        <v>-1.211863822201743E-2</v>
      </c>
      <c r="J72" s="28">
        <f>G72*①基本設定!$G$5+H72*①基本設定!$G$6+I72*①基本設定!$G$7</f>
        <v>-14404.274732046153</v>
      </c>
    </row>
    <row r="73" spans="1:10" x14ac:dyDescent="0.25">
      <c r="A73" s="3" t="s">
        <v>112</v>
      </c>
      <c r="B73" s="25">
        <f>LN(②原始價格與FX!B61/②原始價格與FX!B60)</f>
        <v>-4.1577378976198785E-3</v>
      </c>
      <c r="C73" s="25">
        <f>LN(②原始價格與FX!C61/②原始價格與FX!C60)</f>
        <v>4.9584197606257208E-3</v>
      </c>
      <c r="D73" s="25">
        <f>LN(②原始價格與FX!D61/②原始價格與FX!D60)</f>
        <v>3.7434835365715652E-2</v>
      </c>
      <c r="E73" s="25">
        <f>LN(②原始價格與FX!G61/②原始價格與FX!G60)</f>
        <v>6.3080271144721495E-3</v>
      </c>
      <c r="F73" s="25">
        <f>LN(②原始價格與FX!H61/②原始價格與FX!H60)</f>
        <v>9.5671894321460067E-4</v>
      </c>
      <c r="G73" s="25">
        <f t="shared" si="0"/>
        <v>-4.1577378976198785E-3</v>
      </c>
      <c r="H73" s="26">
        <f t="shared" si="1"/>
        <v>1.126644687509787E-2</v>
      </c>
      <c r="I73" s="26">
        <f t="shared" si="2"/>
        <v>3.8391554308930251E-2</v>
      </c>
      <c r="J73" s="27">
        <f>G73*①基本設定!$G$5+H73*①基本設定!$G$6+I73*①基本設定!$G$7</f>
        <v>8578.0987501127147</v>
      </c>
    </row>
    <row r="74" spans="1:10" x14ac:dyDescent="0.25">
      <c r="A74" s="3" t="s">
        <v>113</v>
      </c>
      <c r="B74" s="25">
        <f>LN(②原始價格與FX!B62/②原始價格與FX!B61)</f>
        <v>1.163944098159753E-3</v>
      </c>
      <c r="C74" s="25">
        <f>LN(②原始價格與FX!C62/②原始價格與FX!C61)</f>
        <v>-3.2558721160341413E-2</v>
      </c>
      <c r="D74" s="25">
        <f>LN(②原始價格與FX!D62/②原始價格與FX!D61)</f>
        <v>7.313521542712159E-3</v>
      </c>
      <c r="E74" s="25">
        <f>LN(②原始價格與FX!G62/②原始價格與FX!G61)</f>
        <v>1.4944647998962697E-3</v>
      </c>
      <c r="F74" s="25">
        <f>LN(②原始價格與FX!H62/②原始價格與FX!H61)</f>
        <v>-3.5402690093077334E-3</v>
      </c>
      <c r="G74" s="25">
        <f t="shared" si="0"/>
        <v>1.163944098159753E-3</v>
      </c>
      <c r="H74" s="26">
        <f t="shared" si="1"/>
        <v>-3.1064256360445144E-2</v>
      </c>
      <c r="I74" s="26">
        <f t="shared" si="2"/>
        <v>3.7732525334044256E-3</v>
      </c>
      <c r="J74" s="28">
        <f>G74*①基本設定!$G$5+H74*①基本設定!$G$6+I74*①基本設定!$G$7</f>
        <v>-31284.800630795366</v>
      </c>
    </row>
    <row r="75" spans="1:10" x14ac:dyDescent="0.25">
      <c r="A75" s="3" t="s">
        <v>114</v>
      </c>
      <c r="B75" s="25">
        <f>LN(②原始價格與FX!B63/②原始價格與FX!B62)</f>
        <v>-2.5591824588216275E-3</v>
      </c>
      <c r="C75" s="25">
        <f>LN(②原始價格與FX!C63/②原始價格與FX!C62)</f>
        <v>-3.0104796541514545E-2</v>
      </c>
      <c r="D75" s="25">
        <f>LN(②原始價格與FX!D63/②原始價格與FX!D62)</f>
        <v>-5.5027911405790088E-2</v>
      </c>
      <c r="E75" s="25">
        <f>LN(②原始價格與FX!G63/②原始價格與FX!G62)</f>
        <v>3.1192520797578369E-3</v>
      </c>
      <c r="F75" s="25">
        <f>LN(②原始價格與FX!H63/②原始價格與FX!H62)</f>
        <v>2.0423907230916992E-3</v>
      </c>
      <c r="G75" s="25">
        <f t="shared" si="0"/>
        <v>-2.5591824588216275E-3</v>
      </c>
      <c r="H75" s="26">
        <f t="shared" si="1"/>
        <v>-2.6985544461756709E-2</v>
      </c>
      <c r="I75" s="26">
        <f t="shared" si="2"/>
        <v>-5.2985520682698392E-2</v>
      </c>
      <c r="J75" s="28">
        <f>G75*①基本設定!$G$5+H75*①基本設定!$G$6+I75*①基本設定!$G$7</f>
        <v>-30861.573719946497</v>
      </c>
    </row>
    <row r="76" spans="1:10" x14ac:dyDescent="0.25">
      <c r="A76" s="3" t="s">
        <v>115</v>
      </c>
      <c r="B76" s="25">
        <f>LN(②原始價格與FX!B64/②原始價格與FX!B63)</f>
        <v>-2.0494730934280284E-2</v>
      </c>
      <c r="C76" s="25">
        <f>LN(②原始價格與FX!C64/②原始價格與FX!C63)</f>
        <v>1.4262180596421445E-3</v>
      </c>
      <c r="D76" s="25">
        <f>LN(②原始價格與FX!D64/②原始價格與FX!D63)</f>
        <v>-1.8797218284059648E-2</v>
      </c>
      <c r="E76" s="25">
        <f>LN(②原始價格與FX!G64/②原始價格與FX!G63)</f>
        <v>-1.0478126348934908E-3</v>
      </c>
      <c r="F76" s="25">
        <f>LN(②原始價格與FX!H64/②原始價格與FX!H63)</f>
        <v>4.1638040519928718E-5</v>
      </c>
      <c r="G76" s="25">
        <f t="shared" si="0"/>
        <v>-2.0494730934280284E-2</v>
      </c>
      <c r="H76" s="26">
        <f t="shared" si="1"/>
        <v>3.7840542474865363E-4</v>
      </c>
      <c r="I76" s="26">
        <f t="shared" si="2"/>
        <v>-1.8755580243539721E-2</v>
      </c>
      <c r="J76" s="28">
        <f>G76*①基本設定!$G$5+H76*①基本設定!$G$6+I76*①基本設定!$G$7</f>
        <v>-17404.328026665436</v>
      </c>
    </row>
    <row r="77" spans="1:10" x14ac:dyDescent="0.25">
      <c r="A77" s="3" t="s">
        <v>116</v>
      </c>
      <c r="B77" s="25">
        <f>LN(②原始價格與FX!B65/②原始價格與FX!B64)</f>
        <v>1.2794203975434026E-2</v>
      </c>
      <c r="C77" s="25">
        <f>LN(②原始價格與FX!C65/②原始價格與FX!C64)</f>
        <v>-8.849993202632477E-4</v>
      </c>
      <c r="D77" s="25">
        <f>LN(②原始價格與FX!D65/②原始價格與FX!D64)</f>
        <v>6.0961981687402168E-3</v>
      </c>
      <c r="E77" s="25">
        <f>LN(②原始價格與FX!G65/②原始價格與FX!G64)</f>
        <v>6.7549149307508374E-3</v>
      </c>
      <c r="F77" s="25">
        <f>LN(②原始價格與FX!H65/②原始價格與FX!H64)</f>
        <v>6.1847736734904893E-3</v>
      </c>
      <c r="G77" s="25">
        <f t="shared" si="0"/>
        <v>1.2794203975434026E-2</v>
      </c>
      <c r="H77" s="26">
        <f t="shared" si="1"/>
        <v>5.86991561048759E-3</v>
      </c>
      <c r="I77" s="26">
        <f t="shared" si="2"/>
        <v>1.2280971842230707E-2</v>
      </c>
      <c r="J77" s="27">
        <f>G77*①基本設定!$G$5+H77*①基本設定!$G$6+I77*①基本設定!$G$7</f>
        <v>17225.317102389516</v>
      </c>
    </row>
    <row r="78" spans="1:10" x14ac:dyDescent="0.25">
      <c r="A78" s="3" t="s">
        <v>117</v>
      </c>
      <c r="B78" s="25">
        <f>LN(②原始價格與FX!B66/②原始價格與FX!B65)</f>
        <v>1.4853059599765685E-2</v>
      </c>
      <c r="C78" s="25">
        <f>LN(②原始價格與FX!C66/②原始價格與FX!C65)</f>
        <v>1.4454788253621828E-2</v>
      </c>
      <c r="D78" s="25">
        <f>LN(②原始價格與FX!D66/②原始價格與FX!D65)</f>
        <v>-1.6517642251214524E-2</v>
      </c>
      <c r="E78" s="25">
        <f>LN(②原始價格與FX!G66/②原始價格與FX!G65)</f>
        <v>4.6508200101633458E-3</v>
      </c>
      <c r="F78" s="25">
        <f>LN(②原始價格與FX!H66/②原始價格與FX!H65)</f>
        <v>-3.5235387875668465E-3</v>
      </c>
      <c r="G78" s="25">
        <f t="shared" si="0"/>
        <v>1.4853059599765685E-2</v>
      </c>
      <c r="H78" s="26">
        <f t="shared" si="1"/>
        <v>1.9105608263785174E-2</v>
      </c>
      <c r="I78" s="26">
        <f t="shared" si="2"/>
        <v>-2.0041181038781372E-2</v>
      </c>
      <c r="J78" s="27">
        <f>G78*①基本設定!$G$5+H78*①基本設定!$G$6+I78*①基本設定!$G$7</f>
        <v>32409.438297864173</v>
      </c>
    </row>
    <row r="79" spans="1:10" x14ac:dyDescent="0.25">
      <c r="A79" s="3" t="s">
        <v>118</v>
      </c>
      <c r="B79" s="25">
        <f>LN(②原始價格與FX!B67/②原始價格與FX!B66)</f>
        <v>3.9367482993973392E-2</v>
      </c>
      <c r="C79" s="25">
        <f>LN(②原始價格與FX!C67/②原始價格與FX!C66)</f>
        <v>-2.2851972690709318E-2</v>
      </c>
      <c r="D79" s="25">
        <f>LN(②原始價格與FX!D67/②原始價格與FX!D66)</f>
        <v>-2.2102406885481985E-3</v>
      </c>
      <c r="E79" s="25">
        <f>LN(②原始價格與FX!G67/②原始價格與FX!G66)</f>
        <v>-3.6372731905724215E-3</v>
      </c>
      <c r="F79" s="25">
        <f>LN(②原始價格與FX!H67/②原始價格與FX!H66)</f>
        <v>-6.2902458972676628E-3</v>
      </c>
      <c r="G79" s="25">
        <f t="shared" si="0"/>
        <v>3.9367482993973392E-2</v>
      </c>
      <c r="H79" s="26">
        <f t="shared" si="1"/>
        <v>-2.648924588128174E-2</v>
      </c>
      <c r="I79" s="26">
        <f t="shared" si="2"/>
        <v>-8.5004865858158609E-3</v>
      </c>
      <c r="J79" s="27">
        <f>G79*①基本設定!$G$5+H79*①基本設定!$G$6+I79*①基本設定!$G$7</f>
        <v>6132.3442170287035</v>
      </c>
    </row>
    <row r="80" spans="1:10" x14ac:dyDescent="0.25">
      <c r="A80" s="3" t="s">
        <v>119</v>
      </c>
      <c r="B80" s="25">
        <f>LN(②原始價格與FX!B68/②原始價格與FX!B67)</f>
        <v>-1.9633931312593979E-2</v>
      </c>
      <c r="C80" s="25">
        <f>LN(②原始價格與FX!C68/②原始價格與FX!C67)</f>
        <v>1.5601861863255365E-2</v>
      </c>
      <c r="D80" s="25">
        <f>LN(②原始價格與FX!D68/②原始價格與FX!D67)</f>
        <v>-2.732307586543092E-2</v>
      </c>
      <c r="E80" s="25">
        <f>LN(②原始價格與FX!G68/②原始價格與FX!G67)</f>
        <v>1.9666759104297843E-3</v>
      </c>
      <c r="F80" s="25">
        <f>LN(②原始價格與FX!H68/②原始價格與FX!H67)</f>
        <v>-4.6493204025045264E-3</v>
      </c>
      <c r="G80" s="25">
        <f t="shared" ref="G80:G143" si="3">B80</f>
        <v>-1.9633931312593979E-2</v>
      </c>
      <c r="H80" s="26">
        <f t="shared" ref="H80:H143" si="4">C80+E80</f>
        <v>1.7568537773685149E-2</v>
      </c>
      <c r="I80" s="26">
        <f t="shared" ref="I80:I143" si="5">D80+F80</f>
        <v>-3.1972396267935445E-2</v>
      </c>
      <c r="J80" s="27">
        <f>G80*①基本設定!$G$5+H80*①基本設定!$G$6+I80*①基本設定!$G$7</f>
        <v>1076.9423738269622</v>
      </c>
    </row>
    <row r="81" spans="1:10" x14ac:dyDescent="0.25">
      <c r="A81" s="3" t="s">
        <v>120</v>
      </c>
      <c r="B81" s="25">
        <f>LN(②原始價格與FX!B69/②原始價格與FX!B68)</f>
        <v>-1.9880343066619441E-2</v>
      </c>
      <c r="C81" s="25">
        <f>LN(②原始價格與FX!C69/②原始價格與FX!C68)</f>
        <v>-2.4420392967271068E-2</v>
      </c>
      <c r="D81" s="25">
        <f>LN(②原始價格與FX!D69/②原始價格與FX!D68)</f>
        <v>-3.7426340851392105E-2</v>
      </c>
      <c r="E81" s="25">
        <f>LN(②原始價格與FX!G69/②原始價格與FX!G68)</f>
        <v>-3.1103942084225343E-3</v>
      </c>
      <c r="F81" s="25">
        <f>LN(②原始價格與FX!H69/②原始價格與FX!H68)</f>
        <v>4.774678194700047E-3</v>
      </c>
      <c r="G81" s="25">
        <f t="shared" si="3"/>
        <v>-1.9880343066619441E-2</v>
      </c>
      <c r="H81" s="26">
        <f t="shared" si="4"/>
        <v>-2.7530787175693603E-2</v>
      </c>
      <c r="I81" s="26">
        <f t="shared" si="5"/>
        <v>-3.265166265669206E-2</v>
      </c>
      <c r="J81" s="28">
        <f>G81*①基本設定!$G$5+H81*①基本設定!$G$6+I81*①基本設定!$G$7</f>
        <v>-46072.359291193156</v>
      </c>
    </row>
    <row r="82" spans="1:10" x14ac:dyDescent="0.25">
      <c r="A82" s="3" t="s">
        <v>121</v>
      </c>
      <c r="B82" s="25">
        <f>LN(②原始價格與FX!B70/②原始價格與FX!B69)</f>
        <v>-1.0658983865347199E-2</v>
      </c>
      <c r="C82" s="25">
        <f>LN(②原始價格與FX!C70/②原始價格與FX!C69)</f>
        <v>7.003502037138343E-4</v>
      </c>
      <c r="D82" s="25">
        <f>LN(②原始價格與FX!D70/②原始價格與FX!D69)</f>
        <v>-2.1847589567070308E-2</v>
      </c>
      <c r="E82" s="25">
        <f>LN(②原始價格與FX!G70/②原始價格與FX!G69)</f>
        <v>-5.5099568824680152E-3</v>
      </c>
      <c r="F82" s="25">
        <f>LN(②原始價格與FX!H70/②原始價格與FX!H69)</f>
        <v>2.1703752415496605E-3</v>
      </c>
      <c r="G82" s="25">
        <f t="shared" si="3"/>
        <v>-1.0658983865347199E-2</v>
      </c>
      <c r="H82" s="26">
        <f t="shared" si="4"/>
        <v>-4.8096066787541806E-3</v>
      </c>
      <c r="I82" s="26">
        <f t="shared" si="5"/>
        <v>-1.9677214325520647E-2</v>
      </c>
      <c r="J82" s="28">
        <f>G82*①基本設定!$G$5+H82*①基本設定!$G$6+I82*①基本設定!$G$7</f>
        <v>-14370.707658725623</v>
      </c>
    </row>
    <row r="83" spans="1:10" x14ac:dyDescent="0.25">
      <c r="A83" s="3" t="s">
        <v>122</v>
      </c>
      <c r="B83" s="25">
        <f>LN(②原始價格與FX!B71/②原始價格與FX!B70)</f>
        <v>-3.3084968340941434E-2</v>
      </c>
      <c r="C83" s="25">
        <f>LN(②原始價格與FX!C71/②原始價格與FX!C70)</f>
        <v>-1.3289901115576952E-2</v>
      </c>
      <c r="D83" s="25">
        <f>LN(②原始價格與FX!D71/②原始價格與FX!D70)</f>
        <v>-8.8646573943716948E-3</v>
      </c>
      <c r="E83" s="25">
        <f>LN(②原始價格與FX!G71/②原始價格與FX!G70)</f>
        <v>-3.6138610164662007E-3</v>
      </c>
      <c r="F83" s="25">
        <f>LN(②原始價格與FX!H71/②原始價格與FX!H70)</f>
        <v>5.4185858816993072E-4</v>
      </c>
      <c r="G83" s="25">
        <f t="shared" si="3"/>
        <v>-3.3084968340941434E-2</v>
      </c>
      <c r="H83" s="26">
        <f t="shared" si="4"/>
        <v>-1.6903762132043153E-2</v>
      </c>
      <c r="I83" s="26">
        <f t="shared" si="5"/>
        <v>-8.3227988062017644E-3</v>
      </c>
      <c r="J83" s="28">
        <f>G83*①基本設定!$G$5+H83*①基本設定!$G$6+I83*①基本設定!$G$7</f>
        <v>-46079.890293852375</v>
      </c>
    </row>
    <row r="84" spans="1:10" x14ac:dyDescent="0.25">
      <c r="A84" s="3" t="s">
        <v>123</v>
      </c>
      <c r="B84" s="25">
        <f>LN(②原始價格與FX!B72/②原始價格與FX!B71)</f>
        <v>1.4733387278147818E-2</v>
      </c>
      <c r="C84" s="25">
        <f>LN(②原始價格與FX!C72/②原始價格與FX!C71)</f>
        <v>-9.6751951393490611E-3</v>
      </c>
      <c r="D84" s="25">
        <f>LN(②原始價格與FX!D72/②原始價格與FX!D71)</f>
        <v>-3.682763121693051E-3</v>
      </c>
      <c r="E84" s="25">
        <f>LN(②原始價格與FX!G72/②原始價格與FX!G71)</f>
        <v>7.1692096300302781E-3</v>
      </c>
      <c r="F84" s="25">
        <f>LN(②原始價格與FX!H72/②原始價格與FX!H71)</f>
        <v>1.4573923588923241E-3</v>
      </c>
      <c r="G84" s="25">
        <f t="shared" si="3"/>
        <v>1.4733387278147818E-2</v>
      </c>
      <c r="H84" s="26">
        <f t="shared" si="4"/>
        <v>-2.505985509318783E-3</v>
      </c>
      <c r="I84" s="26">
        <f t="shared" si="5"/>
        <v>-2.225370762800727E-3</v>
      </c>
      <c r="J84" s="27">
        <f>G84*①基本設定!$G$5+H84*①基本設定!$G$6+I84*①基本設定!$G$7</f>
        <v>10014.010486249243</v>
      </c>
    </row>
    <row r="85" spans="1:10" x14ac:dyDescent="0.25">
      <c r="A85" s="3" t="s">
        <v>124</v>
      </c>
      <c r="B85" s="25">
        <f>LN(②原始價格與FX!B73/②原始價格與FX!B72)</f>
        <v>1.8648287622185154E-2</v>
      </c>
      <c r="C85" s="25">
        <f>LN(②原始價格與FX!C73/②原始價格與FX!C72)</f>
        <v>-1.1786944503213714E-2</v>
      </c>
      <c r="D85" s="25">
        <f>LN(②原始價格與FX!D73/②原始價格與FX!D72)</f>
        <v>-1.5426023802083339E-3</v>
      </c>
      <c r="E85" s="25">
        <f>LN(②原始價格與FX!G73/②原始價格與FX!G72)</f>
        <v>-7.2827247891079196E-4</v>
      </c>
      <c r="F85" s="25">
        <f>LN(②原始價格與FX!H73/②原始價格與FX!H72)</f>
        <v>-7.9089229256313221E-4</v>
      </c>
      <c r="G85" s="25">
        <f t="shared" si="3"/>
        <v>1.8648287622185154E-2</v>
      </c>
      <c r="H85" s="26">
        <f t="shared" si="4"/>
        <v>-1.2515216982124506E-2</v>
      </c>
      <c r="I85" s="26">
        <f t="shared" si="5"/>
        <v>-2.3334946727714663E-3</v>
      </c>
      <c r="J85" s="27">
        <f>G85*①基本設定!$G$5+H85*①基本設定!$G$6+I85*①基本設定!$G$7</f>
        <v>2957.5384769400293</v>
      </c>
    </row>
    <row r="86" spans="1:10" x14ac:dyDescent="0.25">
      <c r="A86" s="3" t="s">
        <v>125</v>
      </c>
      <c r="B86" s="25">
        <f>LN(②原始價格與FX!B74/②原始價格與FX!B73)</f>
        <v>-6.6806922527033333E-3</v>
      </c>
      <c r="C86" s="25">
        <f>LN(②原始價格與FX!C74/②原始價格與FX!C73)</f>
        <v>-2.6335257461924465E-2</v>
      </c>
      <c r="D86" s="25">
        <f>LN(②原始價格與FX!D74/②原始價格與FX!D73)</f>
        <v>-9.1733167070738759E-3</v>
      </c>
      <c r="E86" s="25">
        <f>LN(②原始價格與FX!G74/②原始價格與FX!G73)</f>
        <v>-6.2552382066590286E-4</v>
      </c>
      <c r="F86" s="25">
        <f>LN(②原始價格與FX!H74/②原始價格與FX!H73)</f>
        <v>-2.0842893868478754E-3</v>
      </c>
      <c r="G86" s="25">
        <f t="shared" si="3"/>
        <v>-6.6806922527033333E-3</v>
      </c>
      <c r="H86" s="26">
        <f t="shared" si="4"/>
        <v>-2.6960781282590367E-2</v>
      </c>
      <c r="I86" s="26">
        <f t="shared" si="5"/>
        <v>-1.1257606093921752E-2</v>
      </c>
      <c r="J86" s="28">
        <f>G86*①基本設定!$G$5+H86*①基本設定!$G$6+I86*①基本設定!$G$7</f>
        <v>-33913.703734010458</v>
      </c>
    </row>
    <row r="87" spans="1:10" x14ac:dyDescent="0.25">
      <c r="A87" s="3" t="s">
        <v>126</v>
      </c>
      <c r="B87" s="25">
        <f>LN(②原始價格與FX!B75/②原始價格與FX!B74)</f>
        <v>2.2978959796999366E-2</v>
      </c>
      <c r="C87" s="25">
        <f>LN(②原始價格與FX!C75/②原始價格與FX!C74)</f>
        <v>4.5006296360772156E-2</v>
      </c>
      <c r="D87" s="25">
        <f>LN(②原始價格與FX!D75/②原始價格與FX!D74)</f>
        <v>-1.7236185472815677E-2</v>
      </c>
      <c r="E87" s="25">
        <f>LN(②原始價格與FX!G75/②原始價格與FX!G74)</f>
        <v>-4.9969577226267898E-3</v>
      </c>
      <c r="F87" s="25">
        <f>LN(②原始價格與FX!H75/②原始價格與FX!H74)</f>
        <v>-3.4276671104855314E-3</v>
      </c>
      <c r="G87" s="25">
        <f t="shared" si="3"/>
        <v>2.2978959796999366E-2</v>
      </c>
      <c r="H87" s="26">
        <f t="shared" si="4"/>
        <v>4.0009338638145368E-2</v>
      </c>
      <c r="I87" s="26">
        <f t="shared" si="5"/>
        <v>-2.0663852583301209E-2</v>
      </c>
      <c r="J87" s="27">
        <f>G87*①基本設定!$G$5+H87*①基本設定!$G$6+I87*①基本設定!$G$7</f>
        <v>61129.763801909052</v>
      </c>
    </row>
    <row r="88" spans="1:10" x14ac:dyDescent="0.25">
      <c r="A88" s="3" t="s">
        <v>127</v>
      </c>
      <c r="B88" s="25">
        <f>LN(②原始價格與FX!B76/②原始價格與FX!B75)</f>
        <v>1.9191364587164798E-2</v>
      </c>
      <c r="C88" s="25">
        <f>LN(②原始價格與FX!C76/②原始價格與FX!C75)</f>
        <v>2.4595929442044907E-2</v>
      </c>
      <c r="D88" s="25">
        <f>LN(②原始價格與FX!D76/②原始價格與FX!D75)</f>
        <v>3.4326966777926606E-2</v>
      </c>
      <c r="E88" s="25">
        <f>LN(②原始價格與FX!G76/②原始價格與FX!G75)</f>
        <v>4.1765034488326991E-3</v>
      </c>
      <c r="F88" s="25">
        <f>LN(②原始價格與FX!H76/②原始價格與FX!H75)</f>
        <v>5.0954460160735149E-3</v>
      </c>
      <c r="G88" s="25">
        <f t="shared" si="3"/>
        <v>1.9191364587164798E-2</v>
      </c>
      <c r="H88" s="26">
        <f t="shared" si="4"/>
        <v>2.8772432890877605E-2</v>
      </c>
      <c r="I88" s="26">
        <f t="shared" si="5"/>
        <v>3.942241279400012E-2</v>
      </c>
      <c r="J88" s="27">
        <f>G88*①基本設定!$G$5+H88*①基本設定!$G$6+I88*①基本設定!$G$7</f>
        <v>46847.636917725671</v>
      </c>
    </row>
    <row r="89" spans="1:10" x14ac:dyDescent="0.25">
      <c r="A89" s="3" t="s">
        <v>128</v>
      </c>
      <c r="B89" s="25">
        <f>LN(②原始價格與FX!B77/②原始價格與FX!B76)</f>
        <v>-8.0973395545500954E-3</v>
      </c>
      <c r="C89" s="25">
        <f>LN(②原始價格與FX!C77/②原始價格與FX!C76)</f>
        <v>3.5636545336461206E-3</v>
      </c>
      <c r="D89" s="25">
        <f>LN(②原始價格與FX!D77/②原始價格與FX!D76)</f>
        <v>-1.338492877213583E-2</v>
      </c>
      <c r="E89" s="25">
        <f>LN(②原始價格與FX!G77/②原始價格與FX!G76)</f>
        <v>1.9679605470652147E-3</v>
      </c>
      <c r="F89" s="25">
        <f>LN(②原始價格與FX!H77/②原始價格與FX!H76)</f>
        <v>-8.3322918016910251E-5</v>
      </c>
      <c r="G89" s="25">
        <f t="shared" si="3"/>
        <v>-8.0973395545500954E-3</v>
      </c>
      <c r="H89" s="26">
        <f t="shared" si="4"/>
        <v>5.5316150807113353E-3</v>
      </c>
      <c r="I89" s="26">
        <f t="shared" si="5"/>
        <v>-1.3468251690152741E-2</v>
      </c>
      <c r="J89" s="28">
        <f>G89*①基本設定!$G$5+H89*①基本設定!$G$6+I89*①基本設定!$G$7</f>
        <v>-1342.470509001497</v>
      </c>
    </row>
    <row r="90" spans="1:10" x14ac:dyDescent="0.25">
      <c r="A90" s="3" t="s">
        <v>129</v>
      </c>
      <c r="B90" s="25">
        <f>LN(②原始價格與FX!B78/②原始價格與FX!B77)</f>
        <v>1.1844267809047846E-2</v>
      </c>
      <c r="C90" s="25">
        <f>LN(②原始價格與FX!C78/②原始價格與FX!C77)</f>
        <v>2.4114020481655576E-2</v>
      </c>
      <c r="D90" s="25">
        <f>LN(②原始價格與FX!D78/②原始價格與FX!D77)</f>
        <v>1.9796433210135106E-3</v>
      </c>
      <c r="E90" s="25">
        <f>LN(②原始價格與FX!G78/②原始價格與FX!G77)</f>
        <v>1.9640952837912417E-3</v>
      </c>
      <c r="F90" s="25">
        <f>LN(②原始價格與FX!H78/②原始價格與FX!H77)</f>
        <v>1.1242740248581606E-3</v>
      </c>
      <c r="G90" s="25">
        <f t="shared" si="3"/>
        <v>1.1844267809047846E-2</v>
      </c>
      <c r="H90" s="26">
        <f t="shared" si="4"/>
        <v>2.6078115765446819E-2</v>
      </c>
      <c r="I90" s="26">
        <f t="shared" si="5"/>
        <v>3.103917345871671E-3</v>
      </c>
      <c r="J90" s="27">
        <f>G90*①基本設定!$G$5+H90*①基本設定!$G$6+I90*①基本設定!$G$7</f>
        <v>37337.468979943136</v>
      </c>
    </row>
    <row r="91" spans="1:10" x14ac:dyDescent="0.25">
      <c r="A91" s="3" t="s">
        <v>130</v>
      </c>
      <c r="B91" s="25">
        <f>LN(②原始價格與FX!B79/②原始價格與FX!B78)</f>
        <v>5.0582596824810845E-3</v>
      </c>
      <c r="C91" s="25">
        <f>LN(②原始價格與FX!C79/②原始價格與FX!C78)</f>
        <v>1.6454977610824702E-2</v>
      </c>
      <c r="D91" s="25">
        <f>LN(②原始價格與FX!D79/②原始價格與FX!D78)</f>
        <v>1.9745427904416531E-2</v>
      </c>
      <c r="E91" s="25">
        <f>LN(②原始價格與FX!G79/②原始價格與FX!G78)</f>
        <v>1.9058457738425866E-3</v>
      </c>
      <c r="F91" s="25">
        <f>LN(②原始價格與FX!H79/②原始價格與FX!H78)</f>
        <v>6.30576659035213E-3</v>
      </c>
      <c r="G91" s="25">
        <f t="shared" si="3"/>
        <v>5.0582596824810845E-3</v>
      </c>
      <c r="H91" s="26">
        <f t="shared" si="4"/>
        <v>1.8360823384667289E-2</v>
      </c>
      <c r="I91" s="26">
        <f t="shared" si="5"/>
        <v>2.605119449476866E-2</v>
      </c>
      <c r="J91" s="27">
        <f>G91*①基本設定!$G$5+H91*①基本設定!$G$6+I91*①基本設定!$G$7</f>
        <v>23734.993130065573</v>
      </c>
    </row>
    <row r="92" spans="1:10" x14ac:dyDescent="0.25">
      <c r="A92" s="3" t="s">
        <v>131</v>
      </c>
      <c r="B92" s="25">
        <f>LN(②原始價格與FX!B80/②原始價格與FX!B79)</f>
        <v>-1.2598142060332709E-2</v>
      </c>
      <c r="C92" s="25">
        <f>LN(②原始價格與FX!C80/②原始價格與FX!C79)</f>
        <v>2.0474043498068584E-2</v>
      </c>
      <c r="D92" s="25">
        <f>LN(②原始價格與FX!D80/②原始價格與FX!D79)</f>
        <v>1.2812043089007718E-2</v>
      </c>
      <c r="E92" s="25">
        <f>LN(②原始價格與FX!G80/②原始價格與FX!G79)</f>
        <v>3.8429796868949717E-3</v>
      </c>
      <c r="F92" s="25">
        <f>LN(②原始價格與FX!H80/②原始價格與FX!H79)</f>
        <v>-1.2414137156655197E-3</v>
      </c>
      <c r="G92" s="25">
        <f t="shared" si="3"/>
        <v>-1.2598142060332709E-2</v>
      </c>
      <c r="H92" s="26">
        <f t="shared" si="4"/>
        <v>2.4317023184963555E-2</v>
      </c>
      <c r="I92" s="26">
        <f t="shared" si="5"/>
        <v>1.1570629373342198E-2</v>
      </c>
      <c r="J92" s="27">
        <f>G92*①基本設定!$G$5+H92*①基本設定!$G$6+I92*①基本設定!$G$7</f>
        <v>14618.265947619397</v>
      </c>
    </row>
    <row r="93" spans="1:10" x14ac:dyDescent="0.25">
      <c r="A93" s="3" t="s">
        <v>132</v>
      </c>
      <c r="B93" s="25">
        <f>LN(②原始價格與FX!B81/②原始價格與FX!B80)</f>
        <v>3.7293257132471887E-3</v>
      </c>
      <c r="C93" s="25">
        <f>LN(②原始價格與FX!C81/②原始價格與FX!C80)</f>
        <v>2.089476766056459E-3</v>
      </c>
      <c r="D93" s="25">
        <f>LN(②原始價格與FX!D81/②原始價格與FX!D80)</f>
        <v>1.6046679299778006E-2</v>
      </c>
      <c r="E93" s="25">
        <f>LN(②原始價格與FX!G81/②原始價格與FX!G80)</f>
        <v>-2.5382101469552825E-3</v>
      </c>
      <c r="F93" s="25">
        <f>LN(②原始價格與FX!H81/②原始價格與FX!H80)</f>
        <v>-8.1904625834793993E-3</v>
      </c>
      <c r="G93" s="25">
        <f t="shared" si="3"/>
        <v>3.7293257132471887E-3</v>
      </c>
      <c r="H93" s="26">
        <f t="shared" si="4"/>
        <v>-4.4873338089882354E-4</v>
      </c>
      <c r="I93" s="26">
        <f t="shared" si="5"/>
        <v>7.8562167162986064E-3</v>
      </c>
      <c r="J93" s="27">
        <f>G93*①基本設定!$G$5+H93*①基本設定!$G$6+I93*①基本設定!$G$7</f>
        <v>2820.6377210588348</v>
      </c>
    </row>
    <row r="94" spans="1:10" x14ac:dyDescent="0.25">
      <c r="A94" s="3" t="s">
        <v>133</v>
      </c>
      <c r="B94" s="25">
        <f>LN(②原始價格與FX!B82/②原始價格與FX!B81)</f>
        <v>2.1263500124234534E-2</v>
      </c>
      <c r="C94" s="25">
        <f>LN(②原始價格與FX!C82/②原始價格與FX!C81)</f>
        <v>-1.5660745940431518E-2</v>
      </c>
      <c r="D94" s="25">
        <f>LN(②原始價格與FX!D82/②原始價格與FX!D81)</f>
        <v>-1.8154666474273006E-2</v>
      </c>
      <c r="E94" s="25">
        <f>LN(②原始價格與FX!G82/②原始價格與FX!G81)</f>
        <v>-2.1271653582090599E-3</v>
      </c>
      <c r="F94" s="25">
        <f>LN(②原始價格與FX!H82/②原始價格與FX!H81)</f>
        <v>-2.5051146220936879E-4</v>
      </c>
      <c r="G94" s="25">
        <f t="shared" si="3"/>
        <v>2.1263500124234534E-2</v>
      </c>
      <c r="H94" s="26">
        <f t="shared" si="4"/>
        <v>-1.7787911298640578E-2</v>
      </c>
      <c r="I94" s="26">
        <f t="shared" si="5"/>
        <v>-1.8405177936482376E-2</v>
      </c>
      <c r="J94" s="28">
        <f>G94*①基本設定!$G$5+H94*①基本設定!$G$6+I94*①基本設定!$G$7</f>
        <v>-461.55826332278167</v>
      </c>
    </row>
    <row r="95" spans="1:10" x14ac:dyDescent="0.25">
      <c r="A95" s="3" t="s">
        <v>134</v>
      </c>
      <c r="B95" s="25">
        <f>LN(②原始價格與FX!B83/②原始價格與FX!B82)</f>
        <v>-3.3797379583290731E-2</v>
      </c>
      <c r="C95" s="25">
        <f>LN(②原始價格與FX!C83/②原始價格與FX!C82)</f>
        <v>-1.0842664586116931E-3</v>
      </c>
      <c r="D95" s="25">
        <f>LN(②原始價格與FX!D83/②原始價格與FX!D82)</f>
        <v>2.7458948589926938E-3</v>
      </c>
      <c r="E95" s="25">
        <f>LN(②原始價格與FX!G83/②原始價格與FX!G82)</f>
        <v>-3.1764999775496739E-4</v>
      </c>
      <c r="F95" s="25">
        <f>LN(②原始價格與FX!H83/②原始價格與FX!H82)</f>
        <v>-4.1758012324715822E-5</v>
      </c>
      <c r="G95" s="25">
        <f t="shared" si="3"/>
        <v>-3.3797379583290731E-2</v>
      </c>
      <c r="H95" s="26">
        <f t="shared" si="4"/>
        <v>-1.4019164563666604E-3</v>
      </c>
      <c r="I95" s="26">
        <f t="shared" si="5"/>
        <v>2.7041368466679781E-3</v>
      </c>
      <c r="J95" s="28">
        <f>G95*①基本設定!$G$5+H95*①基本設定!$G$6+I95*①基本設定!$G$7</f>
        <v>-30438.681474323865</v>
      </c>
    </row>
    <row r="96" spans="1:10" x14ac:dyDescent="0.25">
      <c r="A96" s="3" t="s">
        <v>135</v>
      </c>
      <c r="B96" s="25">
        <f>LN(②原始價格與FX!B84/②原始價格與FX!B83)</f>
        <v>-6.2371944247735381E-3</v>
      </c>
      <c r="C96" s="25">
        <f>LN(②原始價格與FX!C84/②原始價格與FX!C83)</f>
        <v>-2.0057364705745491E-2</v>
      </c>
      <c r="D96" s="25">
        <f>LN(②原始價格與FX!D84/②原始價格與FX!D83)</f>
        <v>2.2760135782465975E-2</v>
      </c>
      <c r="E96" s="25">
        <f>LN(②原始價格與FX!G84/②原始價格與FX!G83)</f>
        <v>1.3485607822616287E-3</v>
      </c>
      <c r="F96" s="25">
        <f>LN(②原始價格與FX!H84/②原始價格與FX!H83)</f>
        <v>4.1671935955527083E-3</v>
      </c>
      <c r="G96" s="25">
        <f t="shared" si="3"/>
        <v>-6.2371944247735381E-3</v>
      </c>
      <c r="H96" s="26">
        <f t="shared" si="4"/>
        <v>-1.8708803923483862E-2</v>
      </c>
      <c r="I96" s="26">
        <f t="shared" si="5"/>
        <v>2.6927329378018682E-2</v>
      </c>
      <c r="J96" s="28">
        <f>G96*①基本設定!$G$5+H96*①基本設定!$G$6+I96*①基本設定!$G$7</f>
        <v>-24525.310801446492</v>
      </c>
    </row>
    <row r="97" spans="1:10" x14ac:dyDescent="0.25">
      <c r="A97" s="3" t="s">
        <v>136</v>
      </c>
      <c r="B97" s="25">
        <f>LN(②原始價格與FX!B85/②原始價格與FX!B84)</f>
        <v>3.2766816190805084E-2</v>
      </c>
      <c r="C97" s="25">
        <f>LN(②原始價格與FX!C85/②原始價格與FX!C84)</f>
        <v>3.6384830878675486E-2</v>
      </c>
      <c r="D97" s="25">
        <f>LN(②原始價格與FX!D85/②原始價格與FX!D84)</f>
        <v>1.4496482831173642E-2</v>
      </c>
      <c r="E97" s="25">
        <f>LN(②原始價格與FX!G85/②原始價格與FX!G84)</f>
        <v>-4.4972342899372497E-3</v>
      </c>
      <c r="F97" s="25">
        <f>LN(②原始價格與FX!H85/②原始價格與FX!H84)</f>
        <v>-3.8331783112481037E-3</v>
      </c>
      <c r="G97" s="25">
        <f t="shared" si="3"/>
        <v>3.2766816190805084E-2</v>
      </c>
      <c r="H97" s="26">
        <f t="shared" si="4"/>
        <v>3.1887596588738236E-2</v>
      </c>
      <c r="I97" s="26">
        <f t="shared" si="5"/>
        <v>1.0663304519925539E-2</v>
      </c>
      <c r="J97" s="27">
        <f>G97*①基本設定!$G$5+H97*①基本設定!$G$6+I97*①基本設定!$G$7</f>
        <v>61424.7584210606</v>
      </c>
    </row>
    <row r="98" spans="1:10" x14ac:dyDescent="0.25">
      <c r="A98" s="3" t="s">
        <v>137</v>
      </c>
      <c r="B98" s="25">
        <f>LN(②原始價格與FX!B86/②原始價格與FX!B85)</f>
        <v>3.6014068738901887E-3</v>
      </c>
      <c r="C98" s="25">
        <f>LN(②原始價格與FX!C86/②原始價格與FX!C85)</f>
        <v>3.7978833107968121E-3</v>
      </c>
      <c r="D98" s="25">
        <f>LN(②原始價格與FX!D86/②原始價格與FX!D85)</f>
        <v>-1.1680089850651667E-3</v>
      </c>
      <c r="E98" s="25">
        <f>LN(②原始價格與FX!G86/②原始價格與FX!G85)</f>
        <v>-2.8633108714125445E-3</v>
      </c>
      <c r="F98" s="25">
        <f>LN(②原始價格與FX!H86/②原始價格與FX!H85)</f>
        <v>2.8346344379726056E-3</v>
      </c>
      <c r="G98" s="25">
        <f t="shared" si="3"/>
        <v>3.6014068738901887E-3</v>
      </c>
      <c r="H98" s="26">
        <f t="shared" si="4"/>
        <v>9.3457243938426752E-4</v>
      </c>
      <c r="I98" s="26">
        <f t="shared" si="5"/>
        <v>1.6666254529074389E-3</v>
      </c>
      <c r="J98" s="27">
        <f>G98*①基本設定!$G$5+H98*①基本設定!$G$6+I98*①基本設定!$G$7</f>
        <v>4082.1096012258681</v>
      </c>
    </row>
    <row r="99" spans="1:10" x14ac:dyDescent="0.25">
      <c r="A99" s="3" t="s">
        <v>138</v>
      </c>
      <c r="B99" s="25">
        <f>LN(②原始價格與FX!B87/②原始價格與FX!B86)</f>
        <v>-2.377242151940915E-2</v>
      </c>
      <c r="C99" s="25">
        <f>LN(②原始價格與FX!C87/②原始價格與FX!C86)</f>
        <v>-1.6312054841013831E-2</v>
      </c>
      <c r="D99" s="25">
        <f>LN(②原始價格與FX!D87/②原始價格與FX!D86)</f>
        <v>1.0265444193822991E-2</v>
      </c>
      <c r="E99" s="25">
        <f>LN(②原始價格與FX!G87/②原始價格與FX!G86)</f>
        <v>5.5519693599598028E-3</v>
      </c>
      <c r="F99" s="25">
        <f>LN(②原始價格與FX!H87/②原始價格與FX!H86)</f>
        <v>9.9854387327562234E-4</v>
      </c>
      <c r="G99" s="25">
        <f t="shared" si="3"/>
        <v>-2.377242151940915E-2</v>
      </c>
      <c r="H99" s="26">
        <f t="shared" si="4"/>
        <v>-1.0760085481054029E-2</v>
      </c>
      <c r="I99" s="26">
        <f t="shared" si="5"/>
        <v>1.1263988067098614E-2</v>
      </c>
      <c r="J99" s="28">
        <f>G99*①基本設定!$G$5+H99*①基本設定!$G$6+I99*①基本設定!$G$7</f>
        <v>-31477.6478579457</v>
      </c>
    </row>
    <row r="100" spans="1:10" x14ac:dyDescent="0.25">
      <c r="A100" s="3" t="s">
        <v>139</v>
      </c>
      <c r="B100" s="25">
        <f>LN(②原始價格與FX!B88/②原始價格與FX!B87)</f>
        <v>7.3601180941415773E-4</v>
      </c>
      <c r="C100" s="25">
        <f>LN(②原始價格與FX!C88/②原始價格與FX!C87)</f>
        <v>-7.4991508144339946E-3</v>
      </c>
      <c r="D100" s="25">
        <f>LN(②原始價格與FX!D88/②原始價格與FX!D87)</f>
        <v>-6.5203514078827898E-3</v>
      </c>
      <c r="E100" s="25">
        <f>LN(②原始價格與FX!G88/②原始價格與FX!G87)</f>
        <v>1.4459131280969856E-3</v>
      </c>
      <c r="F100" s="25">
        <f>LN(②原始價格與FX!H88/②原始價格與FX!H87)</f>
        <v>-1.8730884370840011E-3</v>
      </c>
      <c r="G100" s="25">
        <f t="shared" si="3"/>
        <v>7.3601180941415773E-4</v>
      </c>
      <c r="H100" s="26">
        <f t="shared" si="4"/>
        <v>-6.0532376863370093E-3</v>
      </c>
      <c r="I100" s="26">
        <f t="shared" si="5"/>
        <v>-8.39343984496679E-3</v>
      </c>
      <c r="J100" s="28">
        <f>G100*①基本設定!$G$5+H100*①基本設定!$G$6+I100*①基本設定!$G$7</f>
        <v>-5759.7236268839015</v>
      </c>
    </row>
    <row r="101" spans="1:10" x14ac:dyDescent="0.25">
      <c r="A101" s="3" t="s">
        <v>140</v>
      </c>
      <c r="B101" s="25">
        <f>LN(②原始價格與FX!B89/②原始價格與FX!B88)</f>
        <v>3.5787108553338984E-2</v>
      </c>
      <c r="C101" s="25">
        <f>LN(②原始價格與FX!C89/②原始價格與FX!C88)</f>
        <v>3.5667417329665718E-2</v>
      </c>
      <c r="D101" s="25">
        <f>LN(②原始價格與FX!D89/②原始價格與FX!D88)</f>
        <v>3.7186383669597416E-2</v>
      </c>
      <c r="E101" s="25">
        <f>LN(②原始價格與FX!G89/②原始價格與FX!G88)</f>
        <v>-2.8060103923502203E-3</v>
      </c>
      <c r="F101" s="25">
        <f>LN(②原始價格與FX!H89/②原始價格與FX!H88)</f>
        <v>-2.5446898574076316E-3</v>
      </c>
      <c r="G101" s="25">
        <f t="shared" si="3"/>
        <v>3.5787108553338984E-2</v>
      </c>
      <c r="H101" s="26">
        <f t="shared" si="4"/>
        <v>3.2861406937315499E-2</v>
      </c>
      <c r="I101" s="26">
        <f t="shared" si="5"/>
        <v>3.4641693812189782E-2</v>
      </c>
      <c r="J101" s="27">
        <f>G101*①基本設定!$G$5+H101*①基本設定!$G$6+I101*①基本設定!$G$7</f>
        <v>65294.736135659266</v>
      </c>
    </row>
    <row r="102" spans="1:10" x14ac:dyDescent="0.25">
      <c r="A102" s="3" t="s">
        <v>141</v>
      </c>
      <c r="B102" s="25">
        <f>LN(②原始價格與FX!B90/②原始價格與FX!B89)</f>
        <v>4.3270445783060415E-3</v>
      </c>
      <c r="C102" s="25">
        <f>LN(②原始價格與FX!C90/②原始價格與FX!C89)</f>
        <v>-1.9140443664452552E-2</v>
      </c>
      <c r="D102" s="25">
        <f>LN(②原始價格與FX!D90/②原始價格與FX!D89)</f>
        <v>1.0327226434944554E-3</v>
      </c>
      <c r="E102" s="25">
        <f>LN(②原始價格與FX!G90/②原始價格與FX!G89)</f>
        <v>4.9015926227043826E-3</v>
      </c>
      <c r="F102" s="25">
        <f>LN(②原始價格與FX!H90/②原始價格與FX!H89)</f>
        <v>0</v>
      </c>
      <c r="G102" s="25">
        <f t="shared" si="3"/>
        <v>4.3270445783060415E-3</v>
      </c>
      <c r="H102" s="26">
        <f t="shared" si="4"/>
        <v>-1.4238851041748169E-2</v>
      </c>
      <c r="I102" s="26">
        <f t="shared" si="5"/>
        <v>1.0327226434944554E-3</v>
      </c>
      <c r="J102" s="28">
        <f>G102*①基本設定!$G$5+H102*①基本設定!$G$6+I102*①基本設定!$G$7</f>
        <v>-11091.480173762871</v>
      </c>
    </row>
    <row r="103" spans="1:10" x14ac:dyDescent="0.25">
      <c r="A103" s="3" t="s">
        <v>142</v>
      </c>
      <c r="B103" s="25">
        <f>LN(②原始價格與FX!B91/②原始價格與FX!B90)</f>
        <v>-5.6396340421335581E-3</v>
      </c>
      <c r="C103" s="25">
        <f>LN(②原始價格與FX!C91/②原始價格與FX!C90)</f>
        <v>9.5929553687809452E-3</v>
      </c>
      <c r="D103" s="25">
        <f>LN(②原始價格與FX!D91/②原始價格與FX!D90)</f>
        <v>2.3203641121671389E-2</v>
      </c>
      <c r="E103" s="25">
        <f>LN(②原始價格與FX!G91/②原始價格與FX!G90)</f>
        <v>-5.0990314453850153E-4</v>
      </c>
      <c r="F103" s="25">
        <f>LN(②原始價格與FX!H91/②原始價格與FX!H90)</f>
        <v>2.6696716310617339E-3</v>
      </c>
      <c r="G103" s="25">
        <f t="shared" si="3"/>
        <v>-5.6396340421335581E-3</v>
      </c>
      <c r="H103" s="26">
        <f t="shared" si="4"/>
        <v>9.0830522242424435E-3</v>
      </c>
      <c r="I103" s="26">
        <f t="shared" si="5"/>
        <v>2.5873312752733121E-2</v>
      </c>
      <c r="J103" s="27">
        <f>G103*①基本設定!$G$5+H103*①基本設定!$G$6+I103*①基本設定!$G$7</f>
        <v>4896.1637376791577</v>
      </c>
    </row>
    <row r="104" spans="1:10" x14ac:dyDescent="0.25">
      <c r="A104" s="3" t="s">
        <v>143</v>
      </c>
      <c r="B104" s="25">
        <f>LN(②原始價格與FX!B92/②原始價格與FX!B91)</f>
        <v>-1.2861463573535965E-2</v>
      </c>
      <c r="C104" s="25">
        <f>LN(②原始價格與FX!C92/②原始價格與FX!C91)</f>
        <v>1.9638024346159355E-2</v>
      </c>
      <c r="D104" s="25">
        <f>LN(②原始價格與FX!D92/②原始價格與FX!D91)</f>
        <v>3.6814974637911493E-3</v>
      </c>
      <c r="E104" s="25">
        <f>LN(②原始價格與FX!G92/②原始價格與FX!G91)</f>
        <v>4.0733997005799118E-4</v>
      </c>
      <c r="F104" s="25">
        <f>LN(②原始價格與FX!H92/②原始價格與FX!H91)</f>
        <v>4.4889721666644877E-3</v>
      </c>
      <c r="G104" s="25">
        <f t="shared" si="3"/>
        <v>-1.2861463573535965E-2</v>
      </c>
      <c r="H104" s="26">
        <f t="shared" si="4"/>
        <v>2.0045364316217347E-2</v>
      </c>
      <c r="I104" s="26">
        <f t="shared" si="5"/>
        <v>8.170469630455637E-3</v>
      </c>
      <c r="J104" s="27">
        <f>G104*①基本設定!$G$5+H104*①基本設定!$G$6+I104*①基本設定!$G$7</f>
        <v>9909.6996527709543</v>
      </c>
    </row>
    <row r="105" spans="1:10" x14ac:dyDescent="0.25">
      <c r="A105" s="3" t="s">
        <v>144</v>
      </c>
      <c r="B105" s="25">
        <f>LN(②原始價格與FX!B93/②原始價格與FX!B92)</f>
        <v>2.6105389875315378E-3</v>
      </c>
      <c r="C105" s="25">
        <f>LN(②原始價格與FX!C93/②原始價格與FX!C92)</f>
        <v>-8.4016934188949812E-3</v>
      </c>
      <c r="D105" s="25">
        <f>LN(②原始價格與FX!D93/②原始價格與FX!D92)</f>
        <v>-5.0078532080257048E-3</v>
      </c>
      <c r="E105" s="25">
        <f>LN(②原始價格與FX!G93/②原始價格與FX!G92)</f>
        <v>1.2669415745725647E-4</v>
      </c>
      <c r="F105" s="25">
        <f>LN(②原始價格與FX!H93/②原始價格與FX!H92)</f>
        <v>1.3262051759371824E-3</v>
      </c>
      <c r="G105" s="25">
        <f t="shared" si="3"/>
        <v>2.6105389875315378E-3</v>
      </c>
      <c r="H105" s="26">
        <f t="shared" si="4"/>
        <v>-8.2749992614377255E-3</v>
      </c>
      <c r="I105" s="26">
        <f t="shared" si="5"/>
        <v>-3.6816480320885224E-3</v>
      </c>
      <c r="J105" s="28">
        <f>G105*①基本設定!$G$5+H105*①基本設定!$G$6+I105*①基本設定!$G$7</f>
        <v>-6410.7903199125658</v>
      </c>
    </row>
    <row r="106" spans="1:10" x14ac:dyDescent="0.25">
      <c r="A106" s="3" t="s">
        <v>145</v>
      </c>
      <c r="B106" s="25">
        <f>LN(②原始價格與FX!B94/②原始價格與FX!B93)</f>
        <v>2.6660238271369258E-3</v>
      </c>
      <c r="C106" s="25">
        <f>LN(②原始價格與FX!C94/②原始價格與FX!C93)</f>
        <v>-2.1914814961587915E-3</v>
      </c>
      <c r="D106" s="25">
        <f>LN(②原始價格與FX!D94/②原始價格與FX!D93)</f>
        <v>-6.4549967959853741E-3</v>
      </c>
      <c r="E106" s="25">
        <f>LN(②原始價格與FX!G94/②原始價格與FX!G93)</f>
        <v>1.6666444487820162E-3</v>
      </c>
      <c r="F106" s="25">
        <f>LN(②原始價格與FX!H94/②原始價格與FX!H93)</f>
        <v>-2.197484144030622E-3</v>
      </c>
      <c r="G106" s="25">
        <f t="shared" si="3"/>
        <v>2.6660238271369258E-3</v>
      </c>
      <c r="H106" s="26">
        <f t="shared" si="4"/>
        <v>-5.2483704737677525E-4</v>
      </c>
      <c r="I106" s="26">
        <f t="shared" si="5"/>
        <v>-8.6524809400159962E-3</v>
      </c>
      <c r="J106" s="27">
        <f>G106*①基本設定!$G$5+H106*①基本設定!$G$6+I106*①基本設定!$G$7</f>
        <v>1646.8769501243876</v>
      </c>
    </row>
    <row r="107" spans="1:10" x14ac:dyDescent="0.25">
      <c r="A107" s="3" t="s">
        <v>146</v>
      </c>
      <c r="B107" s="25">
        <f>LN(②原始價格與FX!B95/②原始價格與FX!B94)</f>
        <v>-7.093890590414962E-3</v>
      </c>
      <c r="C107" s="25">
        <f>LN(②原始價格與FX!C95/②原始價格與FX!C94)</f>
        <v>3.3528216915784247E-2</v>
      </c>
      <c r="D107" s="25">
        <f>LN(②原始價格與FX!D95/②原始價格與FX!D94)</f>
        <v>2.0162320709664859E-3</v>
      </c>
      <c r="E107" s="25">
        <f>LN(②原始價格與FX!G95/②原始價格與FX!G94)</f>
        <v>-1.0726026403221017E-3</v>
      </c>
      <c r="F107" s="25">
        <f>LN(②原始價格與FX!H95/②原始價格與FX!H94)</f>
        <v>2.6943579897050663E-3</v>
      </c>
      <c r="G107" s="25">
        <f t="shared" si="3"/>
        <v>-7.093890590414962E-3</v>
      </c>
      <c r="H107" s="26">
        <f t="shared" si="4"/>
        <v>3.2455614275462147E-2</v>
      </c>
      <c r="I107" s="26">
        <f t="shared" si="5"/>
        <v>4.7105900606715517E-3</v>
      </c>
      <c r="J107" s="27">
        <f>G107*①基本設定!$G$5+H107*①基本設定!$G$6+I107*①基本設定!$G$7</f>
        <v>27736.210991343338</v>
      </c>
    </row>
    <row r="108" spans="1:10" x14ac:dyDescent="0.25">
      <c r="A108" s="3" t="s">
        <v>147</v>
      </c>
      <c r="B108" s="25">
        <f>LN(②原始價格與FX!B96/②原始價格與FX!B95)</f>
        <v>1.5929650512772606E-2</v>
      </c>
      <c r="C108" s="25">
        <f>LN(②原始價格與FX!C96/②原始價格與FX!C95)</f>
        <v>6.1248511548876641E-3</v>
      </c>
      <c r="D108" s="25">
        <f>LN(②原始價格與FX!D96/②原始價格與FX!D95)</f>
        <v>-5.7820088412300491E-2</v>
      </c>
      <c r="E108" s="25">
        <f>LN(②原始價格與FX!G96/②原始價格與FX!G95)</f>
        <v>5.2439334318034195E-4</v>
      </c>
      <c r="F108" s="25">
        <f>LN(②原始價格與FX!H96/②原始價格與FX!H95)</f>
        <v>-2.0719384173381655E-3</v>
      </c>
      <c r="G108" s="25">
        <f t="shared" si="3"/>
        <v>1.5929650512772606E-2</v>
      </c>
      <c r="H108" s="26">
        <f t="shared" si="4"/>
        <v>6.6492444980680056E-3</v>
      </c>
      <c r="I108" s="26">
        <f t="shared" si="5"/>
        <v>-5.9892026829638657E-2</v>
      </c>
      <c r="J108" s="27">
        <f>G108*①基本設定!$G$5+H108*①基本設定!$G$6+I108*①基本設定!$G$7</f>
        <v>19932.363044969348</v>
      </c>
    </row>
    <row r="109" spans="1:10" x14ac:dyDescent="0.25">
      <c r="A109" s="3" t="s">
        <v>148</v>
      </c>
      <c r="B109" s="25">
        <f>LN(②原始價格與FX!B97/②原始價格與FX!B96)</f>
        <v>6.3224884758326577E-2</v>
      </c>
      <c r="C109" s="25">
        <f>LN(②原始價格與FX!C97/②原始價格與FX!C96)</f>
        <v>1.759167546242844E-2</v>
      </c>
      <c r="D109" s="25">
        <f>LN(②原始價格與FX!D97/②原始價格與FX!D96)</f>
        <v>2.621956928844895E-3</v>
      </c>
      <c r="E109" s="25">
        <f>LN(②原始價格與FX!G97/②原始價格與FX!G96)</f>
        <v>1.0544820770409154E-4</v>
      </c>
      <c r="F109" s="25">
        <f>LN(②原始價格與FX!H97/②原始價格與FX!H96)</f>
        <v>1.0275970992486116E-2</v>
      </c>
      <c r="G109" s="25">
        <f t="shared" si="3"/>
        <v>6.3224884758326577E-2</v>
      </c>
      <c r="H109" s="26">
        <f t="shared" si="4"/>
        <v>1.7697123670132531E-2</v>
      </c>
      <c r="I109" s="26">
        <f t="shared" si="5"/>
        <v>1.2897927921331011E-2</v>
      </c>
      <c r="J109" s="27">
        <f>G109*①基本設定!$G$5+H109*①基本設定!$G$6+I109*①基本設定!$G$7</f>
        <v>72826.166147315496</v>
      </c>
    </row>
    <row r="110" spans="1:10" x14ac:dyDescent="0.25">
      <c r="A110" s="3" t="s">
        <v>149</v>
      </c>
      <c r="B110" s="25">
        <f>LN(②原始價格與FX!B98/②原始價格與FX!B97)</f>
        <v>2.7097823685190522E-2</v>
      </c>
      <c r="C110" s="25">
        <f>LN(②原始價格與FX!C98/②原始價格與FX!C97)</f>
        <v>3.3279811473966747E-2</v>
      </c>
      <c r="D110" s="25">
        <f>LN(②原始價格與FX!D98/②原始價格與FX!D97)</f>
        <v>-2.450379821131647E-4</v>
      </c>
      <c r="E110" s="25">
        <f>LN(②原始價格與FX!G98/②原始價格與FX!G97)</f>
        <v>-3.9774850766037973E-4</v>
      </c>
      <c r="F110" s="25">
        <f>LN(②原始價格與FX!H98/②原始價格與FX!H97)</f>
        <v>-2.9605284781400185E-3</v>
      </c>
      <c r="G110" s="25">
        <f t="shared" si="3"/>
        <v>2.7097823685190522E-2</v>
      </c>
      <c r="H110" s="26">
        <f t="shared" si="4"/>
        <v>3.2882062966306365E-2</v>
      </c>
      <c r="I110" s="26">
        <f t="shared" si="5"/>
        <v>-3.2055664602531832E-3</v>
      </c>
      <c r="J110" s="27">
        <f>G110*①基本設定!$G$5+H110*①基本設定!$G$6+I110*①基本設定!$G$7</f>
        <v>57440.868891362799</v>
      </c>
    </row>
    <row r="111" spans="1:10" x14ac:dyDescent="0.25">
      <c r="A111" s="3" t="s">
        <v>150</v>
      </c>
      <c r="B111" s="25">
        <f>LN(②原始價格與FX!B99/②原始價格與FX!B98)</f>
        <v>-1.5832290228488626E-2</v>
      </c>
      <c r="C111" s="25">
        <f>LN(②原始價格與FX!C99/②原始價格與FX!C98)</f>
        <v>-1.9008854241031308E-2</v>
      </c>
      <c r="D111" s="25">
        <f>LN(②原始價格與FX!D99/②原始價格與FX!D98)</f>
        <v>1.1021983848055967E-3</v>
      </c>
      <c r="E111" s="25">
        <f>LN(②原始價格與FX!G99/②原始價格與FX!G98)</f>
        <v>1.3733700920806032E-3</v>
      </c>
      <c r="F111" s="25">
        <f>LN(②原始價格與FX!H99/②原始價格與FX!H98)</f>
        <v>6.8125186526933838E-3</v>
      </c>
      <c r="G111" s="25">
        <f t="shared" si="3"/>
        <v>-1.5832290228488626E-2</v>
      </c>
      <c r="H111" s="26">
        <f t="shared" si="4"/>
        <v>-1.7635484148950706E-2</v>
      </c>
      <c r="I111" s="26">
        <f t="shared" si="5"/>
        <v>7.9147170374989813E-3</v>
      </c>
      <c r="J111" s="28">
        <f>G111*①基本設定!$G$5+H111*①基本設定!$G$6+I111*①基本設定!$G$7</f>
        <v>-31853.750812315717</v>
      </c>
    </row>
    <row r="112" spans="1:10" x14ac:dyDescent="0.25">
      <c r="A112" s="3" t="s">
        <v>151</v>
      </c>
      <c r="B112" s="25">
        <f>LN(②原始價格與FX!B100/②原始價格與FX!B99)</f>
        <v>4.0601065080590956E-3</v>
      </c>
      <c r="C112" s="25">
        <f>LN(②原始價格與FX!C100/②原始價格與FX!C99)</f>
        <v>1.5034701883320062E-2</v>
      </c>
      <c r="D112" s="25">
        <f>LN(②原始價格與FX!D100/②原始價格與FX!D99)</f>
        <v>1.7884853854356669E-3</v>
      </c>
      <c r="E112" s="25">
        <f>LN(②原始價格與FX!G100/②原始價格與FX!G99)</f>
        <v>-4.3951413323989579E-4</v>
      </c>
      <c r="F112" s="25">
        <f>LN(②原始價格與FX!H100/②原始價格與FX!H99)</f>
        <v>-7.7739821022004092E-4</v>
      </c>
      <c r="G112" s="25">
        <f t="shared" si="3"/>
        <v>4.0601065080590956E-3</v>
      </c>
      <c r="H112" s="26">
        <f t="shared" si="4"/>
        <v>1.4595187750080167E-2</v>
      </c>
      <c r="I112" s="26">
        <f t="shared" si="5"/>
        <v>1.011087175215626E-3</v>
      </c>
      <c r="J112" s="27">
        <f>G112*①基本設定!$G$5+H112*①基本設定!$G$6+I112*①基本設定!$G$7</f>
        <v>18683.829756169642</v>
      </c>
    </row>
    <row r="113" spans="1:10" x14ac:dyDescent="0.25">
      <c r="A113" s="3" t="s">
        <v>152</v>
      </c>
      <c r="B113" s="25">
        <f>LN(②原始價格與FX!B101/②原始價格與FX!B100)</f>
        <v>-9.446541439035297E-3</v>
      </c>
      <c r="C113" s="25">
        <f>LN(②原始價格與FX!C101/②原始價格與FX!C100)</f>
        <v>0</v>
      </c>
      <c r="D113" s="25">
        <f>LN(②原始價格與FX!D101/②原始價格與FX!D100)</f>
        <v>-1.3345215967152756E-2</v>
      </c>
      <c r="E113" s="25">
        <f>LN(②原始價格與FX!G101/②原始價格與FX!G100)</f>
        <v>-1.171978110600729E-3</v>
      </c>
      <c r="F113" s="25">
        <f>LN(②原始價格與FX!H101/②原始價格與FX!H100)</f>
        <v>-5.0473034375522292E-3</v>
      </c>
      <c r="G113" s="25">
        <f t="shared" si="3"/>
        <v>-9.446541439035297E-3</v>
      </c>
      <c r="H113" s="26">
        <f t="shared" si="4"/>
        <v>-1.171978110600729E-3</v>
      </c>
      <c r="I113" s="26">
        <f t="shared" si="5"/>
        <v>-1.8392519404704984E-2</v>
      </c>
      <c r="J113" s="28">
        <f>G113*①基本設定!$G$5+H113*①基本設定!$G$6+I113*①基本設定!$G$7</f>
        <v>-9530.5524074956047</v>
      </c>
    </row>
    <row r="114" spans="1:10" x14ac:dyDescent="0.25">
      <c r="A114" s="3" t="s">
        <v>153</v>
      </c>
      <c r="B114" s="25">
        <f>LN(②原始價格與FX!B102/②原始價格與FX!B101)</f>
        <v>1.4001644616293253E-2</v>
      </c>
      <c r="C114" s="25">
        <f>LN(②原始價格與FX!C102/②原始價格與FX!C101)</f>
        <v>1.1419645646822831E-2</v>
      </c>
      <c r="D114" s="25">
        <f>LN(②原始價格與FX!D102/②原始價格與FX!D101)</f>
        <v>1.6851744746094931E-2</v>
      </c>
      <c r="E114" s="25">
        <f>LN(②原始價格與FX!G102/②原始價格與FX!G101)</f>
        <v>-1.9898097686925841E-4</v>
      </c>
      <c r="F114" s="25">
        <f>LN(②原始價格與FX!H102/②原始價格與FX!H101)</f>
        <v>4.4740967399052789E-3</v>
      </c>
      <c r="G114" s="25">
        <f t="shared" si="3"/>
        <v>1.4001644616293253E-2</v>
      </c>
      <c r="H114" s="26">
        <f t="shared" si="4"/>
        <v>1.1220664669953572E-2</v>
      </c>
      <c r="I114" s="26">
        <f t="shared" si="5"/>
        <v>2.132584148600021E-2</v>
      </c>
      <c r="J114" s="27">
        <f>G114*①基本設定!$G$5+H114*①基本設定!$G$6+I114*①基本設定!$G$7</f>
        <v>23929.352196330921</v>
      </c>
    </row>
    <row r="115" spans="1:10" x14ac:dyDescent="0.25">
      <c r="A115" s="3" t="s">
        <v>154</v>
      </c>
      <c r="B115" s="25">
        <f>LN(②原始價格與FX!B103/②原始價格與FX!B102)</f>
        <v>9.8503471022022265E-3</v>
      </c>
      <c r="C115" s="25">
        <f>LN(②原始價格與FX!C103/②原始價格與FX!C102)</f>
        <v>-4.0694350652947129E-3</v>
      </c>
      <c r="D115" s="25">
        <f>LN(②原始價格與FX!D103/②原始價格與FX!D102)</f>
        <v>-3.5552346735144014E-2</v>
      </c>
      <c r="E115" s="25">
        <f>LN(②原始價格與FX!G103/②原始價格與FX!G102)</f>
        <v>1.3528927297375565E-3</v>
      </c>
      <c r="F115" s="25">
        <f>LN(②原始價格與FX!H103/②原始價格與FX!H102)</f>
        <v>5.3227425663509534E-4</v>
      </c>
      <c r="G115" s="25">
        <f t="shared" si="3"/>
        <v>9.8503471022022265E-3</v>
      </c>
      <c r="H115" s="26">
        <f t="shared" si="4"/>
        <v>-2.7165423355571565E-3</v>
      </c>
      <c r="I115" s="26">
        <f t="shared" si="5"/>
        <v>-3.5020072478508919E-2</v>
      </c>
      <c r="J115" s="27">
        <f>G115*①基本設定!$G$5+H115*①基本設定!$G$6+I115*①基本設定!$G$7</f>
        <v>5242.264535297606</v>
      </c>
    </row>
    <row r="116" spans="1:10" x14ac:dyDescent="0.25">
      <c r="A116" s="3" t="s">
        <v>155</v>
      </c>
      <c r="B116" s="25">
        <f>LN(②原始價格與FX!B104/②原始價格與FX!B103)</f>
        <v>2.6136297816169555E-2</v>
      </c>
      <c r="C116" s="25">
        <f>LN(②原始價格與FX!C104/②原始價格與FX!C103)</f>
        <v>2.6160044640175805E-2</v>
      </c>
      <c r="D116" s="25">
        <f>LN(②原始價格與FX!D104/②原始價格與FX!D103)</f>
        <v>-5.6140387350287618E-3</v>
      </c>
      <c r="E116" s="25">
        <f>LN(②原始價格與FX!G104/②原始價格與FX!G103)</f>
        <v>-4.9927808158338645E-3</v>
      </c>
      <c r="F116" s="25">
        <f>LN(②原始價格與FX!H104/②原始價格與FX!H103)</f>
        <v>-1.2697374169012635E-3</v>
      </c>
      <c r="G116" s="25">
        <f t="shared" si="3"/>
        <v>2.6136297816169555E-2</v>
      </c>
      <c r="H116" s="26">
        <f t="shared" si="4"/>
        <v>2.1167263824341941E-2</v>
      </c>
      <c r="I116" s="26">
        <f t="shared" si="5"/>
        <v>-6.8837761519300253E-3</v>
      </c>
      <c r="J116" s="27">
        <f>G116*①基本設定!$G$5+H116*①基本設定!$G$6+I116*①基本設定!$G$7</f>
        <v>44384.617990235412</v>
      </c>
    </row>
    <row r="117" spans="1:10" x14ac:dyDescent="0.25">
      <c r="A117" s="3" t="s">
        <v>156</v>
      </c>
      <c r="B117" s="25">
        <f>LN(②原始價格與FX!B105/②原始價格與FX!B104)</f>
        <v>1.8783717989185173E-2</v>
      </c>
      <c r="C117" s="25">
        <f>LN(②原始價格與FX!C105/②原始價格與FX!C104)</f>
        <v>8.2351506902840696E-3</v>
      </c>
      <c r="D117" s="25">
        <f>LN(②原始價格與FX!D105/②原始價格與FX!D104)</f>
        <v>3.5776514335742475E-3</v>
      </c>
      <c r="E117" s="25">
        <f>LN(②原始價格與FX!G105/②原始價格與FX!G104)</f>
        <v>-3.2736031562442735E-3</v>
      </c>
      <c r="F117" s="25">
        <f>LN(②原始價格與FX!H105/②原始價格與FX!H104)</f>
        <v>-1.0630508020642391E-2</v>
      </c>
      <c r="G117" s="25">
        <f t="shared" si="3"/>
        <v>1.8783717989185173E-2</v>
      </c>
      <c r="H117" s="26">
        <f t="shared" si="4"/>
        <v>4.9615475340397961E-3</v>
      </c>
      <c r="I117" s="26">
        <f t="shared" si="5"/>
        <v>-7.0528565870681438E-3</v>
      </c>
      <c r="J117" s="27">
        <f>G117*①基本設定!$G$5+H117*①基本設定!$G$6+I117*①基本設定!$G$7</f>
        <v>21208.08952733516</v>
      </c>
    </row>
    <row r="118" spans="1:10" x14ac:dyDescent="0.25">
      <c r="A118" s="3" t="s">
        <v>157</v>
      </c>
      <c r="B118" s="25">
        <f>LN(②原始價格與FX!B106/②原始價格與FX!B105)</f>
        <v>6.7204303604633626E-4</v>
      </c>
      <c r="C118" s="25">
        <f>LN(②原始價格與FX!C106/②原始價格與FX!C105)</f>
        <v>-1.3600144862558287E-2</v>
      </c>
      <c r="D118" s="25">
        <f>LN(②原始價格與FX!D106/②原始價格與FX!D105)</f>
        <v>-5.2759701891707499E-3</v>
      </c>
      <c r="E118" s="25">
        <f>LN(②原始價格與FX!G106/②原始價格與FX!G105)</f>
        <v>-1.7259825366062627E-3</v>
      </c>
      <c r="F118" s="25">
        <f>LN(②原始價格與FX!H106/②原始價格與FX!H105)</f>
        <v>2.4823147908415522E-3</v>
      </c>
      <c r="G118" s="25">
        <f t="shared" si="3"/>
        <v>6.7204303604633626E-4</v>
      </c>
      <c r="H118" s="26">
        <f t="shared" si="4"/>
        <v>-1.5326127399164549E-2</v>
      </c>
      <c r="I118" s="26">
        <f t="shared" si="5"/>
        <v>-2.7936553983291977E-3</v>
      </c>
      <c r="J118" s="28">
        <f>G118*①基本設定!$G$5+H118*①基本設定!$G$6+I118*①基本設定!$G$7</f>
        <v>-15402.291921062009</v>
      </c>
    </row>
    <row r="119" spans="1:10" x14ac:dyDescent="0.25">
      <c r="A119" s="3" t="s">
        <v>158</v>
      </c>
      <c r="B119" s="25">
        <f>LN(②原始價格與FX!B107/②原始價格與FX!B106)</f>
        <v>1.8390871500724079E-3</v>
      </c>
      <c r="C119" s="25">
        <f>LN(②原始價格與FX!C107/②原始價格與FX!C106)</f>
        <v>4.4728249253757832E-3</v>
      </c>
      <c r="D119" s="25">
        <f>LN(②原始價格與FX!D107/②原始價格與FX!D106)</f>
        <v>-1.1728559097714029E-2</v>
      </c>
      <c r="E119" s="25">
        <f>LN(②原始價格與FX!G107/②原始價格與FX!G106)</f>
        <v>-2.8141407733182555E-3</v>
      </c>
      <c r="F119" s="25">
        <f>LN(②原始價格與FX!H107/②原始價格與FX!H106)</f>
        <v>-3.3525827639623879E-3</v>
      </c>
      <c r="G119" s="25">
        <f t="shared" si="3"/>
        <v>1.8390871500724079E-3</v>
      </c>
      <c r="H119" s="26">
        <f t="shared" si="4"/>
        <v>1.6586841520575277E-3</v>
      </c>
      <c r="I119" s="26">
        <f t="shared" si="5"/>
        <v>-1.5081141861676417E-2</v>
      </c>
      <c r="J119" s="27">
        <f>G119*①基本設定!$G$5+H119*①基本設定!$G$6+I119*①基本設定!$G$7</f>
        <v>3138.4231133081116</v>
      </c>
    </row>
    <row r="120" spans="1:10" x14ac:dyDescent="0.25">
      <c r="A120" s="3" t="s">
        <v>159</v>
      </c>
      <c r="B120" s="25">
        <f>LN(②原始價格與FX!B108/②原始價格與FX!B107)</f>
        <v>8.4537453316638894E-3</v>
      </c>
      <c r="C120" s="25">
        <f>LN(②原始價格與FX!C108/②原始價格與FX!C107)</f>
        <v>-7.2478838397864705E-3</v>
      </c>
      <c r="D120" s="25">
        <f>LN(②原始價格與FX!D108/②原始價格與FX!D107)</f>
        <v>-1.0583648239411237E-2</v>
      </c>
      <c r="E120" s="25">
        <f>LN(②原始價格與FX!G108/②原始價格與FX!G107)</f>
        <v>5.3231255259467113E-3</v>
      </c>
      <c r="F120" s="25">
        <f>LN(②原始價格與FX!H108/②原始價格與FX!H107)</f>
        <v>2.8152705519818785E-3</v>
      </c>
      <c r="G120" s="25">
        <f t="shared" si="3"/>
        <v>8.4537453316638894E-3</v>
      </c>
      <c r="H120" s="26">
        <f t="shared" si="4"/>
        <v>-1.9247583138397592E-3</v>
      </c>
      <c r="I120" s="26">
        <f t="shared" si="5"/>
        <v>-7.7683776874293581E-3</v>
      </c>
      <c r="J120" s="27">
        <f>G120*①基本設定!$G$5+H120*①基本設定!$G$6+I120*①基本設定!$G$7</f>
        <v>5167.6942059969469</v>
      </c>
    </row>
    <row r="121" spans="1:10" x14ac:dyDescent="0.25">
      <c r="A121" s="3" t="s">
        <v>160</v>
      </c>
      <c r="B121" s="25">
        <f>LN(②原始價格與FX!B109/②原始價格與FX!B108)</f>
        <v>2.3909156637729272E-3</v>
      </c>
      <c r="C121" s="25">
        <f>LN(②原始價格與FX!C109/②原始價格與FX!C108)</f>
        <v>-6.8069316011632342E-3</v>
      </c>
      <c r="D121" s="25">
        <f>LN(②原始價格與FX!D109/②原始價格與FX!D108)</f>
        <v>-2.2721716136017232E-2</v>
      </c>
      <c r="E121" s="25">
        <f>LN(②原始價格與FX!G109/②原始價格與FX!G108)</f>
        <v>3.8695778129084683E-3</v>
      </c>
      <c r="F121" s="25">
        <f>LN(②原始價格與FX!H109/②原始價格與FX!H108)</f>
        <v>5.3601744632600246E-3</v>
      </c>
      <c r="G121" s="25">
        <f t="shared" si="3"/>
        <v>2.3909156637729272E-3</v>
      </c>
      <c r="H121" s="26">
        <f t="shared" si="4"/>
        <v>-2.9373537882547659E-3</v>
      </c>
      <c r="I121" s="26">
        <f t="shared" si="5"/>
        <v>-1.7361541672757205E-2</v>
      </c>
      <c r="J121" s="28">
        <f>G121*①基本設定!$G$5+H121*①基本設定!$G$6+I121*①基本設定!$G$7</f>
        <v>-1195.6783300117058</v>
      </c>
    </row>
    <row r="122" spans="1:10" x14ac:dyDescent="0.25">
      <c r="A122" s="3" t="s">
        <v>161</v>
      </c>
      <c r="B122" s="25">
        <f>LN(②原始價格與FX!B110/②原始價格與FX!B109)</f>
        <v>-9.7990985082611996E-3</v>
      </c>
      <c r="C122" s="25">
        <f>LN(②原始價格與FX!C110/②原始價格與FX!C109)</f>
        <v>-1.4255172606168437E-2</v>
      </c>
      <c r="D122" s="25">
        <f>LN(②原始價格與FX!D110/②原始價格與FX!D109)</f>
        <v>-1.6464741738898801E-3</v>
      </c>
      <c r="E122" s="25">
        <f>LN(②原始價格與FX!G110/②原始價格與FX!G109)</f>
        <v>2.0377642370300749E-3</v>
      </c>
      <c r="F122" s="25">
        <f>LN(②原始價格與FX!H110/②原始價格與FX!H109)</f>
        <v>-1.645007406243423E-4</v>
      </c>
      <c r="G122" s="25">
        <f t="shared" si="3"/>
        <v>-9.7990985082611996E-3</v>
      </c>
      <c r="H122" s="26">
        <f t="shared" si="4"/>
        <v>-1.2217408369138361E-2</v>
      </c>
      <c r="I122" s="26">
        <f t="shared" si="5"/>
        <v>-1.8109749145142225E-3</v>
      </c>
      <c r="J122" s="28">
        <f>G122*①基本設定!$G$5+H122*①基本設定!$G$6+I122*①基本設定!$G$7</f>
        <v>-21144.334466706045</v>
      </c>
    </row>
    <row r="123" spans="1:10" x14ac:dyDescent="0.25">
      <c r="A123" s="3" t="s">
        <v>162</v>
      </c>
      <c r="B123" s="25">
        <f>LN(②原始價格與FX!B111/②原始價格與FX!B110)</f>
        <v>1.4233695576126889E-2</v>
      </c>
      <c r="C123" s="25">
        <f>LN(②原始價格與FX!C111/②原始價格與FX!C110)</f>
        <v>1.4296317250170321E-2</v>
      </c>
      <c r="D123" s="25">
        <f>LN(②原始價格與FX!D111/②原始價格與FX!D110)</f>
        <v>-8.6593653766560506E-3</v>
      </c>
      <c r="E123" s="25">
        <f>LN(②原始價格與FX!G111/②原始價格與FX!G110)</f>
        <v>1.4495660621530546E-3</v>
      </c>
      <c r="F123" s="25">
        <f>LN(②原始價格與FX!H111/②原始價格與FX!H110)</f>
        <v>5.9050446335759624E-3</v>
      </c>
      <c r="G123" s="25">
        <f t="shared" si="3"/>
        <v>1.4233695576126889E-2</v>
      </c>
      <c r="H123" s="26">
        <f t="shared" si="4"/>
        <v>1.5745883312323378E-2</v>
      </c>
      <c r="I123" s="26">
        <f t="shared" si="5"/>
        <v>-2.7543207430800881E-3</v>
      </c>
      <c r="J123" s="27">
        <f>G123*①基本設定!$G$5+H123*①基本設定!$G$6+I123*①基本設定!$G$7</f>
        <v>28572.15358378589</v>
      </c>
    </row>
    <row r="124" spans="1:10" x14ac:dyDescent="0.25">
      <c r="A124" s="3" t="s">
        <v>163</v>
      </c>
      <c r="B124" s="25">
        <f>LN(②原始價格與FX!B112/②原始價格與FX!B111)</f>
        <v>-6.4798048247812299E-3</v>
      </c>
      <c r="C124" s="25">
        <f>LN(②原始價格與FX!C112/②原始價格與FX!C111)</f>
        <v>3.2450890068169542E-3</v>
      </c>
      <c r="D124" s="25">
        <f>LN(②原始價格與FX!D112/②原始價格與FX!D111)</f>
        <v>-3.4590158617512773E-2</v>
      </c>
      <c r="E124" s="25">
        <f>LN(②原始價格與FX!G112/②原始價格與FX!G111)</f>
        <v>8.248018986501054E-4</v>
      </c>
      <c r="F124" s="25">
        <f>LN(②原始價格與FX!H112/②原始價格與FX!H111)</f>
        <v>6.539687962982784E-4</v>
      </c>
      <c r="G124" s="25">
        <f t="shared" si="3"/>
        <v>-6.4798048247812299E-3</v>
      </c>
      <c r="H124" s="26">
        <f t="shared" si="4"/>
        <v>4.0698909054670595E-3</v>
      </c>
      <c r="I124" s="26">
        <f t="shared" si="5"/>
        <v>-3.3936189821214498E-2</v>
      </c>
      <c r="J124" s="28">
        <f>G124*①基本設定!$G$5+H124*①基本設定!$G$6+I124*①基本設定!$G$7</f>
        <v>-1700.6602064147462</v>
      </c>
    </row>
    <row r="125" spans="1:10" x14ac:dyDescent="0.25">
      <c r="A125" s="3" t="s">
        <v>164</v>
      </c>
      <c r="B125" s="25">
        <f>LN(②原始價格與FX!B113/②原始價格與FX!B112)</f>
        <v>1.7774907834598036E-2</v>
      </c>
      <c r="C125" s="25">
        <f>LN(②原始價格與FX!C113/②原始價格與FX!C112)</f>
        <v>2.6068018631881275E-2</v>
      </c>
      <c r="D125" s="25">
        <f>LN(②原始價格與FX!D113/②原始價格與FX!D112)</f>
        <v>2.3294419154006991E-2</v>
      </c>
      <c r="E125" s="25">
        <f>LN(②原始價格與FX!G113/②原始價格與FX!G112)</f>
        <v>6.6476464215800611E-4</v>
      </c>
      <c r="F125" s="25">
        <f>LN(②原始價格與FX!H113/②原始價格與FX!H112)</f>
        <v>3.7520435534263547E-3</v>
      </c>
      <c r="G125" s="25">
        <f t="shared" si="3"/>
        <v>1.7774907834598036E-2</v>
      </c>
      <c r="H125" s="26">
        <f t="shared" si="4"/>
        <v>2.673278327403928E-2</v>
      </c>
      <c r="I125" s="26">
        <f t="shared" si="5"/>
        <v>2.7046462707433345E-2</v>
      </c>
      <c r="J125" s="27">
        <f>G125*①基本設定!$G$5+H125*①基本設定!$G$6+I125*①基本設定!$G$7</f>
        <v>43373.019859041386</v>
      </c>
    </row>
    <row r="126" spans="1:10" x14ac:dyDescent="0.25">
      <c r="A126" s="3" t="s">
        <v>165</v>
      </c>
      <c r="B126" s="25">
        <f>LN(②原始價格與FX!B114/②原始價格與FX!B113)</f>
        <v>-4.3031019185305976E-2</v>
      </c>
      <c r="C126" s="25">
        <f>LN(②原始價格與FX!C114/②原始價格與FX!C113)</f>
        <v>-6.6948876011018611E-3</v>
      </c>
      <c r="D126" s="25">
        <f>LN(②原始價格與FX!D114/②原始價格與FX!D113)</f>
        <v>-4.7660767538293444E-2</v>
      </c>
      <c r="E126" s="25">
        <f>LN(②原始價格與FX!G114/②原始價格與FX!G113)</f>
        <v>-1.4865550776739576E-3</v>
      </c>
      <c r="F126" s="25">
        <f>LN(②原始價格與FX!H114/②原始價格與FX!H113)</f>
        <v>6.7750112085569192E-3</v>
      </c>
      <c r="G126" s="25">
        <f t="shared" si="3"/>
        <v>-4.3031019185305976E-2</v>
      </c>
      <c r="H126" s="26">
        <f t="shared" si="4"/>
        <v>-8.1814426787758191E-3</v>
      </c>
      <c r="I126" s="26">
        <f t="shared" si="5"/>
        <v>-4.0885756329736525E-2</v>
      </c>
      <c r="J126" s="28">
        <f>G126*①基本設定!$G$5+H126*①基本設定!$G$6+I126*①基本設定!$G$7</f>
        <v>-45899.325340848009</v>
      </c>
    </row>
    <row r="127" spans="1:10" x14ac:dyDescent="0.25">
      <c r="A127" s="3" t="s">
        <v>166</v>
      </c>
      <c r="B127" s="25">
        <f>LN(②原始價格與FX!B115/②原始價格與FX!B114)</f>
        <v>1.9095270421203032E-2</v>
      </c>
      <c r="C127" s="25">
        <f>LN(②原始價格與FX!C115/②原始價格與FX!C114)</f>
        <v>-3.1918690094394797E-2</v>
      </c>
      <c r="D127" s="25">
        <f>LN(②原始價格與FX!D115/②原始價格與FX!D114)</f>
        <v>-3.3833388049792197E-2</v>
      </c>
      <c r="E127" s="25">
        <f>LN(②原始價格與FX!G115/②原始價格與FX!G114)</f>
        <v>2.9198593592894631E-3</v>
      </c>
      <c r="F127" s="25">
        <f>LN(②原始價格與FX!H115/②原始價格與FX!H114)</f>
        <v>-2.5504537841942385E-3</v>
      </c>
      <c r="G127" s="25">
        <f t="shared" si="3"/>
        <v>1.9095270421203032E-2</v>
      </c>
      <c r="H127" s="26">
        <f t="shared" si="4"/>
        <v>-2.8998830735105334E-2</v>
      </c>
      <c r="I127" s="26">
        <f t="shared" si="5"/>
        <v>-3.6383841833986436E-2</v>
      </c>
      <c r="J127" s="28">
        <f>G127*①基本設定!$G$5+H127*①基本設定!$G$6+I127*①基本設定!$G$7</f>
        <v>-14186.797020111329</v>
      </c>
    </row>
    <row r="128" spans="1:10" x14ac:dyDescent="0.25">
      <c r="A128" s="3" t="s">
        <v>167</v>
      </c>
      <c r="B128" s="25">
        <f>LN(②原始價格與FX!B116/②原始價格與FX!B115)</f>
        <v>7.7150492272717204E-3</v>
      </c>
      <c r="C128" s="25">
        <f>LN(②原始價格與FX!C116/②原始價格與FX!C115)</f>
        <v>-2.2213338034704093E-2</v>
      </c>
      <c r="D128" s="25">
        <f>LN(②原始價格與FX!D116/②原始價格與FX!D115)</f>
        <v>-6.2130600211951506E-2</v>
      </c>
      <c r="E128" s="25">
        <f>LN(②原始價格與FX!G116/②原始價格與FX!G115)</f>
        <v>5.384294379924299E-3</v>
      </c>
      <c r="F128" s="25">
        <f>LN(②原始價格與FX!H116/②原始價格與FX!H115)</f>
        <v>-6.7515610107911411E-3</v>
      </c>
      <c r="G128" s="25">
        <f t="shared" si="3"/>
        <v>7.7150492272717204E-3</v>
      </c>
      <c r="H128" s="26">
        <f t="shared" si="4"/>
        <v>-1.6829043654779795E-2</v>
      </c>
      <c r="I128" s="26">
        <f t="shared" si="5"/>
        <v>-6.8882161222742641E-2</v>
      </c>
      <c r="J128" s="28">
        <f>G128*①基本設定!$G$5+H128*①基本設定!$G$6+I128*①基本設定!$G$7</f>
        <v>-11649.094296735968</v>
      </c>
    </row>
    <row r="129" spans="1:10" x14ac:dyDescent="0.25">
      <c r="A129" s="3" t="s">
        <v>168</v>
      </c>
      <c r="B129" s="25">
        <f>LN(②原始價格與FX!B117/②原始價格與FX!B116)</f>
        <v>-2.1262983229496102E-2</v>
      </c>
      <c r="C129" s="25">
        <f>LN(②原始價格與FX!C117/②原始價格與FX!C116)</f>
        <v>2.0360558465363078E-3</v>
      </c>
      <c r="D129" s="25">
        <f>LN(②原始價格與FX!D117/②原始價格與FX!D116)</f>
        <v>-2.8190480005167901E-2</v>
      </c>
      <c r="E129" s="25">
        <f>LN(②原始價格與FX!G117/②原始價格與FX!G116)</f>
        <v>-6.9499147649031527E-3</v>
      </c>
      <c r="F129" s="25">
        <f>LN(②原始價格與FX!H117/②原始價格與FX!H116)</f>
        <v>2.4455869366785798E-3</v>
      </c>
      <c r="G129" s="25">
        <f t="shared" si="3"/>
        <v>-2.1262983229496102E-2</v>
      </c>
      <c r="H129" s="26">
        <f t="shared" si="4"/>
        <v>-4.9138589183668445E-3</v>
      </c>
      <c r="I129" s="26">
        <f t="shared" si="5"/>
        <v>-2.5744893068489323E-2</v>
      </c>
      <c r="J129" s="28">
        <f>G129*①基本設定!$G$5+H129*①基本設定!$G$6+I129*①基本設定!$G$7</f>
        <v>-23647.88293362792</v>
      </c>
    </row>
    <row r="130" spans="1:10" x14ac:dyDescent="0.25">
      <c r="A130" s="3" t="s">
        <v>169</v>
      </c>
      <c r="B130" s="25">
        <f>LN(②原始價格與FX!B118/②原始價格與FX!B117)</f>
        <v>-2.1517111248002579E-2</v>
      </c>
      <c r="C130" s="25">
        <f>LN(②原始價格與FX!C118/②原始價格與FX!C117)</f>
        <v>-2.6306871926337068E-3</v>
      </c>
      <c r="D130" s="25">
        <f>LN(②原始價格與FX!D118/②原始價格與FX!D117)</f>
        <v>-4.162294863962592E-3</v>
      </c>
      <c r="E130" s="25">
        <f>LN(②原始價格與FX!G118/②原始價格與FX!G117)</f>
        <v>-2.2852129034805681E-3</v>
      </c>
      <c r="F130" s="25">
        <f>LN(②原始價格與FX!H118/②原始價格與FX!H117)</f>
        <v>-2.4863974331439873E-3</v>
      </c>
      <c r="G130" s="25">
        <f t="shared" si="3"/>
        <v>-2.1517111248002579E-2</v>
      </c>
      <c r="H130" s="26">
        <f t="shared" si="4"/>
        <v>-4.9159000961142753E-3</v>
      </c>
      <c r="I130" s="26">
        <f t="shared" si="5"/>
        <v>-6.6486922971065792E-3</v>
      </c>
      <c r="J130" s="28">
        <f>G130*①基本設定!$G$5+H130*①基本設定!$G$6+I130*①基本設定!$G$7</f>
        <v>-23657.733284456473</v>
      </c>
    </row>
    <row r="131" spans="1:10" x14ac:dyDescent="0.25">
      <c r="A131" s="3" t="s">
        <v>170</v>
      </c>
      <c r="B131" s="25">
        <f>LN(②原始價格與FX!B119/②原始價格與FX!B118)</f>
        <v>2.5333393249979963E-2</v>
      </c>
      <c r="C131" s="25">
        <f>LN(②原始價格與FX!C119/②原始價格與FX!C118)</f>
        <v>2.1727651828605973E-2</v>
      </c>
      <c r="D131" s="25">
        <f>LN(②原始價格與FX!D119/②原始價格與FX!D118)</f>
        <v>1.5376214411914077E-3</v>
      </c>
      <c r="E131" s="25">
        <f>LN(②原始價格與FX!G119/②原始價格與FX!G118)</f>
        <v>1.5992943625039089E-3</v>
      </c>
      <c r="F131" s="25">
        <f>LN(②原始價格與FX!H119/②原始價格與FX!H118)</f>
        <v>4.3979384320848632E-3</v>
      </c>
      <c r="G131" s="25">
        <f t="shared" si="3"/>
        <v>2.5333393249979963E-2</v>
      </c>
      <c r="H131" s="26">
        <f t="shared" si="4"/>
        <v>2.3326946191109883E-2</v>
      </c>
      <c r="I131" s="26">
        <f t="shared" si="5"/>
        <v>5.9355598732762707E-3</v>
      </c>
      <c r="J131" s="27">
        <f>G131*①基本設定!$G$5+H131*①基本設定!$G$6+I131*①基本設定!$G$7</f>
        <v>46084.059640394313</v>
      </c>
    </row>
    <row r="132" spans="1:10" x14ac:dyDescent="0.25">
      <c r="A132" s="3" t="s">
        <v>171</v>
      </c>
      <c r="B132" s="25">
        <f>LN(②原始價格與FX!B120/②原始價格與FX!B119)</f>
        <v>-1.3804578133191308E-2</v>
      </c>
      <c r="C132" s="25">
        <f>LN(②原始價格與FX!C120/②原始價格與FX!C119)</f>
        <v>1.4978308124589189E-2</v>
      </c>
      <c r="D132" s="25">
        <f>LN(②原始價格與FX!D120/②原始價格與FX!D119)</f>
        <v>-1.3555527929322979E-2</v>
      </c>
      <c r="E132" s="25">
        <f>LN(②原始價格與FX!G120/②原始價格與FX!G119)</f>
        <v>6.7693572097311215E-3</v>
      </c>
      <c r="F132" s="25">
        <f>LN(②原始價格與FX!H120/②原始價格與FX!H119)</f>
        <v>1.9890002701046382E-3</v>
      </c>
      <c r="G132" s="25">
        <f t="shared" si="3"/>
        <v>-1.3804578133191308E-2</v>
      </c>
      <c r="H132" s="26">
        <f t="shared" si="4"/>
        <v>2.174766533432031E-2</v>
      </c>
      <c r="I132" s="26">
        <f t="shared" si="5"/>
        <v>-1.1566527659218341E-2</v>
      </c>
      <c r="J132" s="27">
        <f>G132*①基本設定!$G$5+H132*①基本設定!$G$6+I132*①基本設定!$G$7</f>
        <v>10654.137202635686</v>
      </c>
    </row>
    <row r="133" spans="1:10" x14ac:dyDescent="0.25">
      <c r="A133" s="3" t="s">
        <v>172</v>
      </c>
      <c r="B133" s="25">
        <f>LN(②原始價格與FX!B121/②原始價格與FX!B120)</f>
        <v>-2.1539549827952986E-2</v>
      </c>
      <c r="C133" s="25">
        <f>LN(②原始價格與FX!C121/②原始價格與FX!C120)</f>
        <v>2.3725774035600776E-3</v>
      </c>
      <c r="D133" s="25">
        <f>LN(②原始價格與FX!D121/②原始價格與FX!D120)</f>
        <v>-1.5925646677391367E-2</v>
      </c>
      <c r="E133" s="25">
        <f>LN(②原始價格與FX!G121/②原始價格與FX!G120)</f>
        <v>-2.1335336314571986E-3</v>
      </c>
      <c r="F133" s="25">
        <f>LN(②原始價格與FX!H121/②原始價格與FX!H120)</f>
        <v>2.3492254313453912E-3</v>
      </c>
      <c r="G133" s="25">
        <f t="shared" si="3"/>
        <v>-2.1539549827952986E-2</v>
      </c>
      <c r="H133" s="26">
        <f t="shared" si="4"/>
        <v>2.3904377210287901E-4</v>
      </c>
      <c r="I133" s="26">
        <f t="shared" si="5"/>
        <v>-1.3576421246045975E-2</v>
      </c>
      <c r="J133" s="28">
        <f>G133*①基本設定!$G$5+H133*①基本設定!$G$6+I133*①基本設定!$G$7</f>
        <v>-18389.093498407616</v>
      </c>
    </row>
    <row r="134" spans="1:10" x14ac:dyDescent="0.25">
      <c r="A134" s="3" t="s">
        <v>173</v>
      </c>
      <c r="B134" s="25">
        <f>LN(②原始價格與FX!B122/②原始價格與FX!B121)</f>
        <v>-3.0662343864939712E-2</v>
      </c>
      <c r="C134" s="25">
        <f>LN(②原始價格與FX!C122/②原始價格與FX!C121)</f>
        <v>2.489238395376282E-3</v>
      </c>
      <c r="D134" s="25">
        <f>LN(②原始價格與FX!D122/②原始價格與FX!D121)</f>
        <v>1.4756907244983127E-2</v>
      </c>
      <c r="E134" s="25">
        <f>LN(②原始價格與FX!G122/②原始價格與FX!G121)</f>
        <v>-9.650253993140754E-4</v>
      </c>
      <c r="F134" s="25">
        <f>LN(②原始價格與FX!H122/②原始價格與FX!H121)</f>
        <v>-2.1870325836945031E-3</v>
      </c>
      <c r="G134" s="25">
        <f t="shared" si="3"/>
        <v>-3.0662343864939712E-2</v>
      </c>
      <c r="H134" s="26">
        <f t="shared" si="4"/>
        <v>1.5242129960622067E-3</v>
      </c>
      <c r="I134" s="26">
        <f t="shared" si="5"/>
        <v>1.2569874661288625E-2</v>
      </c>
      <c r="J134" s="28">
        <f>G134*①基本設定!$G$5+H134*①基本設定!$G$6+I134*①基本設定!$G$7</f>
        <v>-24594.126834524937</v>
      </c>
    </row>
    <row r="135" spans="1:10" x14ac:dyDescent="0.25">
      <c r="A135" s="3" t="s">
        <v>174</v>
      </c>
      <c r="B135" s="25">
        <f>LN(②原始價格與FX!B123/②原始價格與FX!B122)</f>
        <v>-2.3607797354112784E-2</v>
      </c>
      <c r="C135" s="25">
        <f>LN(②原始價格與FX!C123/②原始價格與FX!C122)</f>
        <v>-1.2467353087014302E-2</v>
      </c>
      <c r="D135" s="25">
        <f>LN(②原始價格與FX!D123/②原始價格與FX!D122)</f>
        <v>-1.6632572092655888E-2</v>
      </c>
      <c r="E135" s="25">
        <f>LN(②原始價格與FX!G123/②原始價格與FX!G122)</f>
        <v>3.2838687525897623E-3</v>
      </c>
      <c r="F135" s="25">
        <f>LN(②原始價格與FX!H123/②原始價格與FX!H122)</f>
        <v>5.1763299015979564E-3</v>
      </c>
      <c r="G135" s="25">
        <f t="shared" si="3"/>
        <v>-2.3607797354112784E-2</v>
      </c>
      <c r="H135" s="26">
        <f t="shared" si="4"/>
        <v>-9.1834843344245406E-3</v>
      </c>
      <c r="I135" s="26">
        <f t="shared" si="5"/>
        <v>-1.1456242191057932E-2</v>
      </c>
      <c r="J135" s="28">
        <f>G135*①基本設定!$G$5+H135*①基本設定!$G$6+I135*①基本設定!$G$7</f>
        <v>-29946.06627230809</v>
      </c>
    </row>
    <row r="136" spans="1:10" x14ac:dyDescent="0.25">
      <c r="A136" s="3" t="s">
        <v>175</v>
      </c>
      <c r="B136" s="25">
        <f>LN(②原始價格與FX!B124/②原始價格與FX!B123)</f>
        <v>-2.751643845181864E-3</v>
      </c>
      <c r="C136" s="25">
        <f>LN(②原始價格與FX!C124/②原始價格與FX!C123)</f>
        <v>-8.1629723790121993E-3</v>
      </c>
      <c r="D136" s="25">
        <f>LN(②原始價格與FX!D124/②原始價格與FX!D123)</f>
        <v>-3.4205150766064986E-2</v>
      </c>
      <c r="E136" s="25">
        <f>LN(②原始價格與FX!G124/②原始價格與FX!G123)</f>
        <v>-5.6434082663521104E-3</v>
      </c>
      <c r="F136" s="25">
        <f>LN(②原始價格與FX!H124/②原始價格與FX!H123)</f>
        <v>4.1459596086989622E-3</v>
      </c>
      <c r="G136" s="25">
        <f t="shared" si="3"/>
        <v>-2.751643845181864E-3</v>
      </c>
      <c r="H136" s="26">
        <f t="shared" si="4"/>
        <v>-1.3806380645364311E-2</v>
      </c>
      <c r="I136" s="26">
        <f t="shared" si="5"/>
        <v>-3.0059191157366022E-2</v>
      </c>
      <c r="J136" s="28">
        <f>G136*①基本設定!$G$5+H136*①基本設定!$G$6+I136*①基本設定!$G$7</f>
        <v>-17059.944039430717</v>
      </c>
    </row>
    <row r="137" spans="1:10" x14ac:dyDescent="0.25">
      <c r="A137" s="3" t="s">
        <v>176</v>
      </c>
      <c r="B137" s="25">
        <f>LN(②原始價格與FX!B125/②原始價格與FX!B124)</f>
        <v>1.2880017769592857E-3</v>
      </c>
      <c r="C137" s="25">
        <f>LN(②原始價格與FX!C125/②原始價格與FX!C124)</f>
        <v>-5.0470398485357787E-3</v>
      </c>
      <c r="D137" s="25">
        <f>LN(②原始價格與FX!D125/②原始價格與FX!D124)</f>
        <v>2.113208333573442E-3</v>
      </c>
      <c r="E137" s="25">
        <f>LN(②原始價格與FX!G125/②原始價格與FX!G124)</f>
        <v>4.5072387015375308E-4</v>
      </c>
      <c r="F137" s="25">
        <f>LN(②原始價格與FX!H125/②原始價格與FX!H124)</f>
        <v>2.0465086093711827E-3</v>
      </c>
      <c r="G137" s="25">
        <f t="shared" si="3"/>
        <v>1.2880017769592857E-3</v>
      </c>
      <c r="H137" s="26">
        <f t="shared" si="4"/>
        <v>-4.5963159783820257E-3</v>
      </c>
      <c r="I137" s="26">
        <f t="shared" si="5"/>
        <v>4.1597169429446242E-3</v>
      </c>
      <c r="J137" s="28">
        <f>G137*①基本設定!$G$5+H137*①基本設定!$G$6+I137*①基本設定!$G$7</f>
        <v>-3631.5466042757598</v>
      </c>
    </row>
    <row r="138" spans="1:10" x14ac:dyDescent="0.25">
      <c r="A138" s="3" t="s">
        <v>177</v>
      </c>
      <c r="B138" s="25">
        <f>LN(②原始價格與FX!B126/②原始價格與FX!B125)</f>
        <v>1.3942883207338632E-2</v>
      </c>
      <c r="C138" s="25">
        <f>LN(②原始價格與FX!C126/②原始價格與FX!C125)</f>
        <v>1.8149920181887106E-2</v>
      </c>
      <c r="D138" s="25">
        <f>LN(②原始價格與FX!D126/②原始價格與FX!D125)</f>
        <v>1.543260296144864E-2</v>
      </c>
      <c r="E138" s="25">
        <f>LN(②原始價格與FX!G126/②原始價格與FX!G125)</f>
        <v>-3.0207231179580525E-3</v>
      </c>
      <c r="F138" s="25">
        <f>LN(②原始價格與FX!H126/②原始價格與FX!H125)</f>
        <v>-4.3387501776765746E-3</v>
      </c>
      <c r="G138" s="25">
        <f t="shared" si="3"/>
        <v>1.3942883207338632E-2</v>
      </c>
      <c r="H138" s="26">
        <f t="shared" si="4"/>
        <v>1.5129197063929054E-2</v>
      </c>
      <c r="I138" s="26">
        <f t="shared" si="5"/>
        <v>1.1093852783772066E-2</v>
      </c>
      <c r="J138" s="27">
        <f>G138*①基本設定!$G$5+H138*①基本設定!$G$6+I138*①基本設定!$G$7</f>
        <v>27833.393777686149</v>
      </c>
    </row>
    <row r="139" spans="1:10" x14ac:dyDescent="0.25">
      <c r="A139" s="3" t="s">
        <v>178</v>
      </c>
      <c r="B139" s="25">
        <f>LN(②原始價格與FX!B127/②原始價格與FX!B126)</f>
        <v>-5.2046895055594809E-2</v>
      </c>
      <c r="C139" s="25">
        <f>LN(②原始價格與FX!C127/②原始價格與FX!C126)</f>
        <v>-3.1494396372038436E-2</v>
      </c>
      <c r="D139" s="25">
        <f>LN(②原始價格與FX!D127/②原始價格與FX!D126)</f>
        <v>-1.3087431539032338E-2</v>
      </c>
      <c r="E139" s="25">
        <f>LN(②原始價格與FX!G127/②原始價格與FX!G126)</f>
        <v>-1.5228436992534417E-3</v>
      </c>
      <c r="F139" s="25">
        <f>LN(②原始價格與FX!H127/②原始價格與FX!H126)</f>
        <v>2.0512002687290303E-3</v>
      </c>
      <c r="G139" s="25">
        <f t="shared" si="3"/>
        <v>-5.2046895055594809E-2</v>
      </c>
      <c r="H139" s="26">
        <f t="shared" si="4"/>
        <v>-3.3017240071291878E-2</v>
      </c>
      <c r="I139" s="26">
        <f t="shared" si="5"/>
        <v>-1.1036231270303308E-2</v>
      </c>
      <c r="J139" s="28">
        <f>G139*①基本設定!$G$5+H139*①基本設定!$G$6+I139*①基本設定!$G$7</f>
        <v>-79153.236099101705</v>
      </c>
    </row>
    <row r="140" spans="1:10" x14ac:dyDescent="0.25">
      <c r="A140" s="3" t="s">
        <v>179</v>
      </c>
      <c r="B140" s="25">
        <f>LN(②原始價格與FX!B128/②原始價格與FX!B127)</f>
        <v>1.7203578455049131E-2</v>
      </c>
      <c r="C140" s="25">
        <f>LN(②原始價格與FX!C128/②原始價格與FX!C127)</f>
        <v>-1.2666224735582043E-2</v>
      </c>
      <c r="D140" s="25">
        <f>LN(②原始價格與FX!D128/②原始價格與FX!D127)</f>
        <v>-1.6401802002968997E-2</v>
      </c>
      <c r="E140" s="25">
        <f>LN(②原始價格與FX!G128/②原始價格與FX!G127)</f>
        <v>-6.1280708306179262E-4</v>
      </c>
      <c r="F140" s="25">
        <f>LN(②原始價格與FX!H128/②原始價格與FX!H127)</f>
        <v>-1.6084285103332055E-3</v>
      </c>
      <c r="G140" s="25">
        <f t="shared" si="3"/>
        <v>1.7203578455049131E-2</v>
      </c>
      <c r="H140" s="26">
        <f t="shared" si="4"/>
        <v>-1.3279031818643837E-2</v>
      </c>
      <c r="I140" s="26">
        <f t="shared" si="5"/>
        <v>-1.8010230513302201E-2</v>
      </c>
      <c r="J140" s="27">
        <f>G140*①基本設定!$G$5+H140*①基本設定!$G$6+I140*①基本設定!$G$7</f>
        <v>749.93557986234896</v>
      </c>
    </row>
    <row r="141" spans="1:10" x14ac:dyDescent="0.25">
      <c r="A141" s="3" t="s">
        <v>180</v>
      </c>
      <c r="B141" s="25">
        <f>LN(②原始價格與FX!B129/②原始價格與FX!B128)</f>
        <v>3.5383009572110935E-2</v>
      </c>
      <c r="C141" s="25">
        <f>LN(②原始價格與FX!C129/②原始價格與FX!C128)</f>
        <v>-3.4005153312679816E-2</v>
      </c>
      <c r="D141" s="25">
        <f>LN(②原始價格與FX!D129/②原始價格與FX!D128)</f>
        <v>-8.490151366496404E-3</v>
      </c>
      <c r="E141" s="25">
        <f>LN(②原始價格與FX!G129/②原始價格與FX!G128)</f>
        <v>2.6447582436020627E-3</v>
      </c>
      <c r="F141" s="25">
        <f>LN(②原始價格與FX!H129/②原始價格與FX!H128)</f>
        <v>-3.386144244035735E-3</v>
      </c>
      <c r="G141" s="25">
        <f t="shared" si="3"/>
        <v>3.5383009572110935E-2</v>
      </c>
      <c r="H141" s="26">
        <f t="shared" si="4"/>
        <v>-3.1360395069077757E-2</v>
      </c>
      <c r="I141" s="26">
        <f t="shared" si="5"/>
        <v>-1.1876295610532139E-2</v>
      </c>
      <c r="J141" s="28">
        <f>G141*①基本設定!$G$5+H141*①基本設定!$G$6+I141*①基本設定!$G$7</f>
        <v>-2393.7963373983885</v>
      </c>
    </row>
    <row r="142" spans="1:10" x14ac:dyDescent="0.25">
      <c r="A142" s="3" t="s">
        <v>181</v>
      </c>
      <c r="B142" s="25">
        <f>LN(②原始價格與FX!B130/②原始價格與FX!B129)</f>
        <v>-1.2885981906802391E-2</v>
      </c>
      <c r="C142" s="25">
        <f>LN(②原始價格與FX!C130/②原始價格與FX!C129)</f>
        <v>-1.0175479415533175E-2</v>
      </c>
      <c r="D142" s="25">
        <f>LN(②原始價格與FX!D130/②原始價格與FX!D129)</f>
        <v>-1.1745547671441689E-2</v>
      </c>
      <c r="E142" s="25">
        <f>LN(②原始價格與FX!G130/②原始價格與FX!G129)</f>
        <v>-5.9143708750743519E-3</v>
      </c>
      <c r="F142" s="25">
        <f>LN(②原始價格與FX!H130/②原始價格與FX!H129)</f>
        <v>1.6541933529369318E-3</v>
      </c>
      <c r="G142" s="25">
        <f t="shared" si="3"/>
        <v>-1.2885981906802391E-2</v>
      </c>
      <c r="H142" s="26">
        <f t="shared" si="4"/>
        <v>-1.6089850290607527E-2</v>
      </c>
      <c r="I142" s="26">
        <f t="shared" si="5"/>
        <v>-1.0091354318504758E-2</v>
      </c>
      <c r="J142" s="28">
        <f>G142*①基本設定!$G$5+H142*①基本設定!$G$6+I142*①基本設定!$G$7</f>
        <v>-27914.822374321953</v>
      </c>
    </row>
    <row r="143" spans="1:10" x14ac:dyDescent="0.25">
      <c r="A143" s="3" t="s">
        <v>182</v>
      </c>
      <c r="B143" s="25">
        <f>LN(②原始價格與FX!B131/②原始價格與FX!B130)</f>
        <v>1.3600262445330746E-2</v>
      </c>
      <c r="C143" s="25">
        <f>LN(②原始價格與FX!C131/②原始價格與FX!C130)</f>
        <v>2.0556119044959121E-2</v>
      </c>
      <c r="D143" s="25">
        <f>LN(②原始價格與FX!D131/②原始價格與FX!D130)</f>
        <v>7.2539929304062362E-2</v>
      </c>
      <c r="E143" s="25">
        <f>LN(②原始價格與FX!G131/②原始價格與FX!G130)</f>
        <v>-3.7211660491320653E-3</v>
      </c>
      <c r="F143" s="25">
        <f>LN(②原始價格與FX!H131/②原始價格與FX!H130)</f>
        <v>5.2392948301771124E-4</v>
      </c>
      <c r="G143" s="25">
        <f t="shared" si="3"/>
        <v>1.3600262445330746E-2</v>
      </c>
      <c r="H143" s="26">
        <f t="shared" si="4"/>
        <v>1.6834952995827056E-2</v>
      </c>
      <c r="I143" s="26">
        <f t="shared" si="5"/>
        <v>7.3063858787080077E-2</v>
      </c>
      <c r="J143" s="27">
        <f>G143*①基本設定!$G$5+H143*①基本設定!$G$6+I143*①基本設定!$G$7</f>
        <v>29997.10211594588</v>
      </c>
    </row>
    <row r="144" spans="1:10" x14ac:dyDescent="0.25">
      <c r="A144" s="3" t="s">
        <v>183</v>
      </c>
      <c r="B144" s="25">
        <f>LN(②原始價格與FX!B132/②原始價格與FX!B131)</f>
        <v>3.6765691403263315E-2</v>
      </c>
      <c r="C144" s="25">
        <f>LN(②原始價格與FX!C132/②原始價格與FX!C131)</f>
        <v>9.4037039106951107E-3</v>
      </c>
      <c r="D144" s="25">
        <f>LN(②原始價格與FX!D132/②原始價格與FX!D131)</f>
        <v>1.3774577718383528E-2</v>
      </c>
      <c r="E144" s="25">
        <f>LN(②原始價格與FX!G132/②原始價格與FX!G131)</f>
        <v>3.1302256032761369E-3</v>
      </c>
      <c r="F144" s="25">
        <f>LN(②原始價格與FX!H132/②原始價格與FX!H131)</f>
        <v>-3.673284046340361E-3</v>
      </c>
      <c r="G144" s="25">
        <f t="shared" ref="G144:G207" si="6">B144</f>
        <v>3.6765691403263315E-2</v>
      </c>
      <c r="H144" s="26">
        <f t="shared" ref="H144:H207" si="7">C144+E144</f>
        <v>1.2533929513971247E-2</v>
      </c>
      <c r="I144" s="26">
        <f t="shared" ref="I144:I207" si="8">D144+F144</f>
        <v>1.0101293672043167E-2</v>
      </c>
      <c r="J144" s="27">
        <f>G144*①基本設定!$G$5+H144*①基本設定!$G$6+I144*①基本設定!$G$7</f>
        <v>44711.554131064564</v>
      </c>
    </row>
    <row r="145" spans="1:10" x14ac:dyDescent="0.25">
      <c r="A145" s="3" t="s">
        <v>184</v>
      </c>
      <c r="B145" s="25">
        <f>LN(②原始價格與FX!B133/②原始價格與FX!B132)</f>
        <v>2.2032340895134242E-2</v>
      </c>
      <c r="C145" s="25">
        <f>LN(②原始價格與FX!C133/②原始價格與FX!C132)</f>
        <v>5.2574524543599142E-2</v>
      </c>
      <c r="D145" s="25">
        <f>LN(②原始價格與FX!D133/②原始價格與FX!D132)</f>
        <v>1.1426604482923382E-2</v>
      </c>
      <c r="E145" s="25">
        <f>LN(②原始價格與FX!G133/②原始價格與FX!G132)</f>
        <v>-1.9146195044088808E-3</v>
      </c>
      <c r="F145" s="25">
        <f>LN(②原始價格與FX!H133/②原始價格與FX!H132)</f>
        <v>-5.7997039659124817E-3</v>
      </c>
      <c r="G145" s="25">
        <f t="shared" si="6"/>
        <v>2.2032340895134242E-2</v>
      </c>
      <c r="H145" s="26">
        <f t="shared" si="7"/>
        <v>5.065990503919026E-2</v>
      </c>
      <c r="I145" s="26">
        <f t="shared" si="8"/>
        <v>5.6269005170109E-3</v>
      </c>
      <c r="J145" s="27">
        <f>G145*①基本設定!$G$5+H145*①基本設定!$G$6+I145*①基本設定!$G$7</f>
        <v>71689.883197702307</v>
      </c>
    </row>
    <row r="146" spans="1:10" x14ac:dyDescent="0.25">
      <c r="A146" s="3" t="s">
        <v>185</v>
      </c>
      <c r="B146" s="25">
        <f>LN(②原始價格與FX!B134/②原始價格與FX!B133)</f>
        <v>9.0546630230200573E-3</v>
      </c>
      <c r="C146" s="25">
        <f>LN(②原始價格與FX!C134/②原始價格與FX!C133)</f>
        <v>0</v>
      </c>
      <c r="D146" s="25">
        <f>LN(②原始價格與FX!D134/②原始價格與FX!D133)</f>
        <v>2.7398427801085121E-2</v>
      </c>
      <c r="E146" s="25">
        <f>LN(②原始價格與FX!G134/②原始價格與FX!G133)</f>
        <v>-4.3137100701423338E-4</v>
      </c>
      <c r="F146" s="25">
        <f>LN(②原始價格與FX!H134/②原始價格與FX!H133)</f>
        <v>-3.3817539919238537E-3</v>
      </c>
      <c r="G146" s="25">
        <f t="shared" si="6"/>
        <v>9.0546630230200573E-3</v>
      </c>
      <c r="H146" s="26">
        <f t="shared" si="7"/>
        <v>-4.3137100701423338E-4</v>
      </c>
      <c r="I146" s="26">
        <f t="shared" si="8"/>
        <v>2.4016673809161268E-2</v>
      </c>
      <c r="J146" s="27">
        <f>G146*①基本設定!$G$5+H146*①基本設定!$G$6+I146*①基本設定!$G$7</f>
        <v>7587.7109326803711</v>
      </c>
    </row>
    <row r="147" spans="1:10" x14ac:dyDescent="0.25">
      <c r="A147" s="3" t="s">
        <v>186</v>
      </c>
      <c r="B147" s="25">
        <f>LN(②原始價格與FX!B135/②原始價格與FX!B134)</f>
        <v>-2.6308775659487593E-2</v>
      </c>
      <c r="C147" s="25">
        <f>LN(②原始價格與FX!C135/②原始價格與FX!C134)</f>
        <v>-3.93155471553605E-3</v>
      </c>
      <c r="D147" s="25">
        <f>LN(②原始價格與FX!D135/②原始價格與FX!D134)</f>
        <v>-3.2831130546852647E-2</v>
      </c>
      <c r="E147" s="25">
        <f>LN(②原始價格與FX!G135/②原始價格與FX!G134)</f>
        <v>-5.762334767483111E-3</v>
      </c>
      <c r="F147" s="25">
        <f>LN(②原始價格與FX!H135/②原始價格與FX!H134)</f>
        <v>-1.3886054916603062E-3</v>
      </c>
      <c r="G147" s="25">
        <f t="shared" si="6"/>
        <v>-2.6308775659487593E-2</v>
      </c>
      <c r="H147" s="26">
        <f t="shared" si="7"/>
        <v>-9.6938894830191601E-3</v>
      </c>
      <c r="I147" s="26">
        <f t="shared" si="8"/>
        <v>-3.421973603851295E-2</v>
      </c>
      <c r="J147" s="28">
        <f>G147*①基本設定!$G$5+H147*①基本設定!$G$6+I147*①基本設定!$G$7</f>
        <v>-33046.359253377166</v>
      </c>
    </row>
    <row r="148" spans="1:10" x14ac:dyDescent="0.25">
      <c r="A148" s="3" t="s">
        <v>187</v>
      </c>
      <c r="B148" s="25">
        <f>LN(②原始價格與FX!B136/②原始價格與FX!B135)</f>
        <v>6.5486293857343093E-3</v>
      </c>
      <c r="C148" s="25">
        <f>LN(②原始價格與FX!C136/②原始價格與FX!C135)</f>
        <v>1.62872729310218E-2</v>
      </c>
      <c r="D148" s="25">
        <f>LN(②原始價格與FX!D136/②原始價格與FX!D135)</f>
        <v>-3.4002903662763346E-3</v>
      </c>
      <c r="E148" s="25">
        <f>LN(②原始價格與FX!G136/②原始價格與FX!G135)</f>
        <v>2.6917998808688791E-3</v>
      </c>
      <c r="F148" s="25">
        <f>LN(②原始價格與FX!H136/②原始價格與FX!H135)</f>
        <v>-5.4504980949008066E-3</v>
      </c>
      <c r="G148" s="25">
        <f t="shared" si="6"/>
        <v>6.5486293857343093E-3</v>
      </c>
      <c r="H148" s="26">
        <f t="shared" si="7"/>
        <v>1.8979072811890679E-2</v>
      </c>
      <c r="I148" s="26">
        <f t="shared" si="8"/>
        <v>-8.8507884611771417E-3</v>
      </c>
      <c r="J148" s="27">
        <f>G148*①基本設定!$G$5+H148*①基本設定!$G$6+I148*①基本設定!$G$7</f>
        <v>25273.036748666567</v>
      </c>
    </row>
    <row r="149" spans="1:10" x14ac:dyDescent="0.25">
      <c r="A149" s="3" t="s">
        <v>188</v>
      </c>
      <c r="B149" s="25">
        <f>LN(②原始價格與FX!B137/②原始價格與FX!B136)</f>
        <v>-3.6173449205889776E-3</v>
      </c>
      <c r="C149" s="25">
        <f>LN(②原始價格與FX!C137/②原始價格與FX!C136)</f>
        <v>1.9312951288680325E-2</v>
      </c>
      <c r="D149" s="25">
        <f>LN(②原始價格與FX!D137/②原始價格與FX!D136)</f>
        <v>1.8746439592243146E-3</v>
      </c>
      <c r="E149" s="25">
        <f>LN(②原始價格與FX!G137/②原始價格與FX!G136)</f>
        <v>4.0223178234297422E-4</v>
      </c>
      <c r="F149" s="25">
        <f>LN(②原始價格與FX!H137/②原始價格與FX!H136)</f>
        <v>-3.1691833987288853E-3</v>
      </c>
      <c r="G149" s="25">
        <f t="shared" si="6"/>
        <v>-3.6173449205889776E-3</v>
      </c>
      <c r="H149" s="26">
        <f t="shared" si="7"/>
        <v>1.9715183071023299E-2</v>
      </c>
      <c r="I149" s="26">
        <f t="shared" si="8"/>
        <v>-1.2945394395045707E-3</v>
      </c>
      <c r="J149" s="27">
        <f>G149*①基本設定!$G$5+H149*①基本設定!$G$6+I149*①基本設定!$G$7</f>
        <v>17396.42471384097</v>
      </c>
    </row>
    <row r="150" spans="1:10" x14ac:dyDescent="0.25">
      <c r="A150" s="3" t="s">
        <v>189</v>
      </c>
      <c r="B150" s="25">
        <f>LN(②原始價格與FX!B138/②原始價格與FX!B137)</f>
        <v>1.2383630336267628E-2</v>
      </c>
      <c r="C150" s="25">
        <f>LN(②原始價格與FX!C138/②原始價格與FX!C137)</f>
        <v>-8.0035215537572194E-5</v>
      </c>
      <c r="D150" s="25">
        <f>LN(②原始價格與FX!D138/②原始價格與FX!D137)</f>
        <v>-1.7289603393035386E-2</v>
      </c>
      <c r="E150" s="25">
        <f>LN(②原始價格與FX!G138/②原始價格與FX!G137)</f>
        <v>-5.8697072806532949E-3</v>
      </c>
      <c r="F150" s="25">
        <f>LN(②原始價格與FX!H138/②原始價格與FX!H137)</f>
        <v>5.1807196175469323E-3</v>
      </c>
      <c r="G150" s="25">
        <f t="shared" si="6"/>
        <v>1.2383630336267628E-2</v>
      </c>
      <c r="H150" s="26">
        <f t="shared" si="7"/>
        <v>-5.9497424961908671E-3</v>
      </c>
      <c r="I150" s="26">
        <f t="shared" si="8"/>
        <v>-1.2108883775488454E-2</v>
      </c>
      <c r="J150" s="27">
        <f>G150*①基本設定!$G$5+H150*①基本設定!$G$6+I150*①基本設定!$G$7</f>
        <v>4304.6534895999048</v>
      </c>
    </row>
    <row r="151" spans="1:10" x14ac:dyDescent="0.25">
      <c r="A151" s="3" t="s">
        <v>190</v>
      </c>
      <c r="B151" s="25">
        <f>LN(②原始價格與FX!B139/②原始價格與FX!B138)</f>
        <v>-7.3091357584035652E-3</v>
      </c>
      <c r="C151" s="25">
        <f>LN(②原始價格與FX!C139/②原始價格與FX!C138)</f>
        <v>3.4920188550415489E-2</v>
      </c>
      <c r="D151" s="25">
        <f>LN(②原始價格與FX!D139/②原始價格與FX!D138)</f>
        <v>9.1093542798669738E-4</v>
      </c>
      <c r="E151" s="25">
        <f>LN(②原始價格與FX!G139/②原始價格與FX!G138)</f>
        <v>1.07813419736077E-3</v>
      </c>
      <c r="F151" s="25">
        <f>LN(②原始價格與FX!H139/②原始價格與FX!H138)</f>
        <v>1.2302392830916076E-4</v>
      </c>
      <c r="G151" s="25">
        <f t="shared" si="6"/>
        <v>-7.3091357584035652E-3</v>
      </c>
      <c r="H151" s="26">
        <f t="shared" si="7"/>
        <v>3.5998322747776257E-2</v>
      </c>
      <c r="I151" s="26">
        <f t="shared" si="8"/>
        <v>1.0339593562958581E-3</v>
      </c>
      <c r="J151" s="27">
        <f>G151*①基本設定!$G$5+H151*①基本設定!$G$6+I151*①基本設定!$G$7</f>
        <v>31197.487230332776</v>
      </c>
    </row>
    <row r="152" spans="1:10" x14ac:dyDescent="0.25">
      <c r="A152" s="3" t="s">
        <v>191</v>
      </c>
      <c r="B152" s="25">
        <f>LN(②原始價格與FX!B140/②原始價格與FX!B139)</f>
        <v>2.2440168991128451E-3</v>
      </c>
      <c r="C152" s="25">
        <f>LN(②原始價格與FX!C140/②原始價格與FX!C139)</f>
        <v>2.2053675240926107E-2</v>
      </c>
      <c r="D152" s="25">
        <f>LN(②原始價格與FX!D140/②原始價格與FX!D139)</f>
        <v>1.3728687817955894E-2</v>
      </c>
      <c r="E152" s="25">
        <f>LN(②原始價格與FX!G140/②原始價格與FX!G139)</f>
        <v>-2.5992989175183975E-3</v>
      </c>
      <c r="F152" s="25">
        <f>LN(②原始價格與FX!H140/②原始價格與FX!H139)</f>
        <v>-7.8215448965894569E-3</v>
      </c>
      <c r="G152" s="25">
        <f t="shared" si="6"/>
        <v>2.2440168991128451E-3</v>
      </c>
      <c r="H152" s="26">
        <f t="shared" si="7"/>
        <v>1.9454376323407709E-2</v>
      </c>
      <c r="I152" s="26">
        <f t="shared" si="8"/>
        <v>5.9071429213664369E-3</v>
      </c>
      <c r="J152" s="27">
        <f>G152*①基本設定!$G$5+H152*①基本設定!$G$6+I152*①基本設定!$G$7</f>
        <v>22235.418913653873</v>
      </c>
    </row>
    <row r="153" spans="1:10" x14ac:dyDescent="0.25">
      <c r="A153" s="3" t="s">
        <v>192</v>
      </c>
      <c r="B153" s="25">
        <f>LN(②原始價格與FX!B141/②原始價格與FX!B140)</f>
        <v>1.1993156996302323E-2</v>
      </c>
      <c r="C153" s="25">
        <f>LN(②原始價格與FX!C141/②原始價格與FX!C140)</f>
        <v>4.3641137251543047E-2</v>
      </c>
      <c r="D153" s="25">
        <f>LN(②原始價格與FX!D141/②原始價格與FX!D140)</f>
        <v>3.1741043974378033E-2</v>
      </c>
      <c r="E153" s="25">
        <f>LN(②原始價格與FX!G141/②原始價格與FX!G140)</f>
        <v>2.3880516855256722E-3</v>
      </c>
      <c r="F153" s="25">
        <f>LN(②原始價格與FX!H141/②原始價格與FX!H140)</f>
        <v>-3.2702088545546247E-3</v>
      </c>
      <c r="G153" s="25">
        <f t="shared" si="6"/>
        <v>1.1993156996302323E-2</v>
      </c>
      <c r="H153" s="26">
        <f t="shared" si="7"/>
        <v>4.602918893706872E-2</v>
      </c>
      <c r="I153" s="26">
        <f t="shared" si="8"/>
        <v>2.8470835119823408E-2</v>
      </c>
      <c r="J153" s="27">
        <f>G153*①基本設定!$G$5+H153*①基本設定!$G$6+I153*①基本設定!$G$7</f>
        <v>58505.82601628112</v>
      </c>
    </row>
    <row r="154" spans="1:10" x14ac:dyDescent="0.25">
      <c r="A154" s="3" t="s">
        <v>193</v>
      </c>
      <c r="B154" s="25">
        <f>LN(②原始價格與FX!B142/②原始價格與FX!B141)</f>
        <v>-1.4972422144173287E-2</v>
      </c>
      <c r="C154" s="25">
        <f>LN(②原始價格與FX!C142/②原始價格與FX!C141)</f>
        <v>8.576011051438728E-3</v>
      </c>
      <c r="D154" s="25">
        <f>LN(②原始價格與FX!D142/②原始價格與FX!D141)</f>
        <v>-1.247566346553817E-2</v>
      </c>
      <c r="E154" s="25">
        <f>LN(②原始價格與FX!G142/②原始價格與FX!G141)</f>
        <v>5.1764613083996004E-3</v>
      </c>
      <c r="F154" s="25">
        <f>LN(②原始價格與FX!H142/②原始價格與FX!H141)</f>
        <v>-3.3225381508037604E-3</v>
      </c>
      <c r="G154" s="25">
        <f t="shared" si="6"/>
        <v>-1.4972422144173287E-2</v>
      </c>
      <c r="H154" s="26">
        <f t="shared" si="7"/>
        <v>1.3752472359838327E-2</v>
      </c>
      <c r="I154" s="26">
        <f t="shared" si="8"/>
        <v>-1.579820161634193E-2</v>
      </c>
      <c r="J154" s="27">
        <f>G154*①基本設定!$G$5+H154*①基本設定!$G$6+I154*①基本設定!$G$7</f>
        <v>1285.315576536849</v>
      </c>
    </row>
    <row r="155" spans="1:10" x14ac:dyDescent="0.25">
      <c r="A155" s="3" t="s">
        <v>194</v>
      </c>
      <c r="B155" s="25">
        <f>LN(②原始價格與FX!B143/②原始價格與FX!B142)</f>
        <v>-5.7619399228639985E-3</v>
      </c>
      <c r="C155" s="25">
        <f>LN(②原始價格與FX!C143/②原始價格與FX!C142)</f>
        <v>1.7745527095112974E-2</v>
      </c>
      <c r="D155" s="25">
        <f>LN(②原始價格與FX!D143/②原始價格與FX!D142)</f>
        <v>5.0727061964332748E-3</v>
      </c>
      <c r="E155" s="25">
        <f>LN(②原始價格與FX!G143/②原始價格與FX!G142)</f>
        <v>-1.3777717639162758E-3</v>
      </c>
      <c r="F155" s="25">
        <f>LN(②原始價格與FX!H143/②原始價格與FX!H142)</f>
        <v>-9.9891792207082854E-4</v>
      </c>
      <c r="G155" s="25">
        <f t="shared" si="6"/>
        <v>-5.7619399228639985E-3</v>
      </c>
      <c r="H155" s="26">
        <f t="shared" si="7"/>
        <v>1.6367755331196696E-2</v>
      </c>
      <c r="I155" s="26">
        <f t="shared" si="8"/>
        <v>4.073788274362446E-3</v>
      </c>
      <c r="J155" s="27">
        <f>G155*①基本設定!$G$5+H155*①基本設定!$G$6+I155*①基本設定!$G$7</f>
        <v>12131.451315703793</v>
      </c>
    </row>
    <row r="156" spans="1:10" x14ac:dyDescent="0.25">
      <c r="A156" s="3" t="s">
        <v>195</v>
      </c>
      <c r="B156" s="25">
        <f>LN(②原始價格與FX!B144/②原始價格與FX!B143)</f>
        <v>-4.6868636997695464E-3</v>
      </c>
      <c r="C156" s="25">
        <f>LN(②原始價格與FX!C144/②原始價格與FX!C143)</f>
        <v>-1.0203447128309428E-2</v>
      </c>
      <c r="D156" s="25">
        <f>LN(②原始價格與FX!D144/②原始價格與FX!D143)</f>
        <v>8.3632023990464302E-4</v>
      </c>
      <c r="E156" s="25">
        <f>LN(②原始價格與FX!G144/②原始價格與FX!G143)</f>
        <v>-1.0681642326107821E-3</v>
      </c>
      <c r="F156" s="25">
        <f>LN(②原始價格與FX!H144/②原始價格與FX!H143)</f>
        <v>1.2900811210996329E-3</v>
      </c>
      <c r="G156" s="25">
        <f t="shared" si="6"/>
        <v>-4.6868636997695464E-3</v>
      </c>
      <c r="H156" s="26">
        <f t="shared" si="7"/>
        <v>-1.1271611360920211E-2</v>
      </c>
      <c r="I156" s="26">
        <f t="shared" si="8"/>
        <v>2.1264013610042759E-3</v>
      </c>
      <c r="J156" s="28">
        <f>G156*①基本設定!$G$5+H156*①基本設定!$G$6+I156*①基本設定!$G$7</f>
        <v>-15728.721408426856</v>
      </c>
    </row>
    <row r="157" spans="1:10" x14ac:dyDescent="0.25">
      <c r="A157" s="3" t="s">
        <v>196</v>
      </c>
      <c r="B157" s="25">
        <f>LN(②原始價格與FX!B145/②原始價格與FX!B144)</f>
        <v>-4.2863331806853779E-3</v>
      </c>
      <c r="C157" s="25">
        <f>LN(②原始價格與FX!C145/②原始價格與FX!C144)</f>
        <v>1.6352987723771906E-2</v>
      </c>
      <c r="D157" s="25">
        <f>LN(②原始價格與FX!D145/②原始價格與FX!D144)</f>
        <v>7.8313593541310313E-3</v>
      </c>
      <c r="E157" s="25">
        <f>LN(②原始價格與FX!G145/②原始價格與FX!G144)</f>
        <v>-5.2534484598792529E-4</v>
      </c>
      <c r="F157" s="25">
        <f>LN(②原始價格與FX!H145/②原始價格與FX!H144)</f>
        <v>1.6634091609030933E-4</v>
      </c>
      <c r="G157" s="25">
        <f t="shared" si="6"/>
        <v>-4.2863331806853779E-3</v>
      </c>
      <c r="H157" s="26">
        <f t="shared" si="7"/>
        <v>1.582764287778398E-2</v>
      </c>
      <c r="I157" s="26">
        <f t="shared" si="8"/>
        <v>7.99770027022134E-3</v>
      </c>
      <c r="J157" s="27">
        <f>G157*①基本設定!$G$5+H157*①基本設定!$G$6+I157*①基本設定!$G$7</f>
        <v>12879.216790246943</v>
      </c>
    </row>
    <row r="158" spans="1:10" x14ac:dyDescent="0.25">
      <c r="A158" s="3" t="s">
        <v>197</v>
      </c>
      <c r="B158" s="25">
        <f>LN(②原始價格與FX!B146/②原始價格與FX!B145)</f>
        <v>-1.9736663017148621E-3</v>
      </c>
      <c r="C158" s="25">
        <f>LN(②原始價格與FX!C146/②原始價格與FX!C145)</f>
        <v>5.3309127756062946E-2</v>
      </c>
      <c r="D158" s="25">
        <f>LN(②原始價格與FX!D146/②原始價格與FX!D145)</f>
        <v>1.8626301527562977E-2</v>
      </c>
      <c r="E158" s="25">
        <f>LN(②原始價格與FX!G146/②原始價格與FX!G145)</f>
        <v>-2.0490369053410675E-3</v>
      </c>
      <c r="F158" s="25">
        <f>LN(②原始價格與FX!H146/②原始價格與FX!H145)</f>
        <v>5.6805377173674166E-3</v>
      </c>
      <c r="G158" s="25">
        <f t="shared" si="6"/>
        <v>-1.9736663017148621E-3</v>
      </c>
      <c r="H158" s="26">
        <f t="shared" si="7"/>
        <v>5.1260090850721876E-2</v>
      </c>
      <c r="I158" s="26">
        <f t="shared" si="8"/>
        <v>2.4306839244930392E-2</v>
      </c>
      <c r="J158" s="27">
        <f>G158*①基本設定!$G$5+H158*①基本設定!$G$6+I158*①基本設定!$G$7</f>
        <v>51914.935300557037</v>
      </c>
    </row>
    <row r="159" spans="1:10" x14ac:dyDescent="0.25">
      <c r="A159" s="3" t="s">
        <v>198</v>
      </c>
      <c r="B159" s="25">
        <f>LN(②原始價格與FX!B147/②原始價格與FX!B146)</f>
        <v>-1.3367910575516312E-2</v>
      </c>
      <c r="C159" s="25">
        <f>LN(②原始價格與FX!C147/②原始價格與FX!C146)</f>
        <v>-2.4204489414254488E-2</v>
      </c>
      <c r="D159" s="25">
        <f>LN(②原始價格與FX!D147/②原始價格與FX!D146)</f>
        <v>-3.080618764156454E-2</v>
      </c>
      <c r="E159" s="25">
        <f>LN(②原始價格與FX!G147/②原始價格與FX!G146)</f>
        <v>-2.7552974421930839E-5</v>
      </c>
      <c r="F159" s="25">
        <f>LN(②原始價格與FX!H147/②原始價格與FX!H146)</f>
        <v>-1.6966340375784484E-3</v>
      </c>
      <c r="G159" s="25">
        <f t="shared" si="6"/>
        <v>-1.3367910575516312E-2</v>
      </c>
      <c r="H159" s="26">
        <f t="shared" si="7"/>
        <v>-2.423204238867642E-2</v>
      </c>
      <c r="I159" s="26">
        <f t="shared" si="8"/>
        <v>-3.2502821679142986E-2</v>
      </c>
      <c r="J159" s="28">
        <f>G159*①基本設定!$G$5+H159*①基本設定!$G$6+I159*①基本設定!$G$7</f>
        <v>-37048.16753026376</v>
      </c>
    </row>
    <row r="160" spans="1:10" x14ac:dyDescent="0.25">
      <c r="A160" s="3" t="s">
        <v>199</v>
      </c>
      <c r="B160" s="25">
        <f>LN(②原始價格與FX!B148/②原始價格與FX!B147)</f>
        <v>-2.6402739269860396E-2</v>
      </c>
      <c r="C160" s="25">
        <f>LN(②原始價格與FX!C148/②原始價格與FX!C147)</f>
        <v>-8.0286043050404217E-3</v>
      </c>
      <c r="D160" s="25">
        <f>LN(②原始價格與FX!D148/②原始價格與FX!D147)</f>
        <v>-6.0756330180698429E-3</v>
      </c>
      <c r="E160" s="25">
        <f>LN(②原始價格與FX!G148/②原始價格與FX!G147)</f>
        <v>1.8368733966034371E-5</v>
      </c>
      <c r="F160" s="25">
        <f>LN(②原始價格與FX!H148/②原始價格與FX!H147)</f>
        <v>-4.1918341485895965E-3</v>
      </c>
      <c r="G160" s="25">
        <f t="shared" si="6"/>
        <v>-2.6402739269860396E-2</v>
      </c>
      <c r="H160" s="26">
        <f t="shared" si="7"/>
        <v>-8.0102355710743867E-3</v>
      </c>
      <c r="I160" s="26">
        <f t="shared" si="8"/>
        <v>-1.0267467166659439E-2</v>
      </c>
      <c r="J160" s="28">
        <f>G160*①基本設定!$G$5+H160*①基本設定!$G$6+I160*①基本設定!$G$7</f>
        <v>-31111.097303158662</v>
      </c>
    </row>
    <row r="161" spans="1:10" x14ac:dyDescent="0.25">
      <c r="A161" s="3" t="s">
        <v>200</v>
      </c>
      <c r="B161" s="25">
        <f>LN(②原始價格與FX!B149/②原始價格與FX!B148)</f>
        <v>1.2926183714090647E-2</v>
      </c>
      <c r="C161" s="25">
        <f>LN(②原始價格與FX!C149/②原始價格與FX!C148)</f>
        <v>-1.3294165163780828E-2</v>
      </c>
      <c r="D161" s="25">
        <f>LN(②原始價格與FX!D149/②原始價格與FX!D148)</f>
        <v>-1.0330733044051929E-2</v>
      </c>
      <c r="E161" s="25">
        <f>LN(②原始價格與FX!G149/②原始價格與FX!G148)</f>
        <v>-1.5165560240888933E-3</v>
      </c>
      <c r="F161" s="25">
        <f>LN(②原始價格與FX!H149/②原始價格與FX!H148)</f>
        <v>6.2366174609465878E-4</v>
      </c>
      <c r="G161" s="25">
        <f t="shared" si="6"/>
        <v>1.2926183714090647E-2</v>
      </c>
      <c r="H161" s="26">
        <f t="shared" si="7"/>
        <v>-1.481072118786972E-2</v>
      </c>
      <c r="I161" s="26">
        <f t="shared" si="8"/>
        <v>-9.7070712979572694E-3</v>
      </c>
      <c r="J161" s="28">
        <f>G161*①基本設定!$G$5+H161*①基本設定!$G$6+I161*①基本設定!$G$7</f>
        <v>-4423.9136397843695</v>
      </c>
    </row>
    <row r="162" spans="1:10" x14ac:dyDescent="0.25">
      <c r="A162" s="3" t="s">
        <v>201</v>
      </c>
      <c r="B162" s="25">
        <f>LN(②原始價格與FX!B150/②原始價格與FX!B149)</f>
        <v>-1.0696691906569597E-2</v>
      </c>
      <c r="C162" s="25">
        <f>LN(②原始價格與FX!C150/②原始價格與FX!C149)</f>
        <v>2.6007572822686415E-2</v>
      </c>
      <c r="D162" s="25">
        <f>LN(②原始價格與FX!D150/②原始價格與FX!D149)</f>
        <v>7.2689306359996304E-3</v>
      </c>
      <c r="E162" s="25">
        <f>LN(②原始價格與FX!G150/②原始價格與FX!G149)</f>
        <v>5.5480544151560588E-4</v>
      </c>
      <c r="F162" s="25">
        <f>LN(②原始價格與FX!H150/②原始價格與FX!H149)</f>
        <v>6.7934481060846303E-3</v>
      </c>
      <c r="G162" s="25">
        <f t="shared" si="6"/>
        <v>-1.0696691906569597E-2</v>
      </c>
      <c r="H162" s="26">
        <f t="shared" si="7"/>
        <v>2.6562378264202022E-2</v>
      </c>
      <c r="I162" s="26">
        <f t="shared" si="8"/>
        <v>1.4062378742084261E-2</v>
      </c>
      <c r="J162" s="27">
        <f>G162*①基本設定!$G$5+H162*①基本設定!$G$6+I162*①基本設定!$G$7</f>
        <v>18614.325017245697</v>
      </c>
    </row>
    <row r="163" spans="1:10" x14ac:dyDescent="0.25">
      <c r="A163" s="3" t="s">
        <v>202</v>
      </c>
      <c r="B163" s="25">
        <f>LN(②原始價格與FX!B151/②原始價格與FX!B150)</f>
        <v>9.6960029430377005E-3</v>
      </c>
      <c r="C163" s="25">
        <f>LN(②原始價格與FX!C151/②原始價格與FX!C150)</f>
        <v>2.2338878322449105E-2</v>
      </c>
      <c r="D163" s="25">
        <f>LN(②原始價格與FX!D151/②原始價格與FX!D150)</f>
        <v>1.1653109795216733E-2</v>
      </c>
      <c r="E163" s="25">
        <f>LN(②原始價格與FX!G151/②原始價格與FX!G150)</f>
        <v>-3.7698896604401478E-4</v>
      </c>
      <c r="F163" s="25">
        <f>LN(②原始價格與FX!H151/②原始價格與FX!H150)</f>
        <v>1.1140223543974924E-3</v>
      </c>
      <c r="G163" s="25">
        <f t="shared" si="6"/>
        <v>9.6960029430377005E-3</v>
      </c>
      <c r="H163" s="26">
        <f t="shared" si="7"/>
        <v>2.1961889356405091E-2</v>
      </c>
      <c r="I163" s="26">
        <f t="shared" si="8"/>
        <v>1.2767132149614224E-2</v>
      </c>
      <c r="J163" s="27">
        <f>G163*①基本設定!$G$5+H163*①基本設定!$G$6+I163*①基本設定!$G$7</f>
        <v>31316.655530537213</v>
      </c>
    </row>
    <row r="164" spans="1:10" x14ac:dyDescent="0.25">
      <c r="A164" s="3" t="s">
        <v>203</v>
      </c>
      <c r="B164" s="25">
        <f>LN(②原始價格與FX!B152/②原始價格與FX!B151)</f>
        <v>-3.0475637866015981E-4</v>
      </c>
      <c r="C164" s="25">
        <f>LN(②原始價格與FX!C152/②原始價格與FX!C151)</f>
        <v>-6.946203378333602E-3</v>
      </c>
      <c r="D164" s="25">
        <f>LN(②原始價格與FX!D152/②原始價格與FX!D151)</f>
        <v>-7.3651889030867676E-3</v>
      </c>
      <c r="E164" s="25">
        <f>LN(②原始價格與FX!G152/②原始價格與FX!G151)</f>
        <v>-3.1225127036412742E-3</v>
      </c>
      <c r="F164" s="25">
        <f>LN(②原始價格與FX!H152/②原始價格與FX!H151)</f>
        <v>4.6900155907459605E-3</v>
      </c>
      <c r="G164" s="25">
        <f t="shared" si="6"/>
        <v>-3.0475637866015981E-4</v>
      </c>
      <c r="H164" s="26">
        <f t="shared" si="7"/>
        <v>-1.0068716081974877E-2</v>
      </c>
      <c r="I164" s="26">
        <f t="shared" si="8"/>
        <v>-2.6751733123408072E-3</v>
      </c>
      <c r="J164" s="28">
        <f>G164*①基本設定!$G$5+H164*①基本設定!$G$6+I164*①基本設定!$G$7</f>
        <v>-10768.555535801506</v>
      </c>
    </row>
    <row r="165" spans="1:10" x14ac:dyDescent="0.25">
      <c r="A165" s="3" t="s">
        <v>204</v>
      </c>
      <c r="B165" s="25">
        <f>LN(②原始價格與FX!B153/②原始價格與FX!B152)</f>
        <v>1.1610861974394686E-4</v>
      </c>
      <c r="C165" s="25">
        <f>LN(②原始價格與FX!C153/②原始價格與FX!C152)</f>
        <v>-3.508013553576151E-3</v>
      </c>
      <c r="D165" s="25">
        <f>LN(②原始價格與FX!D153/②原始價格與FX!D152)</f>
        <v>-5.2567567502475251E-3</v>
      </c>
      <c r="E165" s="25">
        <f>LN(②原始價格與FX!G153/②原始價格與FX!G152)</f>
        <v>-9.7220905228101169E-4</v>
      </c>
      <c r="F165" s="25">
        <f>LN(②原始價格與FX!H153/②原始價格與FX!H152)</f>
        <v>7.6866843431969058E-3</v>
      </c>
      <c r="G165" s="25">
        <f t="shared" si="6"/>
        <v>1.1610861974394686E-4</v>
      </c>
      <c r="H165" s="26">
        <f t="shared" si="7"/>
        <v>-4.4802226058571629E-3</v>
      </c>
      <c r="I165" s="26">
        <f t="shared" si="8"/>
        <v>2.4299275929493807E-3</v>
      </c>
      <c r="J165" s="28">
        <f>G165*①基本設定!$G$5+H165*①基本設定!$G$6+I165*①基本設定!$G$7</f>
        <v>-4535.6815485422221</v>
      </c>
    </row>
    <row r="166" spans="1:10" x14ac:dyDescent="0.25">
      <c r="A166" s="3" t="s">
        <v>205</v>
      </c>
      <c r="B166" s="25">
        <f>LN(②原始價格與FX!B154/②原始價格與FX!B153)</f>
        <v>3.9036496089236303E-2</v>
      </c>
      <c r="C166" s="25">
        <f>LN(②原始價格與FX!C154/②原始價格與FX!C153)</f>
        <v>-1.1783061187251332E-2</v>
      </c>
      <c r="D166" s="25">
        <f>LN(②原始價格與FX!D154/②原始價格與FX!D153)</f>
        <v>-3.9585884828419723E-2</v>
      </c>
      <c r="E166" s="25">
        <f>LN(②原始價格與FX!G154/②原始價格與FX!G153)</f>
        <v>-5.4631451658266848E-3</v>
      </c>
      <c r="F166" s="25">
        <f>LN(②原始價格與FX!H154/②原始價格與FX!H153)</f>
        <v>5.4024543933909727E-3</v>
      </c>
      <c r="G166" s="25">
        <f t="shared" si="6"/>
        <v>3.9036496089236303E-2</v>
      </c>
      <c r="H166" s="26">
        <f t="shared" si="7"/>
        <v>-1.7246206353078018E-2</v>
      </c>
      <c r="I166" s="26">
        <f t="shared" si="8"/>
        <v>-3.418343043502875E-2</v>
      </c>
      <c r="J166" s="27">
        <f>G166*①基本設定!$G$5+H166*①基本設定!$G$6+I166*①基本設定!$G$7</f>
        <v>15183.567931895306</v>
      </c>
    </row>
    <row r="167" spans="1:10" x14ac:dyDescent="0.25">
      <c r="A167" s="3" t="s">
        <v>206</v>
      </c>
      <c r="B167" s="25">
        <f>LN(②原始價格與FX!B155/②原始價格與FX!B154)</f>
        <v>8.4639676962187677E-3</v>
      </c>
      <c r="C167" s="25">
        <f>LN(②原始價格與FX!C155/②原始價格與FX!C154)</f>
        <v>2.6500690344205959E-2</v>
      </c>
      <c r="D167" s="25">
        <f>LN(②原始價格與FX!D155/②原始價格與FX!D154)</f>
        <v>1.7841966929142011E-3</v>
      </c>
      <c r="E167" s="25">
        <f>LN(②原始價格與FX!G155/②原始價格與FX!G154)</f>
        <v>-8.2360085405551843E-4</v>
      </c>
      <c r="F167" s="25">
        <f>LN(②原始價格與FX!H155/②原始價格與FX!H154)</f>
        <v>-1.1349358763535567E-3</v>
      </c>
      <c r="G167" s="25">
        <f t="shared" si="6"/>
        <v>8.4639676962187677E-3</v>
      </c>
      <c r="H167" s="26">
        <f t="shared" si="7"/>
        <v>2.5677089490150441E-2</v>
      </c>
      <c r="I167" s="26">
        <f t="shared" si="8"/>
        <v>6.4926081656064443E-4</v>
      </c>
      <c r="J167" s="27">
        <f>G167*①基本設定!$G$5+H167*①基本設定!$G$6+I167*①基本設定!$G$7</f>
        <v>33991.669234410343</v>
      </c>
    </row>
    <row r="168" spans="1:10" x14ac:dyDescent="0.25">
      <c r="A168" s="3" t="s">
        <v>207</v>
      </c>
      <c r="B168" s="25">
        <f>LN(②原始價格與FX!B156/②原始價格與FX!B155)</f>
        <v>1.7627463474519958E-2</v>
      </c>
      <c r="C168" s="25">
        <f>LN(②原始價格與FX!C156/②原始價格與FX!C155)</f>
        <v>3.3787216709285542E-2</v>
      </c>
      <c r="D168" s="25">
        <f>LN(②原始價格與FX!D156/②原始價格與FX!D155)</f>
        <v>5.6881309390792853E-3</v>
      </c>
      <c r="E168" s="25">
        <f>LN(②原始價格與FX!G156/②原始價格與FX!G155)</f>
        <v>-3.5871583579416859E-3</v>
      </c>
      <c r="F168" s="25">
        <f>LN(②原始價格與FX!H156/②原始價格與FX!H155)</f>
        <v>2.2281197818081297E-3</v>
      </c>
      <c r="G168" s="25">
        <f t="shared" si="6"/>
        <v>1.7627463474519958E-2</v>
      </c>
      <c r="H168" s="26">
        <f t="shared" si="7"/>
        <v>3.0200058351343855E-2</v>
      </c>
      <c r="I168" s="26">
        <f t="shared" si="8"/>
        <v>7.9162507208874154E-3</v>
      </c>
      <c r="J168" s="27">
        <f>G168*①基本設定!$G$5+H168*①基本設定!$G$6+I168*①基本設定!$G$7</f>
        <v>46643.728769512258</v>
      </c>
    </row>
    <row r="169" spans="1:10" x14ac:dyDescent="0.25">
      <c r="A169" s="3" t="s">
        <v>208</v>
      </c>
      <c r="B169" s="25">
        <f>LN(②原始價格與FX!B157/②原始價格與FX!B156)</f>
        <v>5.2079212835032173E-3</v>
      </c>
      <c r="C169" s="25">
        <f>LN(②原始價格與FX!C157/②原始價格與FX!C156)</f>
        <v>-1.2060705599019393E-2</v>
      </c>
      <c r="D169" s="25">
        <f>LN(②原始價格與FX!D157/②原始價格與FX!D156)</f>
        <v>-1.4789253442953424E-2</v>
      </c>
      <c r="E169" s="25">
        <f>LN(②原始價格與FX!G157/②原始價格與FX!G156)</f>
        <v>3.4291723997766023E-3</v>
      </c>
      <c r="F169" s="25">
        <f>LN(②原始價格與FX!H157/②原始價格與FX!H156)</f>
        <v>-5.4779093746721019E-3</v>
      </c>
      <c r="G169" s="25">
        <f t="shared" si="6"/>
        <v>5.2079212835032173E-3</v>
      </c>
      <c r="H169" s="26">
        <f t="shared" si="7"/>
        <v>-8.6315331992427909E-3</v>
      </c>
      <c r="I169" s="26">
        <f t="shared" si="8"/>
        <v>-2.0267162817625528E-2</v>
      </c>
      <c r="J169" s="28">
        <f>G169*①基本設定!$G$5+H169*①基本設定!$G$6+I169*①基本設定!$G$7</f>
        <v>-4735.1012610412945</v>
      </c>
    </row>
    <row r="170" spans="1:10" x14ac:dyDescent="0.25">
      <c r="A170" s="3" t="s">
        <v>209</v>
      </c>
      <c r="B170" s="25">
        <f>LN(②原始價格與FX!B158/②原始價格與FX!B157)</f>
        <v>-7.07253967916259E-3</v>
      </c>
      <c r="C170" s="25">
        <f>LN(②原始價格與FX!C158/②原始價格與FX!C157)</f>
        <v>1.132711175382457E-2</v>
      </c>
      <c r="D170" s="25">
        <f>LN(②原始價格與FX!D158/②原始價格與FX!D157)</f>
        <v>3.3444313976088255E-2</v>
      </c>
      <c r="E170" s="25">
        <f>LN(②原始價格與FX!G158/②原始價格與FX!G157)</f>
        <v>5.2652282453905712E-4</v>
      </c>
      <c r="F170" s="25">
        <f>LN(②原始價格與FX!H158/②原始價格與FX!H157)</f>
        <v>-3.0971131973603037E-3</v>
      </c>
      <c r="G170" s="25">
        <f t="shared" si="6"/>
        <v>-7.07253967916259E-3</v>
      </c>
      <c r="H170" s="26">
        <f t="shared" si="7"/>
        <v>1.1853634578363626E-2</v>
      </c>
      <c r="I170" s="26">
        <f t="shared" si="8"/>
        <v>3.0347200778727951E-2</v>
      </c>
      <c r="J170" s="27">
        <f>G170*①基本設定!$G$5+H170*①基本設定!$G$6+I170*①基本設定!$G$7</f>
        <v>6598.6020385782185</v>
      </c>
    </row>
    <row r="171" spans="1:10" x14ac:dyDescent="0.25">
      <c r="A171" s="3" t="s">
        <v>210</v>
      </c>
      <c r="B171" s="25">
        <f>LN(②原始價格與FX!B159/②原始價格與FX!B158)</f>
        <v>1.4793649285211484E-2</v>
      </c>
      <c r="C171" s="25">
        <f>LN(②原始價格與FX!C159/②原始價格與FX!C158)</f>
        <v>-1.016604602318472E-2</v>
      </c>
      <c r="D171" s="25">
        <f>LN(②原始價格與FX!D159/②原始價格與FX!D158)</f>
        <v>-1.5802288600386582E-2</v>
      </c>
      <c r="E171" s="25">
        <f>LN(②原始價格與FX!G159/②原始價格與FX!G158)</f>
        <v>6.933482185706454E-4</v>
      </c>
      <c r="F171" s="25">
        <f>LN(②原始價格與FX!H159/②原始價格與FX!H158)</f>
        <v>8.9751964249459176E-4</v>
      </c>
      <c r="G171" s="25">
        <f t="shared" si="6"/>
        <v>1.4793649285211484E-2</v>
      </c>
      <c r="H171" s="26">
        <f t="shared" si="7"/>
        <v>-9.4726978046140737E-3</v>
      </c>
      <c r="I171" s="26">
        <f t="shared" si="8"/>
        <v>-1.490476895789199E-2</v>
      </c>
      <c r="J171" s="27">
        <f>G171*①基本設定!$G$5+H171*①基本設定!$G$6+I171*①基本設定!$G$7</f>
        <v>2676.4803203067709</v>
      </c>
    </row>
    <row r="172" spans="1:10" x14ac:dyDescent="0.25">
      <c r="A172" s="3" t="s">
        <v>211</v>
      </c>
      <c r="B172" s="25">
        <f>LN(②原始價格與FX!B160/②原始價格與FX!B159)</f>
        <v>-6.2747627308611508E-3</v>
      </c>
      <c r="C172" s="25">
        <f>LN(②原始價格與FX!C160/②原始價格與FX!C159)</f>
        <v>-7.738940151498033E-4</v>
      </c>
      <c r="D172" s="25">
        <f>LN(②原始價格與FX!D160/②原始價格與FX!D159)</f>
        <v>1.1946980732700282E-2</v>
      </c>
      <c r="E172" s="25">
        <f>LN(②原始價格與FX!G160/②原始價格與FX!G159)</f>
        <v>-3.9032455133322509E-3</v>
      </c>
      <c r="F172" s="25">
        <f>LN(②原始價格與FX!H160/②原始價格與FX!H159)</f>
        <v>-7.6547171698057616E-3</v>
      </c>
      <c r="G172" s="25">
        <f t="shared" si="6"/>
        <v>-6.2747627308611508E-3</v>
      </c>
      <c r="H172" s="26">
        <f t="shared" si="7"/>
        <v>-4.6771395284820544E-3</v>
      </c>
      <c r="I172" s="26">
        <f t="shared" si="8"/>
        <v>4.2922635628945202E-3</v>
      </c>
      <c r="J172" s="28">
        <f>G172*①基本設定!$G$5+H172*①基本設定!$G$6+I172*①基本設定!$G$7</f>
        <v>-10205.614398670285</v>
      </c>
    </row>
    <row r="173" spans="1:10" x14ac:dyDescent="0.25">
      <c r="A173" s="3" t="s">
        <v>212</v>
      </c>
      <c r="B173" s="25">
        <f>LN(②原始價格與FX!B161/②原始價格與FX!B160)</f>
        <v>-2.8761907792202304E-2</v>
      </c>
      <c r="C173" s="25">
        <f>LN(②原始價格與FX!C161/②原始價格與FX!C160)</f>
        <v>-2.4987010759969897E-2</v>
      </c>
      <c r="D173" s="25">
        <f>LN(②原始價格與FX!D161/②原始價格與FX!D160)</f>
        <v>2.8718634597646338E-2</v>
      </c>
      <c r="E173" s="25">
        <f>LN(②原始價格與FX!G161/②原始價格與FX!G160)</f>
        <v>-7.4268928394447236E-4</v>
      </c>
      <c r="F173" s="25">
        <f>LN(②原始價格與FX!H161/②原始價格與FX!H160)</f>
        <v>2.8722681927107613E-3</v>
      </c>
      <c r="G173" s="25">
        <f t="shared" si="6"/>
        <v>-2.8761907792202304E-2</v>
      </c>
      <c r="H173" s="26">
        <f t="shared" si="7"/>
        <v>-2.572970004391437E-2</v>
      </c>
      <c r="I173" s="26">
        <f t="shared" si="8"/>
        <v>3.1590902790357103E-2</v>
      </c>
      <c r="J173" s="28">
        <f>G173*①基本設定!$G$5+H173*①基本設定!$G$6+I173*①基本設定!$G$7</f>
        <v>-51113.727503412018</v>
      </c>
    </row>
    <row r="174" spans="1:10" x14ac:dyDescent="0.25">
      <c r="A174" s="3" t="s">
        <v>213</v>
      </c>
      <c r="B174" s="25">
        <f>LN(②原始價格與FX!B162/②原始價格與FX!B161)</f>
        <v>1.066112601187732E-2</v>
      </c>
      <c r="C174" s="25">
        <f>LN(②原始價格與FX!C162/②原始價格與FX!C161)</f>
        <v>1.1018942177566878E-2</v>
      </c>
      <c r="D174" s="25">
        <f>LN(②原始價格與FX!D162/②原始價格與FX!D161)</f>
        <v>-2.4658672901195899E-2</v>
      </c>
      <c r="E174" s="25">
        <f>LN(②原始價格與FX!G162/②原始價格與FX!G161)</f>
        <v>-3.7935107394163588E-3</v>
      </c>
      <c r="F174" s="25">
        <f>LN(②原始價格與FX!H162/②原始價格與FX!H161)</f>
        <v>-4.5081044184734279E-4</v>
      </c>
      <c r="G174" s="25">
        <f t="shared" si="6"/>
        <v>1.066112601187732E-2</v>
      </c>
      <c r="H174" s="26">
        <f t="shared" si="7"/>
        <v>7.2254314381505194E-3</v>
      </c>
      <c r="I174" s="26">
        <f t="shared" si="8"/>
        <v>-2.5109483343043242E-2</v>
      </c>
      <c r="J174" s="27">
        <f>G174*①基本設定!$G$5+H174*①基本設定!$G$6+I174*①基本設定!$G$7</f>
        <v>16392.99134266912</v>
      </c>
    </row>
    <row r="175" spans="1:10" x14ac:dyDescent="0.25">
      <c r="A175" s="3" t="s">
        <v>214</v>
      </c>
      <c r="B175" s="25">
        <f>LN(②原始價格與FX!B163/②原始價格與FX!B162)</f>
        <v>2.1969936540134218E-2</v>
      </c>
      <c r="C175" s="25">
        <f>LN(②原始價格與FX!C163/②原始價格與FX!C162)</f>
        <v>1.6320139004468416E-2</v>
      </c>
      <c r="D175" s="25">
        <f>LN(②原始價格與FX!D163/②原始價格與FX!D162)</f>
        <v>-2.2934316457466734E-2</v>
      </c>
      <c r="E175" s="25">
        <f>LN(②原始價格與FX!G163/②原始價格與FX!G162)</f>
        <v>1.6524755031627537E-3</v>
      </c>
      <c r="F175" s="25">
        <f>LN(②原始價格與FX!H163/②原始價格與FX!H162)</f>
        <v>-2.8735651957318073E-3</v>
      </c>
      <c r="G175" s="25">
        <f t="shared" si="6"/>
        <v>2.1969936540134218E-2</v>
      </c>
      <c r="H175" s="26">
        <f t="shared" si="7"/>
        <v>1.7972614507631171E-2</v>
      </c>
      <c r="I175" s="26">
        <f t="shared" si="8"/>
        <v>-2.5807881653198542E-2</v>
      </c>
      <c r="J175" s="27">
        <f>G175*①基本設定!$G$5+H175*①基本設定!$G$6+I175*①基本設定!$G$7</f>
        <v>37275.608773830354</v>
      </c>
    </row>
    <row r="176" spans="1:10" x14ac:dyDescent="0.25">
      <c r="A176" s="3" t="s">
        <v>215</v>
      </c>
      <c r="B176" s="25">
        <f>LN(②原始價格與FX!B164/②原始價格與FX!B163)</f>
        <v>-2.3153498925413924E-2</v>
      </c>
      <c r="C176" s="25">
        <f>LN(②原始價格與FX!C164/②原始價格與FX!C163)</f>
        <v>5.7440992272862288E-3</v>
      </c>
      <c r="D176" s="25">
        <f>LN(②原始價格與FX!D164/②原始價格與FX!D163)</f>
        <v>-2.9341698507083114E-2</v>
      </c>
      <c r="E176" s="25">
        <f>LN(②原始價格與FX!G164/②原始價格與FX!G163)</f>
        <v>-3.7985297907169786E-3</v>
      </c>
      <c r="F176" s="25">
        <f>LN(②原始價格與FX!H164/②原始價格與FX!H163)</f>
        <v>-1.8104765674481387E-3</v>
      </c>
      <c r="G176" s="25">
        <f t="shared" si="6"/>
        <v>-2.3153498925413924E-2</v>
      </c>
      <c r="H176" s="26">
        <f t="shared" si="7"/>
        <v>1.9455694365692502E-3</v>
      </c>
      <c r="I176" s="26">
        <f t="shared" si="8"/>
        <v>-3.1152175074531253E-2</v>
      </c>
      <c r="J176" s="28">
        <f>G176*①基本設定!$G$5+H176*①基本設定!$G$6+I176*①基本設定!$G$7</f>
        <v>-18192.251322486445</v>
      </c>
    </row>
    <row r="177" spans="1:10" x14ac:dyDescent="0.25">
      <c r="A177" s="3" t="s">
        <v>216</v>
      </c>
      <c r="B177" s="25">
        <f>LN(②原始價格與FX!B165/②原始價格與FX!B164)</f>
        <v>1.3608629456931578E-2</v>
      </c>
      <c r="C177" s="25">
        <f>LN(②原始價格與FX!C165/②原始價格與FX!C164)</f>
        <v>-4.3933561133166635E-3</v>
      </c>
      <c r="D177" s="25">
        <f>LN(②原始價格與FX!D165/②原始價格與FX!D164)</f>
        <v>1.6572070534829324E-2</v>
      </c>
      <c r="E177" s="25">
        <f>LN(②原始價格與FX!G165/②原始價格與FX!G164)</f>
        <v>2.1304518866567027E-3</v>
      </c>
      <c r="F177" s="25">
        <f>LN(②原始價格與FX!H165/②原始價格與FX!H164)</f>
        <v>-3.7072889844421141E-4</v>
      </c>
      <c r="G177" s="25">
        <f t="shared" si="6"/>
        <v>1.3608629456931578E-2</v>
      </c>
      <c r="H177" s="26">
        <f t="shared" si="7"/>
        <v>-2.2629042266599608E-3</v>
      </c>
      <c r="I177" s="26">
        <f t="shared" si="8"/>
        <v>1.6201341636385112E-2</v>
      </c>
      <c r="J177" s="27">
        <f>G177*①基本設定!$G$5+H177*①基本設定!$G$6+I177*①基本設定!$G$7</f>
        <v>9504.5615148542129</v>
      </c>
    </row>
    <row r="178" spans="1:10" x14ac:dyDescent="0.25">
      <c r="A178" s="3" t="s">
        <v>217</v>
      </c>
      <c r="B178" s="25">
        <f>LN(②原始價格與FX!B166/②原始價格與FX!B165)</f>
        <v>1.9905437065968475E-2</v>
      </c>
      <c r="C178" s="25">
        <f>LN(②原始價格與FX!C166/②原始價格與FX!C165)</f>
        <v>3.8460216877375081E-2</v>
      </c>
      <c r="D178" s="25">
        <f>LN(②原始價格與FX!D166/②原始價格與FX!D165)</f>
        <v>-2.4842664141048729E-2</v>
      </c>
      <c r="E178" s="25">
        <f>LN(②原始價格與FX!G166/②原始價格與FX!G165)</f>
        <v>3.6412324471319394E-3</v>
      </c>
      <c r="F178" s="25">
        <f>LN(②原始價格與FX!H166/②原始價格與FX!H165)</f>
        <v>-5.28752058068331E-3</v>
      </c>
      <c r="G178" s="25">
        <f t="shared" si="6"/>
        <v>1.9905437065968475E-2</v>
      </c>
      <c r="H178" s="26">
        <f t="shared" si="7"/>
        <v>4.2101449324507018E-2</v>
      </c>
      <c r="I178" s="26">
        <f t="shared" si="8"/>
        <v>-3.013018472173204E-2</v>
      </c>
      <c r="J178" s="27">
        <f>G178*①基本設定!$G$5+H178*①基本設定!$G$6+I178*①基本設定!$G$7</f>
        <v>60564.384541572013</v>
      </c>
    </row>
    <row r="179" spans="1:10" x14ac:dyDescent="0.25">
      <c r="A179" s="3" t="s">
        <v>218</v>
      </c>
      <c r="B179" s="25">
        <f>LN(②原始價格與FX!B167/②原始價格與FX!B166)</f>
        <v>-2.7774500044337635E-2</v>
      </c>
      <c r="C179" s="25">
        <f>LN(②原始價格與FX!C167/②原始價格與FX!C166)</f>
        <v>-8.1668595583502587E-3</v>
      </c>
      <c r="D179" s="25">
        <f>LN(②原始價格與FX!D167/②原始價格與FX!D166)</f>
        <v>3.0826337944803203E-2</v>
      </c>
      <c r="E179" s="25">
        <f>LN(②原始價格與FX!G167/②原始價格與FX!G166)</f>
        <v>6.9249457597289456E-3</v>
      </c>
      <c r="F179" s="25">
        <f>LN(②原始價格與FX!H167/②原始價格與FX!H166)</f>
        <v>9.9354205887773562E-4</v>
      </c>
      <c r="G179" s="25">
        <f t="shared" si="6"/>
        <v>-2.7774500044337635E-2</v>
      </c>
      <c r="H179" s="26">
        <f t="shared" si="7"/>
        <v>-1.241913798621313E-3</v>
      </c>
      <c r="I179" s="26">
        <f t="shared" si="8"/>
        <v>3.1819880003680939E-2</v>
      </c>
      <c r="J179" s="28">
        <f>G179*①基本設定!$G$5+H179*①基本設定!$G$6+I179*①基本設定!$G$7</f>
        <v>-24781.707187107746</v>
      </c>
    </row>
    <row r="180" spans="1:10" x14ac:dyDescent="0.25">
      <c r="A180" s="3" t="s">
        <v>219</v>
      </c>
      <c r="B180" s="25">
        <f>LN(②原始價格與FX!B168/②原始價格與FX!B167)</f>
        <v>1.1800791629517939E-2</v>
      </c>
      <c r="C180" s="25">
        <f>LN(②原始價格與FX!C168/②原始價格與FX!C167)</f>
        <v>-1.9043997692629322E-2</v>
      </c>
      <c r="D180" s="25">
        <f>LN(②原始價格與FX!D168/②原始價格與FX!D167)</f>
        <v>1.8256763084339302E-2</v>
      </c>
      <c r="E180" s="25">
        <f>LN(②原始價格與FX!G168/②原始價格與FX!G167)</f>
        <v>-2.3494145001593499E-3</v>
      </c>
      <c r="F180" s="25">
        <f>LN(②原始價格與FX!H168/②原始價格與FX!H167)</f>
        <v>5.2822836590769896E-3</v>
      </c>
      <c r="G180" s="25">
        <f t="shared" si="6"/>
        <v>1.1800791629517939E-2</v>
      </c>
      <c r="H180" s="26">
        <f t="shared" si="7"/>
        <v>-2.1393412192788671E-2</v>
      </c>
      <c r="I180" s="26">
        <f t="shared" si="8"/>
        <v>2.3539046743416291E-2</v>
      </c>
      <c r="J180" s="28">
        <f>G180*①基本設定!$G$5+H180*①基本設定!$G$6+I180*①基本設定!$G$7</f>
        <v>-11873.51863010431</v>
      </c>
    </row>
    <row r="181" spans="1:10" x14ac:dyDescent="0.25">
      <c r="A181" s="3" t="s">
        <v>220</v>
      </c>
      <c r="B181" s="25">
        <f>LN(②原始價格與FX!B169/②原始價格與FX!B168)</f>
        <v>-4.0594025918111093E-5</v>
      </c>
      <c r="C181" s="25">
        <f>LN(②原始價格與FX!C169/②原始價格與FX!C168)</f>
        <v>2.3213392948227649E-2</v>
      </c>
      <c r="D181" s="25">
        <f>LN(②原始價格與FX!D169/②原始價格與FX!D168)</f>
        <v>-1.8657374549293258E-2</v>
      </c>
      <c r="E181" s="25">
        <f>LN(②原始價格與FX!G169/②原始價格與FX!G168)</f>
        <v>-1.5827811617474409E-3</v>
      </c>
      <c r="F181" s="25">
        <f>LN(②原始價格與FX!H169/②原始價格與FX!H168)</f>
        <v>-3.0504166445889714E-3</v>
      </c>
      <c r="G181" s="25">
        <f t="shared" si="6"/>
        <v>-4.0594025918111093E-5</v>
      </c>
      <c r="H181" s="26">
        <f t="shared" si="7"/>
        <v>2.1630611786480208E-2</v>
      </c>
      <c r="I181" s="26">
        <f t="shared" si="8"/>
        <v>-2.170779119388223E-2</v>
      </c>
      <c r="J181" s="27">
        <f>G181*①基本設定!$G$5+H181*①基本設定!$G$6+I181*①基本設定!$G$7</f>
        <v>22234.773074818771</v>
      </c>
    </row>
    <row r="182" spans="1:10" x14ac:dyDescent="0.25">
      <c r="A182" s="3" t="s">
        <v>221</v>
      </c>
      <c r="B182" s="25">
        <f>LN(②原始價格與FX!B170/②原始價格與FX!B169)</f>
        <v>2.005438980084075E-2</v>
      </c>
      <c r="C182" s="25">
        <f>LN(②原始價格與FX!C170/②原始價格與FX!C169)</f>
        <v>3.0336862548223441E-2</v>
      </c>
      <c r="D182" s="25">
        <f>LN(②原始價格與FX!D170/②原始價格與FX!D169)</f>
        <v>-1.0259543950490018E-2</v>
      </c>
      <c r="E182" s="25">
        <f>LN(②原始價格與FX!G170/②原始價格與FX!G169)</f>
        <v>-1.6598080605392668E-3</v>
      </c>
      <c r="F182" s="25">
        <f>LN(②原始價格與FX!H170/②原始價格與FX!H169)</f>
        <v>-1.0541703764049845E-2</v>
      </c>
      <c r="G182" s="25">
        <f t="shared" si="6"/>
        <v>2.005438980084075E-2</v>
      </c>
      <c r="H182" s="26">
        <f t="shared" si="7"/>
        <v>2.8677054487684175E-2</v>
      </c>
      <c r="I182" s="26">
        <f t="shared" si="8"/>
        <v>-2.0801247714539863E-2</v>
      </c>
      <c r="J182" s="27">
        <f>G182*①基本設定!$G$5+H182*①基本設定!$G$6+I182*①基本設定!$G$7</f>
        <v>46825.611017164512</v>
      </c>
    </row>
    <row r="183" spans="1:10" x14ac:dyDescent="0.25">
      <c r="A183" s="3" t="s">
        <v>222</v>
      </c>
      <c r="B183" s="25">
        <f>LN(②原始價格與FX!B171/②原始價格與FX!B170)</f>
        <v>4.3804287688252452E-3</v>
      </c>
      <c r="C183" s="25">
        <f>LN(②原始價格與FX!C171/②原始價格與FX!C170)</f>
        <v>9.9807509275563495E-3</v>
      </c>
      <c r="D183" s="25">
        <f>LN(②原始價格與FX!D171/②原始價格與FX!D170)</f>
        <v>8.3174678524562742E-3</v>
      </c>
      <c r="E183" s="25">
        <f>LN(②原始價格與FX!G171/②原始價格與FX!G170)</f>
        <v>1.9449555953252801E-3</v>
      </c>
      <c r="F183" s="25">
        <f>LN(②原始價格與FX!H171/②原始價格與FX!H170)</f>
        <v>-1.0436017728274773E-3</v>
      </c>
      <c r="G183" s="25">
        <f t="shared" si="6"/>
        <v>4.3804287688252452E-3</v>
      </c>
      <c r="H183" s="26">
        <f t="shared" si="7"/>
        <v>1.192570652288163E-2</v>
      </c>
      <c r="I183" s="26">
        <f t="shared" si="8"/>
        <v>7.273866079628797E-3</v>
      </c>
      <c r="J183" s="27">
        <f>G183*①基本設定!$G$5+H183*①基本設定!$G$6+I183*①基本設定!$G$7</f>
        <v>16249.918967902911</v>
      </c>
    </row>
    <row r="184" spans="1:10" x14ac:dyDescent="0.25">
      <c r="A184" s="3" t="s">
        <v>223</v>
      </c>
      <c r="B184" s="25">
        <f>LN(②原始價格與FX!B172/②原始價格與FX!B171)</f>
        <v>-1.5798453309282687E-2</v>
      </c>
      <c r="C184" s="25">
        <f>LN(②原始價格與FX!C172/②原始價格與FX!C171)</f>
        <v>1.433121972543995E-2</v>
      </c>
      <c r="D184" s="25">
        <f>LN(②原始價格與FX!D172/②原始價格與FX!D171)</f>
        <v>-1.7758063725884499E-2</v>
      </c>
      <c r="E184" s="25">
        <f>LN(②原始價格與FX!G172/②原始價格與FX!G171)</f>
        <v>-1.6003576306313563E-3</v>
      </c>
      <c r="F184" s="25">
        <f>LN(②原始價格與FX!H172/②原始價格與FX!H171)</f>
        <v>-4.6048306419204255E-3</v>
      </c>
      <c r="G184" s="25">
        <f t="shared" si="6"/>
        <v>-1.5798453309282687E-2</v>
      </c>
      <c r="H184" s="26">
        <f t="shared" si="7"/>
        <v>1.2730862094808594E-2</v>
      </c>
      <c r="I184" s="26">
        <f t="shared" si="8"/>
        <v>-2.2362894367804927E-2</v>
      </c>
      <c r="J184" s="28">
        <f>G184*①基本設定!$G$5+H184*①基本設定!$G$6+I184*①基本設定!$G$7</f>
        <v>-559.11641863844818</v>
      </c>
    </row>
    <row r="185" spans="1:10" x14ac:dyDescent="0.25">
      <c r="A185" s="3" t="s">
        <v>224</v>
      </c>
      <c r="B185" s="25">
        <f>LN(②原始價格與FX!B173/②原始價格與FX!B172)</f>
        <v>3.3883129037095353E-3</v>
      </c>
      <c r="C185" s="25">
        <f>LN(②原始價格與FX!C173/②原始價格與FX!C172)</f>
        <v>1.0615221108941119E-2</v>
      </c>
      <c r="D185" s="25">
        <f>LN(②原始價格與FX!D173/②原始價格與FX!D172)</f>
        <v>1.1760313440029167E-2</v>
      </c>
      <c r="E185" s="25">
        <f>LN(②原始價格與FX!G173/②原始價格與FX!G172)</f>
        <v>4.2217614736984885E-3</v>
      </c>
      <c r="F185" s="25">
        <f>LN(②原始價格與FX!H173/②原始價格與FX!H172)</f>
        <v>-5.8759340228365558E-4</v>
      </c>
      <c r="G185" s="25">
        <f t="shared" si="6"/>
        <v>3.3883129037095353E-3</v>
      </c>
      <c r="H185" s="26">
        <f t="shared" si="7"/>
        <v>1.4836982582639609E-2</v>
      </c>
      <c r="I185" s="26">
        <f t="shared" si="8"/>
        <v>1.1172720037745512E-2</v>
      </c>
      <c r="J185" s="27">
        <f>G185*①基本設定!$G$5+H185*①基本設定!$G$6+I185*①基本設定!$G$7</f>
        <v>18470.774765658116</v>
      </c>
    </row>
    <row r="186" spans="1:10" x14ac:dyDescent="0.25">
      <c r="A186" s="3" t="s">
        <v>225</v>
      </c>
      <c r="B186" s="25">
        <f>LN(②原始價格與FX!B174/②原始價格與FX!B173)</f>
        <v>1.3624261306943766E-2</v>
      </c>
      <c r="C186" s="25">
        <f>LN(②原始價格與FX!C174/②原始價格與FX!C173)</f>
        <v>-2.6438711152491925E-2</v>
      </c>
      <c r="D186" s="25">
        <f>LN(②原始價格與FX!D174/②原始價格與FX!D173)</f>
        <v>-5.0775425378936839E-2</v>
      </c>
      <c r="E186" s="25">
        <f>LN(②原始價格與FX!G174/②原始價格與FX!G173)</f>
        <v>-1.4816261002021404E-3</v>
      </c>
      <c r="F186" s="25">
        <f>LN(②原始價格與FX!H174/②原始價格與FX!H173)</f>
        <v>2.8507963800452935E-3</v>
      </c>
      <c r="G186" s="25">
        <f t="shared" si="6"/>
        <v>1.3624261306943766E-2</v>
      </c>
      <c r="H186" s="26">
        <f t="shared" si="7"/>
        <v>-2.7920337252694067E-2</v>
      </c>
      <c r="I186" s="26">
        <f t="shared" si="8"/>
        <v>-4.7924628998891543E-2</v>
      </c>
      <c r="J186" s="28">
        <f>G186*①基本設定!$G$5+H186*①基本設定!$G$6+I186*①基本設定!$G$7</f>
        <v>-17887.660136923863</v>
      </c>
    </row>
    <row r="187" spans="1:10" x14ac:dyDescent="0.25">
      <c r="A187" s="3" t="s">
        <v>226</v>
      </c>
      <c r="B187" s="25">
        <f>LN(②原始價格與FX!B175/②原始價格與FX!B174)</f>
        <v>6.022371916694292E-3</v>
      </c>
      <c r="C187" s="25">
        <f>LN(②原始價格與FX!C175/②原始價格與FX!C174)</f>
        <v>8.5354947267245063E-3</v>
      </c>
      <c r="D187" s="25">
        <f>LN(②原始價格與FX!D175/②原始價格與FX!D174)</f>
        <v>3.3601824335843945E-2</v>
      </c>
      <c r="E187" s="25">
        <f>LN(②原始價格與FX!G175/②原始價格與FX!G174)</f>
        <v>-1.9272306216408703E-3</v>
      </c>
      <c r="F187" s="25">
        <f>LN(②原始價格與FX!H175/②原始價格與FX!H174)</f>
        <v>-2.5149864453107417E-3</v>
      </c>
      <c r="G187" s="25">
        <f t="shared" si="6"/>
        <v>6.022371916694292E-3</v>
      </c>
      <c r="H187" s="26">
        <f t="shared" si="7"/>
        <v>6.6082641050836362E-3</v>
      </c>
      <c r="I187" s="26">
        <f t="shared" si="8"/>
        <v>3.1086837890533202E-2</v>
      </c>
      <c r="J187" s="27">
        <f>G187*①基本設定!$G$5+H187*①基本設定!$G$6+I187*①基本設定!$G$7</f>
        <v>12388.310510339199</v>
      </c>
    </row>
    <row r="188" spans="1:10" x14ac:dyDescent="0.25">
      <c r="A188" s="3" t="s">
        <v>227</v>
      </c>
      <c r="B188" s="25">
        <f>LN(②原始價格與FX!B176/②原始價格與FX!B175)</f>
        <v>-3.1644557220802151E-3</v>
      </c>
      <c r="C188" s="25">
        <f>LN(②原始價格與FX!C176/②原始價格與FX!C175)</f>
        <v>-2.6984967075677508E-3</v>
      </c>
      <c r="D188" s="25">
        <f>LN(②原始價格與FX!D176/②原始價格與FX!D175)</f>
        <v>-3.1992885441271594E-2</v>
      </c>
      <c r="E188" s="25">
        <f>LN(②原始價格與FX!G176/②原始價格與FX!G175)</f>
        <v>2.3945355342159212E-3</v>
      </c>
      <c r="F188" s="25">
        <f>LN(②原始價格與FX!H176/②原始價格與FX!H175)</f>
        <v>2.5149864453107625E-3</v>
      </c>
      <c r="G188" s="25">
        <f t="shared" si="6"/>
        <v>-3.1644557220802151E-3</v>
      </c>
      <c r="H188" s="26">
        <f t="shared" si="7"/>
        <v>-3.0396117335182958E-4</v>
      </c>
      <c r="I188" s="26">
        <f t="shared" si="8"/>
        <v>-2.947789899596083E-2</v>
      </c>
      <c r="J188" s="28">
        <f>G188*①基本設定!$G$5+H188*①基本設定!$G$6+I188*①基本設定!$G$7</f>
        <v>-3357.268108656569</v>
      </c>
    </row>
    <row r="189" spans="1:10" x14ac:dyDescent="0.25">
      <c r="A189" s="3" t="s">
        <v>228</v>
      </c>
      <c r="B189" s="25">
        <f>LN(②原始價格與FX!B177/②原始價格與FX!B176)</f>
        <v>9.2680525173290135E-3</v>
      </c>
      <c r="C189" s="25">
        <f>LN(②原始價格與FX!C177/②原始價格與FX!C176)</f>
        <v>2.8078491812924895E-2</v>
      </c>
      <c r="D189" s="25">
        <f>LN(②原始價格與FX!D177/②原始價格與FX!D176)</f>
        <v>-8.9317613492759929E-5</v>
      </c>
      <c r="E189" s="25">
        <f>LN(②原始價格與FX!G177/②原始價格與FX!G176)</f>
        <v>1.5643456126892812E-3</v>
      </c>
      <c r="F189" s="25">
        <f>LN(②原始價格與FX!H177/②原始價格與FX!H176)</f>
        <v>2.1327765533560553E-3</v>
      </c>
      <c r="G189" s="25">
        <f t="shared" si="6"/>
        <v>9.2680525173290135E-3</v>
      </c>
      <c r="H189" s="26">
        <f t="shared" si="7"/>
        <v>2.9642837425614174E-2</v>
      </c>
      <c r="I189" s="26">
        <f t="shared" si="8"/>
        <v>2.0434589398632954E-3</v>
      </c>
      <c r="J189" s="27">
        <f>G189*①基本設定!$G$5+H189*①基本設定!$G$6+I189*①基本設定!$G$7</f>
        <v>38823.962010580282</v>
      </c>
    </row>
    <row r="190" spans="1:10" x14ac:dyDescent="0.25">
      <c r="A190" s="3" t="s">
        <v>229</v>
      </c>
      <c r="B190" s="25">
        <f>LN(②原始價格與FX!B178/②原始價格與FX!B177)</f>
        <v>1.0627919000691847E-2</v>
      </c>
      <c r="C190" s="25">
        <f>LN(②原始價格與FX!C178/②原始價格與FX!C177)</f>
        <v>2.4272828646154682E-2</v>
      </c>
      <c r="D190" s="25">
        <f>LN(②原始價格與FX!D178/②原始價格與FX!D177)</f>
        <v>3.301166155002784E-2</v>
      </c>
      <c r="E190" s="25">
        <f>LN(②原始價格與FX!G178/②原始價格與FX!G177)</f>
        <v>-2.2862509908824441E-4</v>
      </c>
      <c r="F190" s="25">
        <f>LN(②原始價格與FX!H178/②原始價格與FX!H177)</f>
        <v>-4.0603668250266296E-3</v>
      </c>
      <c r="G190" s="25">
        <f t="shared" si="6"/>
        <v>1.0627919000691847E-2</v>
      </c>
      <c r="H190" s="26">
        <f t="shared" si="7"/>
        <v>2.4044203547066437E-2</v>
      </c>
      <c r="I190" s="26">
        <f t="shared" si="8"/>
        <v>2.8951294725001211E-2</v>
      </c>
      <c r="J190" s="27">
        <f>G190*①基本設定!$G$5+H190*①基本設定!$G$6+I190*①基本設定!$G$7</f>
        <v>34461.727527207695</v>
      </c>
    </row>
    <row r="191" spans="1:10" x14ac:dyDescent="0.25">
      <c r="A191" s="3" t="s">
        <v>230</v>
      </c>
      <c r="B191" s="25">
        <f>LN(②原始價格與FX!B179/②原始價格與FX!B178)</f>
        <v>2.0101884866672307E-2</v>
      </c>
      <c r="C191" s="25">
        <f>LN(②原始價格與FX!C179/②原始價格與FX!C178)</f>
        <v>2.40277717478189E-2</v>
      </c>
      <c r="D191" s="25">
        <f>LN(②原始價格與FX!D179/②原始價格與FX!D178)</f>
        <v>-6.2401883477446088E-2</v>
      </c>
      <c r="E191" s="25">
        <f>LN(②原始價格與FX!G179/②原始價格與FX!G178)</f>
        <v>-4.5431577581670938E-4</v>
      </c>
      <c r="F191" s="25">
        <f>LN(②原始價格與FX!H179/②原始價格與FX!H178)</f>
        <v>6.772034909944465E-3</v>
      </c>
      <c r="G191" s="25">
        <f t="shared" si="6"/>
        <v>2.0101884866672307E-2</v>
      </c>
      <c r="H191" s="26">
        <f t="shared" si="7"/>
        <v>2.3573455972002191E-2</v>
      </c>
      <c r="I191" s="26">
        <f t="shared" si="8"/>
        <v>-5.5629848567501625E-2</v>
      </c>
      <c r="J191" s="27">
        <f>G191*①基本設定!$G$5+H191*①基本設定!$G$6+I191*①基本設定!$G$7</f>
        <v>41171.836895952278</v>
      </c>
    </row>
    <row r="192" spans="1:10" x14ac:dyDescent="0.25">
      <c r="A192" s="3" t="s">
        <v>231</v>
      </c>
      <c r="B192" s="25">
        <f>LN(②原始價格與FX!B180/②原始價格與FX!B179)</f>
        <v>-3.6047123774026461E-2</v>
      </c>
      <c r="C192" s="25">
        <f>LN(②原始價格與FX!C180/②原始價格與FX!C179)</f>
        <v>-2.396266278219151E-3</v>
      </c>
      <c r="D192" s="25">
        <f>LN(②原始價格與FX!D180/②原始價格與FX!D179)</f>
        <v>-4.1243684737540739E-2</v>
      </c>
      <c r="E192" s="25">
        <f>LN(②原始價格與FX!G180/②原始價格與FX!G179)</f>
        <v>-1.0763464647499164E-3</v>
      </c>
      <c r="F192" s="25">
        <f>LN(②原始價格與FX!H180/②原始價格與FX!H179)</f>
        <v>3.8255275561993344E-3</v>
      </c>
      <c r="G192" s="25">
        <f t="shared" si="6"/>
        <v>-3.6047123774026461E-2</v>
      </c>
      <c r="H192" s="26">
        <f t="shared" si="7"/>
        <v>-3.4726127429690673E-3</v>
      </c>
      <c r="I192" s="26">
        <f t="shared" si="8"/>
        <v>-3.7418157181341408E-2</v>
      </c>
      <c r="J192" s="28">
        <f>G192*①基本設定!$G$5+H192*①基本設定!$G$6+I192*①基本設定!$G$7</f>
        <v>-34966.558823742758</v>
      </c>
    </row>
    <row r="193" spans="1:10" x14ac:dyDescent="0.25">
      <c r="A193" s="3" t="s">
        <v>232</v>
      </c>
      <c r="B193" s="25">
        <f>LN(②原始價格與FX!B181/②原始價格與FX!B180)</f>
        <v>2.0870818746478163E-2</v>
      </c>
      <c r="C193" s="25">
        <f>LN(②原始價格與FX!C181/②原始價格與FX!C180)</f>
        <v>-3.2869779756617757E-3</v>
      </c>
      <c r="D193" s="25">
        <f>LN(②原始價格與FX!D181/②原始價格與FX!D180)</f>
        <v>-2.9771631636579751E-2</v>
      </c>
      <c r="E193" s="25">
        <f>LN(②原始價格與FX!G181/②原始價格與FX!G180)</f>
        <v>-2.2430147578658662E-3</v>
      </c>
      <c r="F193" s="25">
        <f>LN(②原始價格與FX!H181/②原始價格與FX!H180)</f>
        <v>9.9556153740784441E-4</v>
      </c>
      <c r="G193" s="25">
        <f t="shared" si="6"/>
        <v>2.0870818746478163E-2</v>
      </c>
      <c r="H193" s="26">
        <f t="shared" si="7"/>
        <v>-5.5299927335276423E-3</v>
      </c>
      <c r="I193" s="26">
        <f t="shared" si="8"/>
        <v>-2.8776070099171908E-2</v>
      </c>
      <c r="J193" s="27">
        <f>G193*①基本設定!$G$5+H193*①基本設定!$G$6+I193*①基本設定!$G$7</f>
        <v>11842.698913983262</v>
      </c>
    </row>
    <row r="194" spans="1:10" x14ac:dyDescent="0.25">
      <c r="A194" s="3" t="s">
        <v>233</v>
      </c>
      <c r="B194" s="25">
        <f>LN(②原始價格與FX!B182/②原始價格與FX!B181)</f>
        <v>1.8896899316791008E-2</v>
      </c>
      <c r="C194" s="25">
        <f>LN(②原始價格與FX!C182/②原始價格與FX!C181)</f>
        <v>-5.048134316201559E-3</v>
      </c>
      <c r="D194" s="25">
        <f>LN(②原始價格與FX!D182/②原始價格與FX!D181)</f>
        <v>-1.8011323297310335E-2</v>
      </c>
      <c r="E194" s="25">
        <f>LN(②原始價格與FX!G182/②原始價格與FX!G181)</f>
        <v>-2.2853604109179539E-3</v>
      </c>
      <c r="F194" s="25">
        <f>LN(②原始價格與FX!H182/②原始價格與FX!H181)</f>
        <v>6.6315748275258025E-4</v>
      </c>
      <c r="G194" s="25">
        <f t="shared" si="6"/>
        <v>1.8896899316791008E-2</v>
      </c>
      <c r="H194" s="26">
        <f t="shared" si="7"/>
        <v>-7.3334947271195133E-3</v>
      </c>
      <c r="I194" s="26">
        <f t="shared" si="8"/>
        <v>-1.7348165814557753E-2</v>
      </c>
      <c r="J194" s="27">
        <f>G194*①基本設定!$G$5+H194*①基本設定!$G$6+I194*①基本設定!$G$7</f>
        <v>8397.5951890837587</v>
      </c>
    </row>
    <row r="195" spans="1:10" x14ac:dyDescent="0.25">
      <c r="A195" s="3" t="s">
        <v>234</v>
      </c>
      <c r="B195" s="25">
        <f>LN(②原始價格與FX!B183/②原始價格與FX!B182)</f>
        <v>1.6270063911447696E-2</v>
      </c>
      <c r="C195" s="25">
        <f>LN(②原始價格與FX!C183/②原始價格與FX!C182)</f>
        <v>1.5004587549306047E-3</v>
      </c>
      <c r="D195" s="25">
        <f>LN(②原始價格與FX!D183/②原始價格與FX!D182)</f>
        <v>-2.1804075830906801E-2</v>
      </c>
      <c r="E195" s="25">
        <f>LN(②原始價格與FX!G183/②原始價格與FX!G182)</f>
        <v>-1.6987705114195808E-3</v>
      </c>
      <c r="F195" s="25">
        <f>LN(②原始價格與FX!H183/②原始價格與FX!H182)</f>
        <v>-7.1103648907777442E-3</v>
      </c>
      <c r="G195" s="25">
        <f t="shared" si="6"/>
        <v>1.6270063911447696E-2</v>
      </c>
      <c r="H195" s="26">
        <f t="shared" si="7"/>
        <v>-1.9831175648897612E-4</v>
      </c>
      <c r="I195" s="26">
        <f t="shared" si="8"/>
        <v>-2.8914440721684545E-2</v>
      </c>
      <c r="J195" s="27">
        <f>G195*①基本設定!$G$5+H195*①基本設定!$G$6+I195*①基本設定!$G$7</f>
        <v>13440.304334389824</v>
      </c>
    </row>
    <row r="196" spans="1:10" x14ac:dyDescent="0.25">
      <c r="A196" s="3" t="s">
        <v>235</v>
      </c>
      <c r="B196" s="25">
        <f>LN(②原始價格與FX!B184/②原始價格與FX!B183)</f>
        <v>-2.0534139909477906E-2</v>
      </c>
      <c r="C196" s="25">
        <f>LN(②原始價格與FX!C184/②原始價格與FX!C183)</f>
        <v>-3.2910146957843549E-2</v>
      </c>
      <c r="D196" s="25">
        <f>LN(②原始價格與FX!D184/②原始價格與FX!D183)</f>
        <v>2.4891233958234945E-2</v>
      </c>
      <c r="E196" s="25">
        <f>LN(②原始價格與FX!G184/②原始價格與FX!G183)</f>
        <v>-1.1247666360551462E-3</v>
      </c>
      <c r="F196" s="25">
        <f>LN(②原始價格與FX!H184/②原始價格與FX!H183)</f>
        <v>3.5407114240379118E-3</v>
      </c>
      <c r="G196" s="25">
        <f t="shared" si="6"/>
        <v>-2.0534139909477906E-2</v>
      </c>
      <c r="H196" s="26">
        <f t="shared" si="7"/>
        <v>-3.4034913593898694E-2</v>
      </c>
      <c r="I196" s="26">
        <f t="shared" si="8"/>
        <v>2.8431945382272856E-2</v>
      </c>
      <c r="J196" s="28">
        <f>G196*①基本設定!$G$5+H196*①基本設定!$G$6+I196*①基本設定!$G$7</f>
        <v>-52728.707526576778</v>
      </c>
    </row>
    <row r="197" spans="1:10" x14ac:dyDescent="0.25">
      <c r="A197" s="3" t="s">
        <v>236</v>
      </c>
      <c r="B197" s="25">
        <f>LN(②原始價格與FX!B185/②原始價格與FX!B184)</f>
        <v>2.7495326238078693E-2</v>
      </c>
      <c r="C197" s="25">
        <f>LN(②原始價格與FX!C185/②原始價格與FX!C184)</f>
        <v>8.8843766166881739E-3</v>
      </c>
      <c r="D197" s="25">
        <f>LN(②原始價格與FX!D185/②原始價格與FX!D184)</f>
        <v>-7.6474512371910632E-3</v>
      </c>
      <c r="E197" s="25">
        <f>LN(②原始價格與FX!G185/②原始價格與FX!G184)</f>
        <v>-2.1002477772985237E-3</v>
      </c>
      <c r="F197" s="25">
        <f>LN(②原始價格與FX!H185/②原始價格與FX!H184)</f>
        <v>-2.3312945074319613E-3</v>
      </c>
      <c r="G197" s="25">
        <f t="shared" si="6"/>
        <v>2.7495326238078693E-2</v>
      </c>
      <c r="H197" s="26">
        <f t="shared" si="7"/>
        <v>6.7841288393896502E-3</v>
      </c>
      <c r="I197" s="26">
        <f t="shared" si="8"/>
        <v>-9.9787457446230236E-3</v>
      </c>
      <c r="J197" s="27">
        <f>G197*①基本設定!$G$5+H197*①基本設定!$G$6+I197*①基本設定!$G$7</f>
        <v>30549.950188718238</v>
      </c>
    </row>
    <row r="198" spans="1:10" x14ac:dyDescent="0.25">
      <c r="A198" s="3" t="s">
        <v>237</v>
      </c>
      <c r="B198" s="25">
        <f>LN(②原始價格與FX!B186/②原始價格與FX!B185)</f>
        <v>1.0680372385474491E-2</v>
      </c>
      <c r="C198" s="25">
        <f>LN(②原始價格與FX!C186/②原始價格與FX!C185)</f>
        <v>1.137559367605806E-4</v>
      </c>
      <c r="D198" s="25">
        <f>LN(②原始價格與FX!D186/②原始價格與FX!D185)</f>
        <v>1.901007722497336E-2</v>
      </c>
      <c r="E198" s="25">
        <f>LN(②原始價格與FX!G186/②原始價格與FX!G185)</f>
        <v>-1.4724895701888818E-3</v>
      </c>
      <c r="F198" s="25">
        <f>LN(②原始價格與FX!H186/②原始價格與FX!H185)</f>
        <v>-2.0025873437115693E-3</v>
      </c>
      <c r="G198" s="25">
        <f t="shared" si="6"/>
        <v>1.0680372385474491E-2</v>
      </c>
      <c r="H198" s="26">
        <f t="shared" si="7"/>
        <v>-1.3587336334283011E-3</v>
      </c>
      <c r="I198" s="26">
        <f t="shared" si="8"/>
        <v>1.700748988126179E-2</v>
      </c>
      <c r="J198" s="27">
        <f>G198*①基本設定!$G$5+H198*①基本設定!$G$6+I198*①基本設定!$G$7</f>
        <v>7940.8824966480597</v>
      </c>
    </row>
    <row r="199" spans="1:10" x14ac:dyDescent="0.25">
      <c r="A199" s="3" t="s">
        <v>238</v>
      </c>
      <c r="B199" s="25">
        <f>LN(②原始價格與FX!B187/②原始價格與FX!B186)</f>
        <v>1.3597265275219414E-2</v>
      </c>
      <c r="C199" s="25">
        <f>LN(②原始價格與FX!C187/②原始價格與FX!C186)</f>
        <v>5.303698068457219E-3</v>
      </c>
      <c r="D199" s="25">
        <f>LN(②原始價格與FX!D187/②原始價格與FX!D186)</f>
        <v>-2.0089541597068448E-3</v>
      </c>
      <c r="E199" s="25">
        <f>LN(②原始價格與FX!G187/②原始價格與FX!G186)</f>
        <v>2.3000082014494223E-3</v>
      </c>
      <c r="F199" s="25">
        <f>LN(②原始價格與FX!H187/②原始價格與FX!H186)</f>
        <v>4.1753654051278956E-4</v>
      </c>
      <c r="G199" s="25">
        <f t="shared" si="6"/>
        <v>1.3597265275219414E-2</v>
      </c>
      <c r="H199" s="26">
        <f t="shared" si="7"/>
        <v>7.6037062699066413E-3</v>
      </c>
      <c r="I199" s="26">
        <f t="shared" si="8"/>
        <v>-1.5914176191940553E-3</v>
      </c>
      <c r="J199" s="27">
        <f>G199*①基本設定!$G$5+H199*①基本設定!$G$6+I199*①基本設定!$G$7</f>
        <v>19565.951577762131</v>
      </c>
    </row>
    <row r="200" spans="1:10" x14ac:dyDescent="0.25">
      <c r="A200" s="3" t="s">
        <v>239</v>
      </c>
      <c r="B200" s="25">
        <f>LN(②原始價格與FX!B188/②原始價格與FX!B187)</f>
        <v>1.3083150736015554E-2</v>
      </c>
      <c r="C200" s="25">
        <f>LN(②原始價格與FX!C188/②原始價格與FX!C187)</f>
        <v>4.2340650941732026E-3</v>
      </c>
      <c r="D200" s="25">
        <f>LN(②原始價格與FX!D188/②原始價格與FX!D187)</f>
        <v>-3.1653399852136908E-2</v>
      </c>
      <c r="E200" s="25">
        <f>LN(②原始價格與FX!G188/②原始價格與FX!G187)</f>
        <v>-8.9624908606446025E-4</v>
      </c>
      <c r="F200" s="25">
        <f>LN(②原始價格與FX!H188/②原始價格與FX!H187)</f>
        <v>-4.7283390392756459E-3</v>
      </c>
      <c r="G200" s="25">
        <f t="shared" si="6"/>
        <v>1.3083150736015554E-2</v>
      </c>
      <c r="H200" s="26">
        <f t="shared" si="7"/>
        <v>3.3378160081087424E-3</v>
      </c>
      <c r="I200" s="26">
        <f t="shared" si="8"/>
        <v>-3.6381738891412552E-2</v>
      </c>
      <c r="J200" s="27">
        <f>G200*①基本設定!$G$5+H200*①基本設定!$G$6+I200*①基本設定!$G$7</f>
        <v>14302.265603867956</v>
      </c>
    </row>
    <row r="201" spans="1:10" x14ac:dyDescent="0.25">
      <c r="A201" s="3" t="s">
        <v>240</v>
      </c>
      <c r="B201" s="25">
        <f>LN(②原始價格與FX!B189/②原始價格與FX!B188)</f>
        <v>6.6721629660065809E-3</v>
      </c>
      <c r="C201" s="25">
        <f>LN(②原始價格與FX!C189/②原始價格與FX!C188)</f>
        <v>3.3378439644995567E-2</v>
      </c>
      <c r="D201" s="25">
        <f>LN(②原始價格與FX!D189/②原始價格與FX!D188)</f>
        <v>8.9648200873600344E-4</v>
      </c>
      <c r="E201" s="25">
        <f>LN(②原始價格與FX!G189/②原始價格與FX!G188)</f>
        <v>4.1590472332528371E-3</v>
      </c>
      <c r="F201" s="25">
        <f>LN(②原始價格與FX!H189/②原始價格與FX!H188)</f>
        <v>-7.9723071462620729E-4</v>
      </c>
      <c r="G201" s="25">
        <f t="shared" si="6"/>
        <v>6.6721629660065809E-3</v>
      </c>
      <c r="H201" s="26">
        <f t="shared" si="7"/>
        <v>3.7537486878248406E-2</v>
      </c>
      <c r="I201" s="26">
        <f t="shared" si="8"/>
        <v>9.9251294109796158E-5</v>
      </c>
      <c r="J201" s="27">
        <f>G201*①基本設定!$G$5+H201*①基本設定!$G$6+I201*①基本設定!$G$7</f>
        <v>44789.549219019005</v>
      </c>
    </row>
    <row r="202" spans="1:10" x14ac:dyDescent="0.25">
      <c r="A202" s="3" t="s">
        <v>241</v>
      </c>
      <c r="B202" s="25">
        <f>LN(②原始價格與FX!B190/②原始價格與FX!B189)</f>
        <v>6.3005083380317777E-3</v>
      </c>
      <c r="C202" s="25">
        <f>LN(②原始價格與FX!C190/②原始價格與FX!C189)</f>
        <v>-3.3564862118535127E-3</v>
      </c>
      <c r="D202" s="25">
        <f>LN(②原始價格與FX!D190/②原始價格與FX!D189)</f>
        <v>6.8125542550648175E-3</v>
      </c>
      <c r="E202" s="25">
        <f>LN(②原始價格與FX!G190/②原始價格與FX!G189)</f>
        <v>-1.1175637653003305E-3</v>
      </c>
      <c r="F202" s="25">
        <f>LN(②原始價格與FX!H190/②原始價格與FX!H189)</f>
        <v>-5.1342592374168383E-3</v>
      </c>
      <c r="G202" s="25">
        <f t="shared" si="6"/>
        <v>6.3005083380317777E-3</v>
      </c>
      <c r="H202" s="26">
        <f t="shared" si="7"/>
        <v>-4.474049977153843E-3</v>
      </c>
      <c r="I202" s="26">
        <f t="shared" si="8"/>
        <v>1.6782950176479792E-3</v>
      </c>
      <c r="J202" s="27">
        <f>G202*①基本設定!$G$5+H202*①基本設定!$G$6+I202*①基本設定!$G$7</f>
        <v>770.77784919432963</v>
      </c>
    </row>
    <row r="203" spans="1:10" x14ac:dyDescent="0.25">
      <c r="A203" s="3" t="s">
        <v>242</v>
      </c>
      <c r="B203" s="25">
        <f>LN(②原始價格與FX!B191/②原始價格與FX!B190)</f>
        <v>-4.9714012904159477E-3</v>
      </c>
      <c r="C203" s="25">
        <f>LN(②原始價格與FX!C191/②原始價格與FX!C190)</f>
        <v>4.0025701179730741E-2</v>
      </c>
      <c r="D203" s="25">
        <f>LN(②原始價格與FX!D191/②原始價格與FX!D190)</f>
        <v>1.8317699338702451E-2</v>
      </c>
      <c r="E203" s="25">
        <f>LN(②原始價格與FX!G191/②原始價格與FX!G190)</f>
        <v>1.6214596374845168E-3</v>
      </c>
      <c r="F203" s="25">
        <f>LN(②原始價格與FX!H191/②原始價格與FX!H190)</f>
        <v>7.1701219883668448E-4</v>
      </c>
      <c r="G203" s="25">
        <f t="shared" si="6"/>
        <v>-4.9714012904159477E-3</v>
      </c>
      <c r="H203" s="26">
        <f t="shared" si="7"/>
        <v>4.1647160817215256E-2</v>
      </c>
      <c r="I203" s="26">
        <f t="shared" si="8"/>
        <v>1.9034711537539134E-2</v>
      </c>
      <c r="J203" s="27">
        <f>G203*①基本設定!$G$5+H203*①基本設定!$G$6+I203*①基本設定!$G$7</f>
        <v>39280.565767338361</v>
      </c>
    </row>
    <row r="204" spans="1:10" x14ac:dyDescent="0.25">
      <c r="A204" s="3" t="s">
        <v>243</v>
      </c>
      <c r="B204" s="25">
        <f>LN(②原始價格與FX!B192/②原始價格與FX!B191)</f>
        <v>1.7498433716682071E-3</v>
      </c>
      <c r="C204" s="25">
        <f>LN(②原始價格與FX!C192/②原始價格與FX!C191)</f>
        <v>6.7005433127764937E-3</v>
      </c>
      <c r="D204" s="25">
        <f>LN(②原始價格與FX!D192/②原始價格與FX!D191)</f>
        <v>4.6082456909769384E-3</v>
      </c>
      <c r="E204" s="25">
        <f>LN(②原始價格與FX!G192/②原始價格與FX!G191)</f>
        <v>-1.0573487301446136E-4</v>
      </c>
      <c r="F204" s="25">
        <f>LN(②原始價格與FX!H192/②原始價格與FX!H191)</f>
        <v>-6.5141298831624082E-3</v>
      </c>
      <c r="G204" s="25">
        <f t="shared" si="6"/>
        <v>1.7498433716682071E-3</v>
      </c>
      <c r="H204" s="26">
        <f t="shared" si="7"/>
        <v>6.5948084397620321E-3</v>
      </c>
      <c r="I204" s="26">
        <f t="shared" si="8"/>
        <v>-1.9058841921854698E-3</v>
      </c>
      <c r="J204" s="27">
        <f>G204*①基本設定!$G$5+H204*①基本設定!$G$6+I204*①基本設定!$G$7</f>
        <v>8343.5125952161197</v>
      </c>
    </row>
    <row r="205" spans="1:10" x14ac:dyDescent="0.25">
      <c r="A205" s="3" t="s">
        <v>244</v>
      </c>
      <c r="B205" s="25">
        <f>LN(②原始價格與FX!B193/②原始價格與FX!B192)</f>
        <v>3.0666050274308562E-2</v>
      </c>
      <c r="C205" s="25">
        <f>LN(②原始價格與FX!C193/②原始價格與FX!C192)</f>
        <v>-2.9259647814715334E-3</v>
      </c>
      <c r="D205" s="25">
        <f>LN(②原始價格與FX!D193/②原始價格與FX!D192)</f>
        <v>-1.2151668467025024E-2</v>
      </c>
      <c r="E205" s="25">
        <f>LN(②原始價格與FX!G193/②原始價格與FX!G192)</f>
        <v>-4.8134270071612485E-3</v>
      </c>
      <c r="F205" s="25">
        <f>LN(②原始價格與FX!H193/②原始價格與FX!H192)</f>
        <v>-1.4439209201699119E-3</v>
      </c>
      <c r="G205" s="25">
        <f t="shared" si="6"/>
        <v>3.0666050274308562E-2</v>
      </c>
      <c r="H205" s="26">
        <f t="shared" si="7"/>
        <v>-7.7393917886327823E-3</v>
      </c>
      <c r="I205" s="26">
        <f t="shared" si="8"/>
        <v>-1.3595589387194936E-2</v>
      </c>
      <c r="J205" s="27">
        <f>G205*①基本設定!$G$5+H205*①基本設定!$G$6+I205*①基本設定!$G$7</f>
        <v>18118.498032722411</v>
      </c>
    </row>
    <row r="206" spans="1:10" x14ac:dyDescent="0.25">
      <c r="A206" s="3" t="s">
        <v>245</v>
      </c>
      <c r="B206" s="25">
        <f>LN(②原始價格與FX!B194/②原始價格與FX!B193)</f>
        <v>1.2304646158692891E-2</v>
      </c>
      <c r="C206" s="25">
        <f>LN(②原始價格與FX!C194/②原始價格與FX!C193)</f>
        <v>5.7541915641007345E-4</v>
      </c>
      <c r="D206" s="25">
        <f>LN(②原始價格與FX!D194/②原始價格與FX!D193)</f>
        <v>-1.0596293114645007E-2</v>
      </c>
      <c r="E206" s="25">
        <f>LN(②原始價格與FX!G194/②原始價格與FX!G193)</f>
        <v>6.6311319489013223E-3</v>
      </c>
      <c r="F206" s="25">
        <f>LN(②原始價格與FX!H194/②原始價格與FX!H193)</f>
        <v>-5.5263886457630675E-4</v>
      </c>
      <c r="G206" s="25">
        <f t="shared" si="6"/>
        <v>1.2304646158692891E-2</v>
      </c>
      <c r="H206" s="26">
        <f t="shared" si="7"/>
        <v>7.2065511053113953E-3</v>
      </c>
      <c r="I206" s="26">
        <f t="shared" si="8"/>
        <v>-1.1148931979221314E-2</v>
      </c>
      <c r="J206" s="27">
        <f>G206*①基本設定!$G$5+H206*①基本設定!$G$6+I206*①基本設定!$G$7</f>
        <v>17937.860924941328</v>
      </c>
    </row>
    <row r="207" spans="1:10" x14ac:dyDescent="0.25">
      <c r="A207" s="3" t="s">
        <v>246</v>
      </c>
      <c r="B207" s="25">
        <f>LN(②原始價格與FX!B195/②原始價格與FX!B194)</f>
        <v>-3.6199889003112405E-2</v>
      </c>
      <c r="C207" s="25">
        <f>LN(②原始價格與FX!C195/②原始價格與FX!C194)</f>
        <v>-9.2730683530454893E-3</v>
      </c>
      <c r="D207" s="25">
        <f>LN(②原始價格與FX!D195/②原始價格與FX!D194)</f>
        <v>-1.9563162415152987E-2</v>
      </c>
      <c r="E207" s="25">
        <f>LN(②原始價格與FX!G195/②原始價格與FX!G194)</f>
        <v>2.2481361574652622E-3</v>
      </c>
      <c r="F207" s="25">
        <f>LN(②原始價格與FX!H195/②原始價格與FX!H194)</f>
        <v>7.5404915448568366E-3</v>
      </c>
      <c r="G207" s="25">
        <f t="shared" si="6"/>
        <v>-3.6199889003112405E-2</v>
      </c>
      <c r="H207" s="26">
        <f t="shared" si="7"/>
        <v>-7.0249321955802267E-3</v>
      </c>
      <c r="I207" s="26">
        <f t="shared" si="8"/>
        <v>-1.202267087029615E-2</v>
      </c>
      <c r="J207" s="28">
        <f>G207*①基本設定!$G$5+H207*①基本設定!$G$6+I207*①基本設定!$G$7</f>
        <v>-38514.415932369011</v>
      </c>
    </row>
    <row r="208" spans="1:10" x14ac:dyDescent="0.25">
      <c r="A208" s="3" t="s">
        <v>247</v>
      </c>
      <c r="B208" s="25">
        <f>LN(②原始價格與FX!B196/②原始價格與FX!B195)</f>
        <v>2.2790842779985936E-2</v>
      </c>
      <c r="C208" s="25">
        <f>LN(②原始價格與FX!C196/②原始價格與FX!C195)</f>
        <v>-1.1760312872384731E-2</v>
      </c>
      <c r="D208" s="25">
        <f>LN(②原始價格與FX!D196/②原始價格與FX!D195)</f>
        <v>1.0701908553731867E-2</v>
      </c>
      <c r="E208" s="25">
        <f>LN(②原始價格與FX!G196/②原始價格與FX!G195)</f>
        <v>4.2159464548825196E-3</v>
      </c>
      <c r="F208" s="25">
        <f>LN(②原始價格與FX!H196/②原始價格與FX!H195)</f>
        <v>7.1719369412474203E-4</v>
      </c>
      <c r="G208" s="25">
        <f t="shared" ref="G208:G265" si="9">B208</f>
        <v>2.2790842779985936E-2</v>
      </c>
      <c r="H208" s="26">
        <f t="shared" ref="H208:H265" si="10">C208+E208</f>
        <v>-7.544366417502211E-3</v>
      </c>
      <c r="I208" s="26">
        <f t="shared" ref="I208:I265" si="11">D208+F208</f>
        <v>1.1419102247856609E-2</v>
      </c>
      <c r="J208" s="27">
        <f>G208*①基本設定!$G$5+H208*①基本設定!$G$6+I208*①基本設定!$G$7</f>
        <v>11837.447510653627</v>
      </c>
    </row>
    <row r="209" spans="1:10" x14ac:dyDescent="0.25">
      <c r="A209" s="3" t="s">
        <v>248</v>
      </c>
      <c r="B209" s="25">
        <f>LN(②原始價格與FX!B197/②原始價格與FX!B196)</f>
        <v>2.1642186400909312E-4</v>
      </c>
      <c r="C209" s="25">
        <f>LN(②原始價格與FX!C197/②原始價格與FX!C196)</f>
        <v>-1.0711943173231469E-2</v>
      </c>
      <c r="D209" s="25">
        <f>LN(②原始價格與FX!D197/②原始價格與FX!D196)</f>
        <v>2.5801838978134126E-2</v>
      </c>
      <c r="E209" s="25">
        <f>LN(②原始價格與FX!G197/②原始價格與FX!G196)</f>
        <v>-5.4432675161693415E-3</v>
      </c>
      <c r="F209" s="25">
        <f>LN(②原始價格與FX!H197/②原始價格與FX!H196)</f>
        <v>1.0116338748442258E-3</v>
      </c>
      <c r="G209" s="25">
        <f t="shared" si="9"/>
        <v>2.1642186400909312E-4</v>
      </c>
      <c r="H209" s="26">
        <f t="shared" si="10"/>
        <v>-1.615521068940081E-2</v>
      </c>
      <c r="I209" s="26">
        <f t="shared" si="11"/>
        <v>2.6813472852978353E-2</v>
      </c>
      <c r="J209" s="28">
        <f>G209*①基本設定!$G$5+H209*①基本設定!$G$6+I209*①基本設定!$G$7</f>
        <v>-16329.901701532115</v>
      </c>
    </row>
    <row r="210" spans="1:10" x14ac:dyDescent="0.25">
      <c r="A210" s="3" t="s">
        <v>249</v>
      </c>
      <c r="B210" s="25">
        <f>LN(②原始價格與FX!B198/②原始價格與FX!B197)</f>
        <v>3.0597351266411006E-2</v>
      </c>
      <c r="C210" s="25">
        <f>LN(②原始價格與FX!C198/②原始價格與FX!C197)</f>
        <v>4.0942818136860291E-3</v>
      </c>
      <c r="D210" s="25">
        <f>LN(②原始價格與FX!D198/②原始價格與FX!D197)</f>
        <v>2.4217620784248487E-3</v>
      </c>
      <c r="E210" s="25">
        <f>LN(②原始價格與FX!G198/②原始價格與FX!G197)</f>
        <v>2.0756472161470841E-3</v>
      </c>
      <c r="F210" s="25">
        <f>LN(②原始價格與FX!H198/②原始價格與FX!H197)</f>
        <v>1.7258438817446728E-3</v>
      </c>
      <c r="G210" s="25">
        <f t="shared" si="9"/>
        <v>3.0597351266411006E-2</v>
      </c>
      <c r="H210" s="26">
        <f t="shared" si="10"/>
        <v>6.1699290298331128E-3</v>
      </c>
      <c r="I210" s="26">
        <f t="shared" si="11"/>
        <v>4.1476059601695215E-3</v>
      </c>
      <c r="J210" s="27">
        <f>G210*①基本設定!$G$5+H210*①基本設定!$G$6+I210*①基本設定!$G$7</f>
        <v>32729.050786995678</v>
      </c>
    </row>
    <row r="211" spans="1:10" x14ac:dyDescent="0.25">
      <c r="A211" s="3" t="s">
        <v>250</v>
      </c>
      <c r="B211" s="25">
        <f>LN(②原始價格與FX!B199/②原始價格與FX!B198)</f>
        <v>-4.0452015803615904E-2</v>
      </c>
      <c r="C211" s="25">
        <f>LN(②原始價格與FX!C199/②原始價格與FX!C198)</f>
        <v>6.1368792781135587E-3</v>
      </c>
      <c r="D211" s="25">
        <f>LN(②原始價格與FX!D199/②原始價格與FX!D198)</f>
        <v>-7.1573668242591133E-3</v>
      </c>
      <c r="E211" s="25">
        <f>LN(②原始價格與FX!G199/②原始價格與FX!G198)</f>
        <v>-1.4215083696827876E-3</v>
      </c>
      <c r="F211" s="25">
        <f>LN(②原始價格與FX!H199/②原始價格與FX!H198)</f>
        <v>-5.2710489116819239E-3</v>
      </c>
      <c r="G211" s="25">
        <f t="shared" si="9"/>
        <v>-4.0452015803615904E-2</v>
      </c>
      <c r="H211" s="26">
        <f t="shared" si="10"/>
        <v>4.7153709084307716E-3</v>
      </c>
      <c r="I211" s="26">
        <f t="shared" si="11"/>
        <v>-1.2428415735941037E-2</v>
      </c>
      <c r="J211" s="28">
        <f>G211*①基本設定!$G$5+H211*①基本設定!$G$6+I211*①基本設定!$G$7</f>
        <v>-29951.709277512124</v>
      </c>
    </row>
    <row r="212" spans="1:10" x14ac:dyDescent="0.25">
      <c r="A212" s="3" t="s">
        <v>251</v>
      </c>
      <c r="B212" s="25">
        <f>LN(②原始價格與FX!B200/②原始價格與FX!B199)</f>
        <v>2.5046031926087734E-2</v>
      </c>
      <c r="C212" s="25">
        <f>LN(②原始價格與FX!C200/②原始價格與FX!C199)</f>
        <v>7.7447960179896419E-4</v>
      </c>
      <c r="D212" s="25">
        <f>LN(②原始價格與FX!D200/②原始價格與FX!D199)</f>
        <v>1.750215834891402E-2</v>
      </c>
      <c r="E212" s="25">
        <f>LN(②原始價格與FX!G200/②原始價格與FX!G199)</f>
        <v>1.7742496994619015E-3</v>
      </c>
      <c r="F212" s="25">
        <f>LN(②原始價格與FX!H200/②原始價格與FX!H199)</f>
        <v>4.5558165358606613E-3</v>
      </c>
      <c r="G212" s="25">
        <f t="shared" si="9"/>
        <v>2.5046031926087734E-2</v>
      </c>
      <c r="H212" s="26">
        <f t="shared" si="10"/>
        <v>2.5487293012608657E-3</v>
      </c>
      <c r="I212" s="26">
        <f t="shared" si="11"/>
        <v>2.2057974884774682E-2</v>
      </c>
      <c r="J212" s="27">
        <f>G212*①基本設定!$G$5+H212*①基本設定!$G$6+I212*①基本設定!$G$7</f>
        <v>24393.250972881349</v>
      </c>
    </row>
    <row r="213" spans="1:10" x14ac:dyDescent="0.25">
      <c r="A213" s="3" t="s">
        <v>252</v>
      </c>
      <c r="B213" s="25">
        <f>LN(②原始價格與FX!B201/②原始價格與FX!B200)</f>
        <v>1.1133040783964132E-2</v>
      </c>
      <c r="C213" s="25">
        <f>LN(②原始價格與FX!C201/②原始價格與FX!C200)</f>
        <v>1.3285972223590689E-2</v>
      </c>
      <c r="D213" s="25">
        <f>LN(②原始價格與FX!D201/②原始價格與FX!D200)</f>
        <v>-2.9659677196577018E-3</v>
      </c>
      <c r="E213" s="25">
        <f>LN(②原始價格與FX!G201/②原始價格與FX!G200)</f>
        <v>9.2809865070478252E-6</v>
      </c>
      <c r="F213" s="25">
        <f>LN(②原始價格與FX!H201/②原始價格與FX!H200)</f>
        <v>-7.9998320091316554E-4</v>
      </c>
      <c r="G213" s="25">
        <f t="shared" si="9"/>
        <v>1.1133040783964132E-2</v>
      </c>
      <c r="H213" s="26">
        <f t="shared" si="10"/>
        <v>1.3295253210097738E-2</v>
      </c>
      <c r="I213" s="26">
        <f t="shared" si="11"/>
        <v>-3.7659509205708675E-3</v>
      </c>
      <c r="J213" s="27">
        <f>G213*①基本設定!$G$5+H213*①基本設定!$G$6+I213*①基本設定!$G$7</f>
        <v>23349.468174439418</v>
      </c>
    </row>
    <row r="214" spans="1:10" x14ac:dyDescent="0.25">
      <c r="A214" s="3" t="s">
        <v>253</v>
      </c>
      <c r="B214" s="25">
        <f>LN(②原始價格與FX!B202/②原始價格與FX!B201)</f>
        <v>-1.0987221588291305E-2</v>
      </c>
      <c r="C214" s="25">
        <f>LN(②原始價格與FX!C202/②原始價格與FX!C201)</f>
        <v>-2.0735095629382628E-2</v>
      </c>
      <c r="D214" s="25">
        <f>LN(②原始價格與FX!D202/②原始價格與FX!D201)</f>
        <v>-4.4565487244155051E-4</v>
      </c>
      <c r="E214" s="25">
        <f>LN(②原始價格與FX!G202/②原始價格與FX!G201)</f>
        <v>1.0451066465220222E-3</v>
      </c>
      <c r="F214" s="25">
        <f>LN(②原始價格與FX!H202/②原始價格與FX!H201)</f>
        <v>-5.5331601961095076E-3</v>
      </c>
      <c r="G214" s="25">
        <f t="shared" si="9"/>
        <v>-1.0987221588291305E-2</v>
      </c>
      <c r="H214" s="26">
        <f t="shared" si="10"/>
        <v>-1.9689988982860604E-2</v>
      </c>
      <c r="I214" s="26">
        <f t="shared" si="11"/>
        <v>-5.9788150685510582E-3</v>
      </c>
      <c r="J214" s="28">
        <f>G214*①基本設定!$G$5+H214*①基本設定!$G$6+I214*①基本設定!$G$7</f>
        <v>-29986.029208095013</v>
      </c>
    </row>
    <row r="215" spans="1:10" x14ac:dyDescent="0.25">
      <c r="A215" s="3" t="s">
        <v>254</v>
      </c>
      <c r="B215" s="25">
        <f>LN(②原始價格與FX!B203/②原始價格與FX!B202)</f>
        <v>-1.482479524300641E-2</v>
      </c>
      <c r="C215" s="25">
        <f>LN(②原始價格與FX!C203/②原始價格與FX!C202)</f>
        <v>6.2203594943753202E-3</v>
      </c>
      <c r="D215" s="25">
        <f>LN(②原始價格與FX!D203/②原始價格與FX!D202)</f>
        <v>-4.0119559331243553E-2</v>
      </c>
      <c r="E215" s="25">
        <f>LN(②原始價格與FX!G203/②原始價格與FX!G202)</f>
        <v>-1.9891146648640138E-3</v>
      </c>
      <c r="F215" s="25">
        <f>LN(②原始價格與FX!H203/②原始價格與FX!H202)</f>
        <v>-3.3889689386450687E-4</v>
      </c>
      <c r="G215" s="25">
        <f t="shared" si="9"/>
        <v>-1.482479524300641E-2</v>
      </c>
      <c r="H215" s="26">
        <f t="shared" si="10"/>
        <v>4.2312448295113063E-3</v>
      </c>
      <c r="I215" s="26">
        <f t="shared" si="11"/>
        <v>-4.0458456225108061E-2</v>
      </c>
      <c r="J215" s="28">
        <f>G215*①基本設定!$G$5+H215*①基本設定!$G$6+I215*①基本設定!$G$7</f>
        <v>-8767.4568812257276</v>
      </c>
    </row>
    <row r="216" spans="1:10" x14ac:dyDescent="0.25">
      <c r="A216" s="3" t="s">
        <v>255</v>
      </c>
      <c r="B216" s="25">
        <f>LN(②原始價格與FX!B204/②原始價格與FX!B203)</f>
        <v>2.899078931298852E-2</v>
      </c>
      <c r="C216" s="25">
        <f>LN(②原始價格與FX!C204/②原始價格與FX!C203)</f>
        <v>1.8301025891839632E-2</v>
      </c>
      <c r="D216" s="25">
        <f>LN(②原始價格與FX!D204/②原始價格與FX!D203)</f>
        <v>1.1660669534309255E-2</v>
      </c>
      <c r="E216" s="25">
        <f>LN(②原始價格與FX!G204/②原始價格與FX!G203)</f>
        <v>-4.1984599074076645E-3</v>
      </c>
      <c r="F216" s="25">
        <f>LN(②原始價格與FX!H204/②原始價格與FX!H203)</f>
        <v>2.7924706108906935E-3</v>
      </c>
      <c r="G216" s="25">
        <f t="shared" si="9"/>
        <v>2.899078931298852E-2</v>
      </c>
      <c r="H216" s="26">
        <f t="shared" si="10"/>
        <v>1.4102565984431967E-2</v>
      </c>
      <c r="I216" s="26">
        <f t="shared" si="11"/>
        <v>1.4453140145199949E-2</v>
      </c>
      <c r="J216" s="27">
        <f>G216*①基本設定!$G$5+H216*①基本設定!$G$6+I216*①基本設定!$G$7</f>
        <v>39718.314857864301</v>
      </c>
    </row>
    <row r="217" spans="1:10" x14ac:dyDescent="0.25">
      <c r="A217" s="3" t="s">
        <v>256</v>
      </c>
      <c r="B217" s="25">
        <f>LN(②原始價格與FX!B205/②原始價格與FX!B204)</f>
        <v>-1.3840781697831608E-2</v>
      </c>
      <c r="C217" s="25">
        <f>LN(②原始價格與FX!C205/②原始價格與FX!C204)</f>
        <v>-1.6458445759071499E-2</v>
      </c>
      <c r="D217" s="25">
        <f>LN(②原始價格與FX!D205/②原始價格與FX!D204)</f>
        <v>-1.4267627195832947E-2</v>
      </c>
      <c r="E217" s="25">
        <f>LN(②原始價格與FX!G205/②原始價格與FX!G204)</f>
        <v>1.0572073566614147E-4</v>
      </c>
      <c r="F217" s="25">
        <f>LN(②原始價格與FX!H205/②原始價格與FX!H204)</f>
        <v>2.6582854954332624E-3</v>
      </c>
      <c r="G217" s="25">
        <f t="shared" si="9"/>
        <v>-1.3840781697831608E-2</v>
      </c>
      <c r="H217" s="26">
        <f t="shared" si="10"/>
        <v>-1.6352725023405356E-2</v>
      </c>
      <c r="I217" s="26">
        <f t="shared" si="11"/>
        <v>-1.1609341700399685E-2</v>
      </c>
      <c r="J217" s="28">
        <f>G217*①基本設定!$G$5+H217*①基本設定!$G$6+I217*①基本設定!$G$7</f>
        <v>-29024.63759600238</v>
      </c>
    </row>
    <row r="218" spans="1:10" x14ac:dyDescent="0.25">
      <c r="A218" s="3" t="s">
        <v>257</v>
      </c>
      <c r="B218" s="25">
        <f>LN(②原始價格與FX!B206/②原始價格與FX!B205)</f>
        <v>1.4890766597147703E-2</v>
      </c>
      <c r="C218" s="25">
        <f>LN(②原始價格與FX!C206/②原始價格與FX!C205)</f>
        <v>8.9243620195402391E-3</v>
      </c>
      <c r="D218" s="25">
        <f>LN(②原始價格與FX!D206/②原始價格與FX!D205)</f>
        <v>1.4395014108273742E-2</v>
      </c>
      <c r="E218" s="25">
        <f>LN(②原始價格與FX!G206/②原始價格與FX!G205)</f>
        <v>-4.4780310448798355E-3</v>
      </c>
      <c r="F218" s="25">
        <f>LN(②原始價格與FX!H206/②原始價格與FX!H205)</f>
        <v>1.1371055574669459E-3</v>
      </c>
      <c r="G218" s="25">
        <f t="shared" si="9"/>
        <v>1.4890766597147703E-2</v>
      </c>
      <c r="H218" s="26">
        <f t="shared" si="10"/>
        <v>4.4463309746604037E-3</v>
      </c>
      <c r="I218" s="26">
        <f t="shared" si="11"/>
        <v>1.5532119665740687E-2</v>
      </c>
      <c r="J218" s="27">
        <f>G218*①基本設定!$G$5+H218*①基本設定!$G$6+I218*①基本設定!$G$7</f>
        <v>17579.321061373532</v>
      </c>
    </row>
    <row r="219" spans="1:10" x14ac:dyDescent="0.25">
      <c r="A219" s="3" t="s">
        <v>258</v>
      </c>
      <c r="B219" s="25">
        <f>LN(②原始價格與FX!B207/②原始價格與FX!B206)</f>
        <v>2.0187020919978857E-2</v>
      </c>
      <c r="C219" s="25">
        <f>LN(②原始價格與FX!C207/②原始價格與FX!C206)</f>
        <v>1.7743182970984886E-2</v>
      </c>
      <c r="D219" s="25">
        <f>LN(②原始價格與FX!D207/②原始價格與FX!D206)</f>
        <v>2.6199517347900211E-2</v>
      </c>
      <c r="E219" s="25">
        <f>LN(②原始價格與FX!G207/②原始價格與FX!G206)</f>
        <v>-2.8054632634024216E-3</v>
      </c>
      <c r="F219" s="25">
        <f>LN(②原始價格與FX!H207/②原始價格與FX!H206)</f>
        <v>1.2198970910236556E-3</v>
      </c>
      <c r="G219" s="25">
        <f t="shared" si="9"/>
        <v>2.0187020919978857E-2</v>
      </c>
      <c r="H219" s="26">
        <f t="shared" si="10"/>
        <v>1.4937719707582463E-2</v>
      </c>
      <c r="I219" s="26">
        <f t="shared" si="11"/>
        <v>2.7419414438923866E-2</v>
      </c>
      <c r="J219" s="27">
        <f>G219*①基本設定!$G$5+H219*①基本設定!$G$6+I219*①基本設定!$G$7</f>
        <v>33173.610834733321</v>
      </c>
    </row>
    <row r="220" spans="1:10" x14ac:dyDescent="0.25">
      <c r="A220" s="3" t="s">
        <v>259</v>
      </c>
      <c r="B220" s="25">
        <f>LN(②原始價格與FX!B208/②原始價格與FX!B207)</f>
        <v>8.2243076198011916E-4</v>
      </c>
      <c r="C220" s="25">
        <f>LN(②原始價格與FX!C208/②原始價格與FX!C207)</f>
        <v>-1.6131493915826123E-2</v>
      </c>
      <c r="D220" s="25">
        <f>LN(②原始價格與FX!D208/②原始價格與FX!D207)</f>
        <v>2.7826137345115597E-2</v>
      </c>
      <c r="E220" s="25">
        <f>LN(②原始價格與FX!G208/②原始價格與FX!G207)</f>
        <v>-3.0143888423165175E-3</v>
      </c>
      <c r="F220" s="25">
        <f>LN(②原始價格與FX!H208/②原始價格與FX!H207)</f>
        <v>1.0924370834346552E-3</v>
      </c>
      <c r="G220" s="25">
        <f t="shared" si="9"/>
        <v>8.2243076198011916E-4</v>
      </c>
      <c r="H220" s="26">
        <f t="shared" si="10"/>
        <v>-1.9145882758142642E-2</v>
      </c>
      <c r="I220" s="26">
        <f t="shared" si="11"/>
        <v>2.8918574428550253E-2</v>
      </c>
      <c r="J220" s="28">
        <f>G220*①基本設定!$G$5+H220*①基本設定!$G$6+I220*①基本設定!$G$7</f>
        <v>-18898.636378948693</v>
      </c>
    </row>
    <row r="221" spans="1:10" x14ac:dyDescent="0.25">
      <c r="A221" s="3" t="s">
        <v>260</v>
      </c>
      <c r="B221" s="25">
        <f>LN(②原始價格與FX!B209/②原始價格與FX!B208)</f>
        <v>2.8072617644038532E-2</v>
      </c>
      <c r="C221" s="25">
        <f>LN(②原始價格與FX!C209/②原始價格與FX!C208)</f>
        <v>-2.0429556265382443E-2</v>
      </c>
      <c r="D221" s="25">
        <f>LN(②原始價格與FX!D209/②原始價格與FX!D208)</f>
        <v>-3.2152425228050316E-3</v>
      </c>
      <c r="E221" s="25">
        <f>LN(②原始價格與FX!G209/②原始價格與FX!G208)</f>
        <v>7.2461476780350705E-3</v>
      </c>
      <c r="F221" s="25">
        <f>LN(②原始價格與FX!H209/②原始價格與FX!H208)</f>
        <v>-3.1966378429910797E-3</v>
      </c>
      <c r="G221" s="25">
        <f t="shared" si="9"/>
        <v>2.8072617644038532E-2</v>
      </c>
      <c r="H221" s="26">
        <f t="shared" si="10"/>
        <v>-1.3183408587347373E-2</v>
      </c>
      <c r="I221" s="26">
        <f t="shared" si="11"/>
        <v>-6.4118803657961113E-3</v>
      </c>
      <c r="J221" s="27">
        <f>G221*①基本設定!$G$5+H221*①基本設定!$G$6+I221*①基本設定!$G$7</f>
        <v>10306.562738128603</v>
      </c>
    </row>
    <row r="222" spans="1:10" x14ac:dyDescent="0.25">
      <c r="A222" s="3" t="s">
        <v>261</v>
      </c>
      <c r="B222" s="25">
        <f>LN(②原始價格與FX!B210/②原始價格與FX!B209)</f>
        <v>4.8339810629287848E-2</v>
      </c>
      <c r="C222" s="25">
        <f>LN(②原始價格與FX!C210/②原始價格與FX!C209)</f>
        <v>3.6509094032186676E-2</v>
      </c>
      <c r="D222" s="25">
        <f>LN(②原始價格與FX!D210/②原始價格與FX!D209)</f>
        <v>3.9547544166401105E-2</v>
      </c>
      <c r="E222" s="25">
        <f>LN(②原始價格與FX!G210/②原始價格與FX!G209)</f>
        <v>1.0224344179247311E-3</v>
      </c>
      <c r="F222" s="25">
        <f>LN(②原始價格與FX!H210/②原始價格與FX!H209)</f>
        <v>1.7257712375381156E-3</v>
      </c>
      <c r="G222" s="25">
        <f t="shared" si="9"/>
        <v>4.8339810629287848E-2</v>
      </c>
      <c r="H222" s="26">
        <f t="shared" si="10"/>
        <v>3.7531528450111408E-2</v>
      </c>
      <c r="I222" s="26">
        <f t="shared" si="11"/>
        <v>4.127331540393922E-2</v>
      </c>
      <c r="J222" s="27">
        <f>G222*①基本設定!$G$5+H222*①基本設定!$G$6+I222*①基本設定!$G$7</f>
        <v>81002.013418321018</v>
      </c>
    </row>
    <row r="223" spans="1:10" x14ac:dyDescent="0.25">
      <c r="A223" s="3" t="s">
        <v>262</v>
      </c>
      <c r="B223" s="25">
        <f>LN(②原始價格與FX!B211/②原始價格與FX!B210)</f>
        <v>-4.4026405644879078E-2</v>
      </c>
      <c r="C223" s="25">
        <f>LN(②原始價格與FX!C211/②原始價格與FX!C210)</f>
        <v>-1.6766169600679268E-2</v>
      </c>
      <c r="D223" s="25">
        <f>LN(②原始價格與FX!D211/②原始價格與FX!D210)</f>
        <v>-2.5529690411225863E-2</v>
      </c>
      <c r="E223" s="25">
        <f>LN(②原始價格與FX!G211/②原始價格與FX!G210)</f>
        <v>3.3312368968188154E-3</v>
      </c>
      <c r="F223" s="25">
        <f>LN(②原始價格與FX!H211/②原始價格與FX!H210)</f>
        <v>2.9815042977898833E-3</v>
      </c>
      <c r="G223" s="25">
        <f t="shared" si="9"/>
        <v>-4.4026405644879078E-2</v>
      </c>
      <c r="H223" s="26">
        <f t="shared" si="10"/>
        <v>-1.3434932703860453E-2</v>
      </c>
      <c r="I223" s="26">
        <f t="shared" si="11"/>
        <v>-2.2548186113435981E-2</v>
      </c>
      <c r="J223" s="28">
        <f>G223*①基本設定!$G$5+H223*①基本設定!$G$6+I223*①基本設定!$G$7</f>
        <v>-52018.438472527836</v>
      </c>
    </row>
    <row r="224" spans="1:10" x14ac:dyDescent="0.25">
      <c r="A224" s="3" t="s">
        <v>263</v>
      </c>
      <c r="B224" s="25">
        <f>LN(②原始價格與FX!B212/②原始價格與FX!B211)</f>
        <v>-2.3041716081373883E-4</v>
      </c>
      <c r="C224" s="25">
        <f>LN(②原始價格與FX!C212/②原始價格與FX!C211)</f>
        <v>-2.3779013811392504E-4</v>
      </c>
      <c r="D224" s="25">
        <f>LN(②原始價格與FX!D212/②原始價格與FX!D211)</f>
        <v>2.3362791838588661E-2</v>
      </c>
      <c r="E224" s="25">
        <f>LN(②原始價格與FX!G212/②原始價格與FX!G211)</f>
        <v>2.4594154773133182E-3</v>
      </c>
      <c r="F224" s="25">
        <f>LN(②原始價格與FX!H212/②原始價格與FX!H211)</f>
        <v>-5.2972460539151495E-3</v>
      </c>
      <c r="G224" s="25">
        <f t="shared" si="9"/>
        <v>-2.3041716081373883E-4</v>
      </c>
      <c r="H224" s="26">
        <f t="shared" si="10"/>
        <v>2.221625339199393E-3</v>
      </c>
      <c r="I224" s="26">
        <f t="shared" si="11"/>
        <v>1.8065545784673512E-2</v>
      </c>
      <c r="J224" s="27">
        <f>G224*①基本設定!$G$5+H224*①基本設定!$G$6+I224*①基本設定!$G$7</f>
        <v>2313.0910239882173</v>
      </c>
    </row>
    <row r="225" spans="1:10" x14ac:dyDescent="0.25">
      <c r="A225" s="3" t="s">
        <v>264</v>
      </c>
      <c r="B225" s="25">
        <f>LN(②原始價格與FX!B213/②原始價格與FX!B212)</f>
        <v>-8.7003268302693927E-3</v>
      </c>
      <c r="C225" s="25">
        <f>LN(②原始價格與FX!C213/②原始價格與FX!C212)</f>
        <v>-4.688067279601877E-3</v>
      </c>
      <c r="D225" s="25">
        <f>LN(②原始價格與FX!D213/②原始價格與FX!D212)</f>
        <v>-2.0882702810418503E-2</v>
      </c>
      <c r="E225" s="25">
        <f>LN(②原始價格與FX!G213/②原始價格與FX!G212)</f>
        <v>-1.3638718710934988E-3</v>
      </c>
      <c r="F225" s="25">
        <f>LN(②原始價格與FX!H213/②原始價格與FX!H212)</f>
        <v>-5.3678355393987969E-3</v>
      </c>
      <c r="G225" s="25">
        <f t="shared" si="9"/>
        <v>-8.7003268302693927E-3</v>
      </c>
      <c r="H225" s="26">
        <f t="shared" si="10"/>
        <v>-6.0519391506953756E-3</v>
      </c>
      <c r="I225" s="26">
        <f t="shared" si="11"/>
        <v>-2.62505383498173E-2</v>
      </c>
      <c r="J225" s="28">
        <f>G225*①基本設定!$G$5+H225*①基本設定!$G$6+I225*①基本設定!$G$7</f>
        <v>-14054.708791306175</v>
      </c>
    </row>
    <row r="226" spans="1:10" x14ac:dyDescent="0.25">
      <c r="A226" s="3" t="s">
        <v>265</v>
      </c>
      <c r="B226" s="25">
        <f>LN(②原始價格與FX!B214/②原始價格與FX!B213)</f>
        <v>-2.804137337731873E-2</v>
      </c>
      <c r="C226" s="25">
        <f>LN(②原始價格與FX!C214/②原始價格與FX!C213)</f>
        <v>-1.3275099914630665E-4</v>
      </c>
      <c r="D226" s="25">
        <f>LN(②原始價格與FX!D214/②原始價格與FX!D213)</f>
        <v>1.9739112044558492E-2</v>
      </c>
      <c r="E226" s="25">
        <f>LN(②原始價格與FX!G214/②原始價格與FX!G213)</f>
        <v>-3.1470941784384754E-3</v>
      </c>
      <c r="F226" s="25">
        <f>LN(②原始價格與FX!H214/②原始價格與FX!H213)</f>
        <v>5.494287098082782E-3</v>
      </c>
      <c r="G226" s="25">
        <f t="shared" si="9"/>
        <v>-2.804137337731873E-2</v>
      </c>
      <c r="H226" s="26">
        <f t="shared" si="10"/>
        <v>-3.2798451775847819E-3</v>
      </c>
      <c r="I226" s="26">
        <f t="shared" si="11"/>
        <v>2.5233399142641274E-2</v>
      </c>
      <c r="J226" s="28">
        <f>G226*①基本設定!$G$5+H226*①基本設定!$G$6+I226*①基本設定!$G$7</f>
        <v>-27204.01444488368</v>
      </c>
    </row>
    <row r="227" spans="1:10" x14ac:dyDescent="0.25">
      <c r="A227" s="3" t="s">
        <v>266</v>
      </c>
      <c r="B227" s="25">
        <f>LN(②原始價格與FX!B215/②原始價格與FX!B214)</f>
        <v>7.9295684712871292E-4</v>
      </c>
      <c r="C227" s="25">
        <f>LN(②原始價格與FX!C215/②原始價格與FX!C214)</f>
        <v>2.5506972822097646E-2</v>
      </c>
      <c r="D227" s="25">
        <f>LN(②原始價格與FX!D215/②原始價格與FX!D214)</f>
        <v>-2.4549643500761196E-3</v>
      </c>
      <c r="E227" s="25">
        <f>LN(②原始價格與FX!G215/②原始價格與FX!G214)</f>
        <v>-6.1005977987676249E-4</v>
      </c>
      <c r="F227" s="25">
        <f>LN(②原始價格與FX!H215/②原始價格與FX!H214)</f>
        <v>-4.5623600598217002E-3</v>
      </c>
      <c r="G227" s="25">
        <f t="shared" si="9"/>
        <v>7.9295684712871292E-4</v>
      </c>
      <c r="H227" s="26">
        <f t="shared" si="10"/>
        <v>2.4896913042220883E-2</v>
      </c>
      <c r="I227" s="26">
        <f t="shared" si="11"/>
        <v>-7.0173244098978198E-3</v>
      </c>
      <c r="J227" s="27">
        <f>G227*①基本設定!$G$5+H227*①基本設定!$G$6+I227*①基本設定!$G$7</f>
        <v>26511.012514638212</v>
      </c>
    </row>
    <row r="228" spans="1:10" x14ac:dyDescent="0.25">
      <c r="A228" s="3" t="s">
        <v>267</v>
      </c>
      <c r="B228" s="25">
        <f>LN(②原始價格與FX!B216/②原始價格與FX!B215)</f>
        <v>1.1948269784672744E-2</v>
      </c>
      <c r="C228" s="25">
        <f>LN(②原始價格與FX!C216/②原始價格與FX!C215)</f>
        <v>-3.0778129504306653E-2</v>
      </c>
      <c r="D228" s="25">
        <f>LN(②原始價格與FX!D216/②原始價格與FX!D215)</f>
        <v>3.7851396859334206E-3</v>
      </c>
      <c r="E228" s="25">
        <f>LN(②原始價格與FX!G216/②原始價格與FX!G215)</f>
        <v>-8.7216008419079005E-4</v>
      </c>
      <c r="F228" s="25">
        <f>LN(②原始價格與FX!H216/②原始價格與FX!H215)</f>
        <v>4.0564578567888771E-3</v>
      </c>
      <c r="G228" s="25">
        <f t="shared" si="9"/>
        <v>1.1948269784672744E-2</v>
      </c>
      <c r="H228" s="26">
        <f t="shared" si="10"/>
        <v>-3.1650289588497443E-2</v>
      </c>
      <c r="I228" s="26">
        <f t="shared" si="11"/>
        <v>7.8415975427222982E-3</v>
      </c>
      <c r="J228" s="28">
        <f>G228*①基本設定!$G$5+H228*①基本設定!$G$6+I228*①基本設定!$G$7</f>
        <v>-22593.183086799134</v>
      </c>
    </row>
    <row r="229" spans="1:10" x14ac:dyDescent="0.25">
      <c r="A229" s="3" t="s">
        <v>268</v>
      </c>
      <c r="B229" s="25">
        <f>LN(②原始價格與FX!B217/②原始價格與FX!B216)</f>
        <v>3.6295219763818103E-2</v>
      </c>
      <c r="C229" s="25">
        <f>LN(②原始價格與FX!C217/②原始價格與FX!C216)</f>
        <v>-1.5493525204322792E-3</v>
      </c>
      <c r="D229" s="25">
        <f>LN(②原始價格與FX!D217/②原始價格與FX!D216)</f>
        <v>1.6766305916402494E-2</v>
      </c>
      <c r="E229" s="25">
        <f>LN(②原始價格與FX!G217/②原始價格與FX!G216)</f>
        <v>-2.5242019970568028E-3</v>
      </c>
      <c r="F229" s="25">
        <f>LN(②原始價格與FX!H217/②原始價格與FX!H216)</f>
        <v>-1.2658763663490101E-3</v>
      </c>
      <c r="G229" s="25">
        <f t="shared" si="9"/>
        <v>3.6295219763818103E-2</v>
      </c>
      <c r="H229" s="26">
        <f t="shared" si="10"/>
        <v>-4.073554517489082E-3</v>
      </c>
      <c r="I229" s="26">
        <f t="shared" si="11"/>
        <v>1.5500429550053485E-2</v>
      </c>
      <c r="J229" s="27">
        <f>G229*①基本設定!$G$5+H229*①基本設定!$G$6+I229*①基本設定!$G$7</f>
        <v>27085.485907513499</v>
      </c>
    </row>
    <row r="230" spans="1:10" x14ac:dyDescent="0.25">
      <c r="A230" s="3" t="s">
        <v>269</v>
      </c>
      <c r="B230" s="25">
        <f>LN(②原始價格與FX!B218/②原始價格與FX!B217)</f>
        <v>9.1151761752185645E-3</v>
      </c>
      <c r="C230" s="25">
        <f>LN(②原始價格與FX!C218/②原始價格與FX!C217)</f>
        <v>-2.0874040817342415E-3</v>
      </c>
      <c r="D230" s="25">
        <f>LN(②原始價格與FX!D218/②原始價格與FX!D217)</f>
        <v>6.6058138017178226E-3</v>
      </c>
      <c r="E230" s="25">
        <f>LN(②原始價格與FX!G218/②原始價格與FX!G217)</f>
        <v>-2.6965999159953486E-3</v>
      </c>
      <c r="F230" s="25">
        <f>LN(②原始價格與FX!H218/②原始價格與FX!H217)</f>
        <v>-3.7648894911787665E-3</v>
      </c>
      <c r="G230" s="25">
        <f t="shared" si="9"/>
        <v>9.1151761752185645E-3</v>
      </c>
      <c r="H230" s="26">
        <f t="shared" si="10"/>
        <v>-4.7840039977295901E-3</v>
      </c>
      <c r="I230" s="26">
        <f t="shared" si="11"/>
        <v>2.8409243105390562E-3</v>
      </c>
      <c r="J230" s="27">
        <f>G230*①基本設定!$G$5+H230*①基本設定!$G$6+I230*①基本設定!$G$7</f>
        <v>2876.9918462572082</v>
      </c>
    </row>
    <row r="231" spans="1:10" x14ac:dyDescent="0.25">
      <c r="A231" s="3" t="s">
        <v>270</v>
      </c>
      <c r="B231" s="25">
        <f>LN(②原始價格與FX!B219/②原始價格與FX!B218)</f>
        <v>-2.8543579110543254E-3</v>
      </c>
      <c r="C231" s="25">
        <f>LN(②原始價格與FX!C219/②原始價格與FX!C218)</f>
        <v>-1.2453998205092196E-2</v>
      </c>
      <c r="D231" s="25">
        <f>LN(②原始價格與FX!D219/②原始價格與FX!D218)</f>
        <v>-3.1031832505157841E-3</v>
      </c>
      <c r="E231" s="25">
        <f>LN(②原始價格與FX!G219/②原始價格與FX!G218)</f>
        <v>1.3898760427197264E-3</v>
      </c>
      <c r="F231" s="25">
        <f>LN(②原始價格與FX!H219/②原始價格與FX!H218)</f>
        <v>5.3680624287331495E-3</v>
      </c>
      <c r="G231" s="25">
        <f t="shared" si="9"/>
        <v>-2.8543579110543254E-3</v>
      </c>
      <c r="H231" s="26">
        <f t="shared" si="10"/>
        <v>-1.1064122162372469E-2</v>
      </c>
      <c r="I231" s="26">
        <f t="shared" si="11"/>
        <v>2.2648791782173654E-3</v>
      </c>
      <c r="J231" s="28">
        <f>G231*①基本設定!$G$5+H231*①基本設定!$G$6+I231*①基本設定!$G$7</f>
        <v>-13938.3695886314</v>
      </c>
    </row>
    <row r="232" spans="1:10" x14ac:dyDescent="0.25">
      <c r="A232" s="3" t="s">
        <v>271</v>
      </c>
      <c r="B232" s="25">
        <f>LN(②原始價格與FX!B220/②原始價格與FX!B219)</f>
        <v>-4.9993146329042476E-3</v>
      </c>
      <c r="C232" s="25">
        <f>LN(②原始價格與FX!C220/②原始價格與FX!C219)</f>
        <v>8.4052985440116561E-4</v>
      </c>
      <c r="D232" s="25">
        <f>LN(②原始價格與FX!D220/②原始價格與FX!D219)</f>
        <v>-4.7813676876113161E-2</v>
      </c>
      <c r="E232" s="25">
        <f>LN(②原始價格與FX!G220/②原始價格與FX!G219)</f>
        <v>-1.9758303895152591E-3</v>
      </c>
      <c r="F232" s="25">
        <f>LN(②原始價格與FX!H220/②原始價格與FX!H219)</f>
        <v>6.5965239935901034E-3</v>
      </c>
      <c r="G232" s="25">
        <f t="shared" si="9"/>
        <v>-4.9993146329042476E-3</v>
      </c>
      <c r="H232" s="26">
        <f t="shared" si="10"/>
        <v>-1.1353005351140933E-3</v>
      </c>
      <c r="I232" s="26">
        <f t="shared" si="11"/>
        <v>-4.1217152882523055E-2</v>
      </c>
      <c r="J232" s="28">
        <f>G232*①基本設定!$G$5+H232*①基本設定!$G$6+I232*①基本設定!$G$7</f>
        <v>-5926.634914005861</v>
      </c>
    </row>
    <row r="233" spans="1:10" x14ac:dyDescent="0.25">
      <c r="A233" s="3" t="s">
        <v>272</v>
      </c>
      <c r="B233" s="25">
        <f>LN(②原始價格與FX!B221/②原始價格與FX!B220)</f>
        <v>-7.2078176888506389E-3</v>
      </c>
      <c r="C233" s="25">
        <f>LN(②原始價格與FX!C221/②原始價格與FX!C220)</f>
        <v>1.7223506305674947E-2</v>
      </c>
      <c r="D233" s="25">
        <f>LN(②原始價格與FX!D221/②原始價格與FX!D220)</f>
        <v>1.7277661634820127E-2</v>
      </c>
      <c r="E233" s="25">
        <f>LN(②原始價格與FX!G221/②原始價格與FX!G220)</f>
        <v>-2.5420630751121272E-3</v>
      </c>
      <c r="F233" s="25">
        <f>LN(②原始價格與FX!H221/②原始價格與FX!H220)</f>
        <v>7.7590911543985374E-3</v>
      </c>
      <c r="G233" s="25">
        <f t="shared" si="9"/>
        <v>-7.2078176888506389E-3</v>
      </c>
      <c r="H233" s="26">
        <f t="shared" si="10"/>
        <v>1.4681443230562819E-2</v>
      </c>
      <c r="I233" s="26">
        <f t="shared" si="11"/>
        <v>2.5036752789218665E-2</v>
      </c>
      <c r="J233" s="27">
        <f>G233*①基本設定!$G$5+H233*①基本設定!$G$6+I233*①基本設定!$G$7</f>
        <v>9366.5918514639943</v>
      </c>
    </row>
    <row r="234" spans="1:10" x14ac:dyDescent="0.25">
      <c r="A234" s="3" t="s">
        <v>273</v>
      </c>
      <c r="B234" s="25">
        <f>LN(②原始價格與FX!B222/②原始價格與FX!B221)</f>
        <v>2.5272270080808183E-2</v>
      </c>
      <c r="C234" s="25">
        <f>LN(②原始價格與FX!C222/②原始價格與FX!C221)</f>
        <v>6.3996394577609259E-3</v>
      </c>
      <c r="D234" s="25">
        <f>LN(②原始價格與FX!D222/②原始價格與FX!D221)</f>
        <v>2.801902423213893E-2</v>
      </c>
      <c r="E234" s="25">
        <f>LN(②原始價格與FX!G222/②原始價格與FX!G221)</f>
        <v>7.507378157461975E-4</v>
      </c>
      <c r="F234" s="25">
        <f>LN(②原始價格與FX!H222/②原始價格與FX!H221)</f>
        <v>7.9055067048884875E-3</v>
      </c>
      <c r="G234" s="25">
        <f t="shared" si="9"/>
        <v>2.5272270080808183E-2</v>
      </c>
      <c r="H234" s="26">
        <f t="shared" si="10"/>
        <v>7.1503772735071235E-3</v>
      </c>
      <c r="I234" s="26">
        <f t="shared" si="11"/>
        <v>3.5924530937027417E-2</v>
      </c>
      <c r="J234" s="27">
        <f>G234*①基本設定!$G$5+H234*①基本設定!$G$6+I234*①基本設定!$G$7</f>
        <v>29528.6922234593</v>
      </c>
    </row>
    <row r="235" spans="1:10" x14ac:dyDescent="0.25">
      <c r="A235" s="3" t="s">
        <v>274</v>
      </c>
      <c r="B235" s="25">
        <f>LN(②原始價格與FX!B223/②原始價格與FX!B222)</f>
        <v>3.3815622509002594E-2</v>
      </c>
      <c r="C235" s="25">
        <f>LN(②原始價格與FX!C223/②原始價格與FX!C222)</f>
        <v>1.7983238125994147E-3</v>
      </c>
      <c r="D235" s="25">
        <f>LN(②原始價格與FX!D223/②原始價格與FX!D222)</f>
        <v>4.320747420344718E-3</v>
      </c>
      <c r="E235" s="25">
        <f>LN(②原始價格與FX!G223/②原始價格與FX!G222)</f>
        <v>-3.1008264357589468E-3</v>
      </c>
      <c r="F235" s="25">
        <f>LN(②原始價格與FX!H223/②原始價格與FX!H222)</f>
        <v>3.498161889816262E-3</v>
      </c>
      <c r="G235" s="25">
        <f t="shared" si="9"/>
        <v>3.3815622509002594E-2</v>
      </c>
      <c r="H235" s="26">
        <f t="shared" si="10"/>
        <v>-1.3025026231595321E-3</v>
      </c>
      <c r="I235" s="26">
        <f t="shared" si="11"/>
        <v>7.8189093101609791E-3</v>
      </c>
      <c r="J235" s="27">
        <f>G235*①基本設定!$G$5+H235*①基本設定!$G$6+I235*①基本設定!$G$7</f>
        <v>27756.067239999455</v>
      </c>
    </row>
    <row r="236" spans="1:10" x14ac:dyDescent="0.25">
      <c r="A236" s="3" t="s">
        <v>275</v>
      </c>
      <c r="B236" s="25">
        <f>LN(②原始價格與FX!B224/②原始價格與FX!B223)</f>
        <v>6.0631547367910793E-2</v>
      </c>
      <c r="C236" s="25">
        <f>LN(②原始價格與FX!C224/②原始價格與FX!C223)</f>
        <v>9.1790815835375242E-3</v>
      </c>
      <c r="D236" s="25">
        <f>LN(②原始價格與FX!D224/②原始價格與FX!D223)</f>
        <v>-2.7661977901151484E-2</v>
      </c>
      <c r="E236" s="25">
        <f>LN(②原始價格與FX!G224/②原始價格與FX!G223)</f>
        <v>2.9343934552666135E-3</v>
      </c>
      <c r="F236" s="25">
        <f>LN(②原始價格與FX!H224/②原始價格與FX!H223)</f>
        <v>-3.7867919299604683E-3</v>
      </c>
      <c r="G236" s="25">
        <f t="shared" si="9"/>
        <v>6.0631547367910793E-2</v>
      </c>
      <c r="H236" s="26">
        <f t="shared" si="10"/>
        <v>1.2113475038804137E-2</v>
      </c>
      <c r="I236" s="26">
        <f t="shared" si="11"/>
        <v>-3.1448769831111952E-2</v>
      </c>
      <c r="J236" s="27">
        <f>G236*①基本設定!$G$5+H236*①基本設定!$G$6+I236*①基本設定!$G$7</f>
        <v>64301.24983367791</v>
      </c>
    </row>
    <row r="237" spans="1:10" x14ac:dyDescent="0.25">
      <c r="A237" s="3" t="s">
        <v>276</v>
      </c>
      <c r="B237" s="25">
        <f>LN(②原始價格與FX!B225/②原始價格與FX!B224)</f>
        <v>3.257682155237019E-2</v>
      </c>
      <c r="C237" s="25">
        <f>LN(②原始價格與FX!C225/②原始價格與FX!C224)</f>
        <v>1.2436741540444135E-2</v>
      </c>
      <c r="D237" s="25">
        <f>LN(②原始價格與FX!D225/②原始價格與FX!D224)</f>
        <v>-2.2914803103332361E-2</v>
      </c>
      <c r="E237" s="25">
        <f>LN(②原始價格與FX!G225/②原始價格與FX!G224)</f>
        <v>-3.2777735473208001E-3</v>
      </c>
      <c r="F237" s="25">
        <f>LN(②原始價格與FX!H225/②原始價格與FX!H224)</f>
        <v>-6.1877361048620616E-4</v>
      </c>
      <c r="G237" s="25">
        <f t="shared" si="9"/>
        <v>3.257682155237019E-2</v>
      </c>
      <c r="H237" s="26">
        <f t="shared" si="10"/>
        <v>9.1589679931233341E-3</v>
      </c>
      <c r="I237" s="26">
        <f t="shared" si="11"/>
        <v>-2.3533576713818567E-2</v>
      </c>
      <c r="J237" s="27">
        <f>G237*①基本設定!$G$5+H237*①基本設定!$G$6+I237*①基本設定!$G$7</f>
        <v>37233.508997704725</v>
      </c>
    </row>
    <row r="238" spans="1:10" x14ac:dyDescent="0.25">
      <c r="A238" s="3" t="s">
        <v>277</v>
      </c>
      <c r="B238" s="25">
        <f>LN(②原始價格與FX!B226/②原始價格與FX!B225)</f>
        <v>-2.4190642621404086E-2</v>
      </c>
      <c r="C238" s="25">
        <f>LN(②原始價格與FX!C226/②原始價格與FX!C225)</f>
        <v>7.4957678270894156E-4</v>
      </c>
      <c r="D238" s="25">
        <f>LN(②原始價格與FX!D226/②原始價格與FX!D225)</f>
        <v>-3.2855411856528002E-2</v>
      </c>
      <c r="E238" s="25">
        <f>LN(②原始價格與FX!G226/②原始價格與FX!G225)</f>
        <v>-2.2174811508415345E-3</v>
      </c>
      <c r="F238" s="25">
        <f>LN(②原始價格與FX!H226/②原始價格與FX!H225)</f>
        <v>4.2823091052774645E-3</v>
      </c>
      <c r="G238" s="25">
        <f t="shared" si="9"/>
        <v>-2.4190642621404086E-2</v>
      </c>
      <c r="H238" s="26">
        <f t="shared" si="10"/>
        <v>-1.4679043681325929E-3</v>
      </c>
      <c r="I238" s="26">
        <f t="shared" si="11"/>
        <v>-2.8573102751250537E-2</v>
      </c>
      <c r="J238" s="28">
        <f>G238*①基本設定!$G$5+H238*①基本設定!$G$6+I238*①基本設定!$G$7</f>
        <v>-22606.114451343667</v>
      </c>
    </row>
    <row r="239" spans="1:10" x14ac:dyDescent="0.25">
      <c r="A239" s="3" t="s">
        <v>278</v>
      </c>
      <c r="B239" s="25">
        <f>LN(②原始價格與FX!B227/②原始價格與FX!B226)</f>
        <v>-1.4926751801904843E-2</v>
      </c>
      <c r="C239" s="25">
        <f>LN(②原始價格與FX!C227/②原始價格與FX!C226)</f>
        <v>-2.8328130740280205E-2</v>
      </c>
      <c r="D239" s="25">
        <f>LN(②原始價格與FX!D227/②原始價格與FX!D226)</f>
        <v>-5.8941465607290572E-3</v>
      </c>
      <c r="E239" s="25">
        <f>LN(②原始價格與FX!G227/②原始價格與FX!G226)</f>
        <v>-1.5422006589775154E-3</v>
      </c>
      <c r="F239" s="25">
        <f>LN(②原始價格與FX!H227/②原始價格與FX!H226)</f>
        <v>-6.576243558004208E-4</v>
      </c>
      <c r="G239" s="25">
        <f t="shared" si="9"/>
        <v>-1.4926751801904843E-2</v>
      </c>
      <c r="H239" s="26">
        <f t="shared" si="10"/>
        <v>-2.9870331399257721E-2</v>
      </c>
      <c r="I239" s="26">
        <f t="shared" si="11"/>
        <v>-6.5517709165294783E-3</v>
      </c>
      <c r="J239" s="28">
        <f>G239*①基本設定!$G$5+H239*①基本設定!$G$6+I239*①基本設定!$G$7</f>
        <v>-43967.452537341509</v>
      </c>
    </row>
    <row r="240" spans="1:10" x14ac:dyDescent="0.25">
      <c r="A240" s="3" t="s">
        <v>279</v>
      </c>
      <c r="B240" s="25">
        <f>LN(②原始價格與FX!B228/②原始價格與FX!B227)</f>
        <v>1.1152934627461388E-4</v>
      </c>
      <c r="C240" s="25">
        <f>LN(②原始價格與FX!C228/②原始價格與FX!C227)</f>
        <v>-3.0358920241134481E-2</v>
      </c>
      <c r="D240" s="25">
        <f>LN(②原始價格與FX!D228/②原始價格與FX!D227)</f>
        <v>2.6509385319787627E-2</v>
      </c>
      <c r="E240" s="25">
        <f>LN(②原始價格與FX!G228/②原始價格與FX!G227)</f>
        <v>2.5298282697760365E-4</v>
      </c>
      <c r="F240" s="25">
        <f>LN(②原始價格與FX!H228/②原始價格與FX!H227)</f>
        <v>7.2918269918734674E-3</v>
      </c>
      <c r="G240" s="25">
        <f t="shared" si="9"/>
        <v>1.1152934627461388E-4</v>
      </c>
      <c r="H240" s="26">
        <f t="shared" si="10"/>
        <v>-3.0105937414156878E-2</v>
      </c>
      <c r="I240" s="26">
        <f t="shared" si="11"/>
        <v>3.3801212311661097E-2</v>
      </c>
      <c r="J240" s="28">
        <f>G240*①基本設定!$G$5+H240*①基本設定!$G$6+I240*①基本設定!$G$7</f>
        <v>-30860.056510902999</v>
      </c>
    </row>
    <row r="241" spans="1:10" x14ac:dyDescent="0.25">
      <c r="A241" s="3" t="s">
        <v>280</v>
      </c>
      <c r="B241" s="25">
        <f>LN(②原始價格與FX!B229/②原始價格與FX!B228)</f>
        <v>-1.90272846029849E-2</v>
      </c>
      <c r="C241" s="25">
        <f>LN(②原始價格與FX!C229/②原始價格與FX!C228)</f>
        <v>-1.1879472144614423E-2</v>
      </c>
      <c r="D241" s="25">
        <f>LN(②原始價格與FX!D229/②原始價格與FX!D228)</f>
        <v>3.9460788670795284E-2</v>
      </c>
      <c r="E241" s="25">
        <f>LN(②原始價格與FX!G229/②原始價格與FX!G228)</f>
        <v>3.3459944032027443E-3</v>
      </c>
      <c r="F241" s="25">
        <f>LN(②原始價格與FX!H229/②原始價格與FX!H228)</f>
        <v>3.300669242162975E-3</v>
      </c>
      <c r="G241" s="25">
        <f t="shared" si="9"/>
        <v>-1.90272846029849E-2</v>
      </c>
      <c r="H241" s="26">
        <f t="shared" si="10"/>
        <v>-8.5334777414116797E-3</v>
      </c>
      <c r="I241" s="26">
        <f t="shared" si="11"/>
        <v>4.276145791295826E-2</v>
      </c>
      <c r="J241" s="28">
        <f>G241*①基本設定!$G$5+H241*①基本設定!$G$6+I241*①基本設定!$G$7</f>
        <v>-24740.662127076339</v>
      </c>
    </row>
    <row r="242" spans="1:10" x14ac:dyDescent="0.25">
      <c r="A242" s="3" t="s">
        <v>281</v>
      </c>
      <c r="B242" s="25">
        <f>LN(②原始價格與FX!B230/②原始價格與FX!B229)</f>
        <v>-3.1211929501784382E-3</v>
      </c>
      <c r="C242" s="25">
        <f>LN(②原始價格與FX!C230/②原始價格與FX!C229)</f>
        <v>-9.5838478027881219E-3</v>
      </c>
      <c r="D242" s="25">
        <f>LN(②原始價格與FX!D230/②原始價格與FX!D229)</f>
        <v>-1.4488575764881171E-2</v>
      </c>
      <c r="E242" s="25">
        <f>LN(②原始價格與FX!G230/②原始價格與FX!G229)</f>
        <v>2.5837513692680592E-4</v>
      </c>
      <c r="F242" s="25">
        <f>LN(②原始價格與FX!H230/②原始價格與FX!H229)</f>
        <v>1.5040958952597739E-3</v>
      </c>
      <c r="G242" s="25">
        <f t="shared" si="9"/>
        <v>-3.1211929501784382E-3</v>
      </c>
      <c r="H242" s="26">
        <f t="shared" si="10"/>
        <v>-9.3254726658613153E-3</v>
      </c>
      <c r="I242" s="26">
        <f t="shared" si="11"/>
        <v>-1.2984479869621396E-2</v>
      </c>
      <c r="J242" s="28">
        <f>G242*①基本設定!$G$5+H242*①基本設定!$G$6+I242*①基本設定!$G$7</f>
        <v>-12526.185286682268</v>
      </c>
    </row>
    <row r="243" spans="1:10" x14ac:dyDescent="0.25">
      <c r="A243" s="3" t="s">
        <v>282</v>
      </c>
      <c r="B243" s="25">
        <f>LN(②原始價格與FX!B231/②原始價格與FX!B230)</f>
        <v>1.7313432290301186E-2</v>
      </c>
      <c r="C243" s="25">
        <f>LN(②原始價格與FX!C231/②原始價格與FX!C230)</f>
        <v>-4.8828496060630919E-3</v>
      </c>
      <c r="D243" s="25">
        <f>LN(②原始價格與FX!D231/②原始價格與FX!D230)</f>
        <v>-4.0665049789648459E-2</v>
      </c>
      <c r="E243" s="25">
        <f>LN(②原始價格與FX!G231/②原始價格與FX!G230)</f>
        <v>-5.7916226250985083E-3</v>
      </c>
      <c r="F243" s="25">
        <f>LN(②原始價格與FX!H231/②原始價格與FX!H230)</f>
        <v>-7.3143974978689377E-4</v>
      </c>
      <c r="G243" s="25">
        <f t="shared" si="9"/>
        <v>1.7313432290301186E-2</v>
      </c>
      <c r="H243" s="26">
        <f t="shared" si="10"/>
        <v>-1.0674472231161601E-2</v>
      </c>
      <c r="I243" s="26">
        <f t="shared" si="11"/>
        <v>-4.1396489539435352E-2</v>
      </c>
      <c r="J243" s="27">
        <f>G243*①基本設定!$G$5+H243*①基本設定!$G$6+I243*①基本設定!$G$7</f>
        <v>3296.8598210370901</v>
      </c>
    </row>
    <row r="244" spans="1:10" x14ac:dyDescent="0.25">
      <c r="A244" s="3" t="s">
        <v>283</v>
      </c>
      <c r="B244" s="25">
        <f>LN(②原始價格與FX!B232/②原始價格與FX!B231)</f>
        <v>-2.569094419363226E-2</v>
      </c>
      <c r="C244" s="25">
        <f>LN(②原始價格與FX!C232/②原始價格與FX!C231)</f>
        <v>-1.7738257942015161E-2</v>
      </c>
      <c r="D244" s="25">
        <f>LN(②原始價格與FX!D232/②原始價格與FX!D231)</f>
        <v>-1.1365450645443793E-2</v>
      </c>
      <c r="E244" s="25">
        <f>LN(②原始價格與FX!G232/②原始價格與FX!G231)</f>
        <v>-3.1198005528915236E-3</v>
      </c>
      <c r="F244" s="25">
        <f>LN(②原始價格與FX!H232/②原始價格與FX!H231)</f>
        <v>2.8451236804594252E-4</v>
      </c>
      <c r="G244" s="25">
        <f t="shared" si="9"/>
        <v>-2.569094419363226E-2</v>
      </c>
      <c r="H244" s="26">
        <f t="shared" si="10"/>
        <v>-2.0858058494906684E-2</v>
      </c>
      <c r="I244" s="26">
        <f t="shared" si="11"/>
        <v>-1.108093827739785E-2</v>
      </c>
      <c r="J244" s="28">
        <f>G244*①基本設定!$G$5+H244*①基本設定!$G$6+I244*①基本設定!$G$7</f>
        <v>-43878.52962884408</v>
      </c>
    </row>
    <row r="245" spans="1:10" x14ac:dyDescent="0.25">
      <c r="A245" s="3" t="s">
        <v>284</v>
      </c>
      <c r="B245" s="25">
        <f>LN(②原始價格與FX!B233/②原始價格與FX!B232)</f>
        <v>-3.1734480461840645E-2</v>
      </c>
      <c r="C245" s="25">
        <f>LN(②原始價格與FX!C233/②原始價格與FX!C232)</f>
        <v>-5.9161574051910196E-3</v>
      </c>
      <c r="D245" s="25">
        <f>LN(②原始價格與FX!D233/②原始價格與FX!D232)</f>
        <v>-1.6964063312558748E-2</v>
      </c>
      <c r="E245" s="25">
        <f>LN(②原始價格與FX!G233/②原始價格與FX!G232)</f>
        <v>-2.098168878500699E-4</v>
      </c>
      <c r="F245" s="25">
        <f>LN(②原始價格與FX!H233/②原始價格與FX!H232)</f>
        <v>-2.3598350930087038E-3</v>
      </c>
      <c r="G245" s="25">
        <f t="shared" si="9"/>
        <v>-3.1734480461840645E-2</v>
      </c>
      <c r="H245" s="26">
        <f t="shared" si="10"/>
        <v>-6.1259742930410898E-3</v>
      </c>
      <c r="I245" s="26">
        <f t="shared" si="11"/>
        <v>-1.932389840556745E-2</v>
      </c>
      <c r="J245" s="28">
        <f>G245*①基本設定!$G$5+H245*①基本設定!$G$6+I245*①基本設定!$G$7</f>
        <v>-33826.567395613107</v>
      </c>
    </row>
    <row r="246" spans="1:10" x14ac:dyDescent="0.25">
      <c r="A246" s="3" t="s">
        <v>285</v>
      </c>
      <c r="B246" s="25">
        <f>LN(②原始價格與FX!B234/②原始價格與FX!B233)</f>
        <v>-2.0898117637616464E-2</v>
      </c>
      <c r="C246" s="25">
        <f>LN(②原始價格與FX!C234/②原始價格與FX!C233)</f>
        <v>-1.0278177889247401E-2</v>
      </c>
      <c r="D246" s="25">
        <f>LN(②原始價格與FX!D234/②原始價格與FX!D233)</f>
        <v>3.4822564144007306E-2</v>
      </c>
      <c r="E246" s="25">
        <f>LN(②原始價格與FX!G234/②原始價格與FX!G233)</f>
        <v>3.147088254114495E-4</v>
      </c>
      <c r="F246" s="25">
        <f>LN(②原始價格與FX!H234/②原始價格與FX!H233)</f>
        <v>6.9225290354829616E-4</v>
      </c>
      <c r="G246" s="25">
        <f t="shared" si="9"/>
        <v>-2.0898117637616464E-2</v>
      </c>
      <c r="H246" s="26">
        <f t="shared" si="10"/>
        <v>-9.9634690638359513E-3</v>
      </c>
      <c r="I246" s="26">
        <f t="shared" si="11"/>
        <v>3.5514817047555602E-2</v>
      </c>
      <c r="J246" s="28">
        <f>G246*①基本設定!$G$5+H246*①基本設定!$G$6+I246*①基本設定!$G$7</f>
        <v>-27914.363983200376</v>
      </c>
    </row>
    <row r="247" spans="1:10" x14ac:dyDescent="0.25">
      <c r="A247" s="3" t="s">
        <v>286</v>
      </c>
      <c r="B247" s="25">
        <f>LN(②原始價格與FX!B235/②原始價格與FX!B234)</f>
        <v>-6.7998174438038293E-3</v>
      </c>
      <c r="C247" s="25">
        <f>LN(②原始價格與FX!C235/②原始價格與FX!C234)</f>
        <v>-4.3748429212400099E-3</v>
      </c>
      <c r="D247" s="25">
        <f>LN(②原始價格與FX!D235/②原始價格與FX!D234)</f>
        <v>1.6122909893054135E-2</v>
      </c>
      <c r="E247" s="25">
        <f>LN(②原始價格與FX!G235/②原始價格與FX!G234)</f>
        <v>-3.3205540141890205E-3</v>
      </c>
      <c r="F247" s="25">
        <f>LN(②原始價格與FX!H235/②原始價格與FX!H234)</f>
        <v>2.9265934228795976E-3</v>
      </c>
      <c r="G247" s="25">
        <f t="shared" si="9"/>
        <v>-6.7998174438038293E-3</v>
      </c>
      <c r="H247" s="26">
        <f t="shared" si="10"/>
        <v>-7.6953969354290304E-3</v>
      </c>
      <c r="I247" s="26">
        <f t="shared" si="11"/>
        <v>1.9049503315933733E-2</v>
      </c>
      <c r="J247" s="28">
        <f>G247*①基本設定!$G$5+H247*①基本設定!$G$6+I247*①基本設定!$G$7</f>
        <v>-13634.490232790135</v>
      </c>
    </row>
    <row r="248" spans="1:10" x14ac:dyDescent="0.25">
      <c r="A248" s="3" t="s">
        <v>287</v>
      </c>
      <c r="B248" s="25">
        <f>LN(②原始價格與FX!B236/②原始價格與FX!B235)</f>
        <v>-3.7183663712178276E-3</v>
      </c>
      <c r="C248" s="25">
        <f>LN(②原始價格與FX!C236/②原始價格與FX!C235)</f>
        <v>7.1647313916791055E-3</v>
      </c>
      <c r="D248" s="25">
        <f>LN(②原始價格與FX!D236/②原始價格與FX!D235)</f>
        <v>9.88966293761551E-3</v>
      </c>
      <c r="E248" s="25">
        <f>LN(②原始價格與FX!G236/②原始價格與FX!G235)</f>
        <v>1.1569187734382545E-3</v>
      </c>
      <c r="F248" s="25">
        <f>LN(②原始價格與FX!H236/②原始價格與FX!H235)</f>
        <v>-5.6838944325899525E-4</v>
      </c>
      <c r="G248" s="25">
        <f t="shared" si="9"/>
        <v>-3.7183663712178276E-3</v>
      </c>
      <c r="H248" s="26">
        <f t="shared" si="10"/>
        <v>8.3216501651173606E-3</v>
      </c>
      <c r="I248" s="26">
        <f t="shared" si="11"/>
        <v>9.3212734943565155E-3</v>
      </c>
      <c r="J248" s="27">
        <f>G248*①基本設定!$G$5+H248*①基本設定!$G$6+I248*①基本設定!$G$7</f>
        <v>5570.5800404606698</v>
      </c>
    </row>
    <row r="249" spans="1:10" x14ac:dyDescent="0.25">
      <c r="A249" s="3" t="s">
        <v>288</v>
      </c>
      <c r="B249" s="25">
        <f>LN(②原始價格與FX!B237/②原始價格與FX!B236)</f>
        <v>-2.5784002906444687E-2</v>
      </c>
      <c r="C249" s="25">
        <f>LN(②原始價格與FX!C237/②原始價格與FX!C236)</f>
        <v>2.5216308305438255E-3</v>
      </c>
      <c r="D249" s="25">
        <f>LN(②原始價格與FX!D237/②原始價格與FX!D236)</f>
        <v>-1.7663322629700644E-2</v>
      </c>
      <c r="E249" s="25">
        <f>LN(②原始價格與FX!G237/②原始價格與FX!G236)</f>
        <v>1.2287555781564968E-3</v>
      </c>
      <c r="F249" s="25">
        <f>LN(②原始價格與FX!H237/②原始價格與FX!H236)</f>
        <v>5.1039119181760413E-3</v>
      </c>
      <c r="G249" s="25">
        <f t="shared" si="9"/>
        <v>-2.5784002906444687E-2</v>
      </c>
      <c r="H249" s="26">
        <f t="shared" si="10"/>
        <v>3.7503864087003224E-3</v>
      </c>
      <c r="I249" s="26">
        <f t="shared" si="11"/>
        <v>-1.2559410711524603E-2</v>
      </c>
      <c r="J249" s="28">
        <f>G249*①基本設定!$G$5+H249*①基本設定!$G$6+I249*①基本設定!$G$7</f>
        <v>-18367.172295430162</v>
      </c>
    </row>
    <row r="250" spans="1:10" x14ac:dyDescent="0.25">
      <c r="A250" s="3" t="s">
        <v>289</v>
      </c>
      <c r="B250" s="25">
        <f>LN(②原始價格與FX!B238/②原始價格與FX!B237)</f>
        <v>-7.4951601031468754E-3</v>
      </c>
      <c r="C250" s="25">
        <f>LN(②原始價格與FX!C238/②原始價格與FX!C237)</f>
        <v>-2.8118813187508764E-3</v>
      </c>
      <c r="D250" s="25">
        <f>LN(②原始價格與FX!D238/②原始價格與FX!D237)</f>
        <v>-2.7081625974113399E-2</v>
      </c>
      <c r="E250" s="25">
        <f>LN(②原始價格與FX!G238/②原始價格與FX!G237)</f>
        <v>3.496545923384096E-3</v>
      </c>
      <c r="F250" s="25">
        <f>LN(②原始價格與FX!H238/②原始價格與FX!H237)</f>
        <v>3.8712847767858318E-3</v>
      </c>
      <c r="G250" s="25">
        <f t="shared" si="9"/>
        <v>-7.4951601031468754E-3</v>
      </c>
      <c r="H250" s="26">
        <f t="shared" si="10"/>
        <v>6.8466460463321955E-4</v>
      </c>
      <c r="I250" s="26">
        <f t="shared" si="11"/>
        <v>-2.3210341197327566E-2</v>
      </c>
      <c r="J250" s="28">
        <f>G250*①基本設定!$G$5+H250*①基本設定!$G$6+I250*①基本設定!$G$7</f>
        <v>-5976.6659593305203</v>
      </c>
    </row>
    <row r="251" spans="1:10" x14ac:dyDescent="0.25">
      <c r="A251" s="3" t="s">
        <v>290</v>
      </c>
      <c r="B251" s="25">
        <f>LN(②原始價格與FX!B239/②原始價格與FX!B238)</f>
        <v>1.5204799821888146E-2</v>
      </c>
      <c r="C251" s="25">
        <f>LN(②原始價格與FX!C239/②原始價格與FX!C238)</f>
        <v>1.840825105352516E-2</v>
      </c>
      <c r="D251" s="25">
        <f>LN(②原始價格與FX!D239/②原始價格與FX!D238)</f>
        <v>5.4348521510184392E-2</v>
      </c>
      <c r="E251" s="25">
        <f>LN(②原始價格與FX!G239/②原始價格與FX!G238)</f>
        <v>8.3342712891777888E-4</v>
      </c>
      <c r="F251" s="25">
        <f>LN(②原始價格與FX!H239/②原始價格與FX!H238)</f>
        <v>9.1745600565139585E-3</v>
      </c>
      <c r="G251" s="25">
        <f t="shared" si="9"/>
        <v>1.5204799821888146E-2</v>
      </c>
      <c r="H251" s="26">
        <f t="shared" si="10"/>
        <v>1.9241678182442941E-2</v>
      </c>
      <c r="I251" s="26">
        <f t="shared" si="11"/>
        <v>6.352308156669835E-2</v>
      </c>
      <c r="J251" s="27">
        <f>G251*①基本設定!$G$5+H251*①基本設定!$G$6+I251*①基本設定!$G$7</f>
        <v>33773.656266793296</v>
      </c>
    </row>
    <row r="252" spans="1:10" x14ac:dyDescent="0.25">
      <c r="A252" s="3" t="s">
        <v>291</v>
      </c>
      <c r="B252" s="25">
        <f>LN(②原始價格與FX!B240/②原始價格與FX!B239)</f>
        <v>-1.0016324883070735E-2</v>
      </c>
      <c r="C252" s="25">
        <f>LN(②原始價格與FX!C240/②原始價格與FX!C239)</f>
        <v>-8.6154379056152895E-3</v>
      </c>
      <c r="D252" s="25">
        <f>LN(②原始價格與FX!D240/②原始價格與FX!D239)</f>
        <v>3.3247603965824803E-2</v>
      </c>
      <c r="E252" s="25">
        <f>LN(②原始價格與FX!G240/②原始價格與FX!G239)</f>
        <v>5.3106164714622536E-3</v>
      </c>
      <c r="F252" s="25">
        <f>LN(②原始價格與FX!H240/②原始價格與FX!H239)</f>
        <v>-7.8472597108229392E-3</v>
      </c>
      <c r="G252" s="25">
        <f t="shared" si="9"/>
        <v>-1.0016324883070735E-2</v>
      </c>
      <c r="H252" s="26">
        <f t="shared" si="10"/>
        <v>-3.3048214341530359E-3</v>
      </c>
      <c r="I252" s="26">
        <f t="shared" si="11"/>
        <v>2.5400344255001865E-2</v>
      </c>
      <c r="J252" s="28">
        <f>G252*①基本設定!$G$5+H252*①基本設定!$G$6+I252*①基本設定!$G$7</f>
        <v>-11756.545186691539</v>
      </c>
    </row>
    <row r="253" spans="1:10" x14ac:dyDescent="0.25">
      <c r="A253" s="3" t="s">
        <v>292</v>
      </c>
      <c r="B253" s="25">
        <f>LN(②原始價格與FX!B241/②原始價格與FX!B240)</f>
        <v>-3.408074125058555E-2</v>
      </c>
      <c r="C253" s="25">
        <f>LN(②原始價格與FX!C241/②原始價格與FX!C240)</f>
        <v>-1.956521045922166E-2</v>
      </c>
      <c r="D253" s="25">
        <f>LN(②原始價格與FX!D241/②原始價格與FX!D240)</f>
        <v>2.2088842500968365E-2</v>
      </c>
      <c r="E253" s="25">
        <f>LN(②原始價格與FX!G241/②原始價格與FX!G240)</f>
        <v>2.596059540489182E-3</v>
      </c>
      <c r="F253" s="25">
        <f>LN(②原始價格與FX!H241/②原始價格與FX!H240)</f>
        <v>-8.7199292990702004E-3</v>
      </c>
      <c r="G253" s="25">
        <f t="shared" si="9"/>
        <v>-3.408074125058555E-2</v>
      </c>
      <c r="H253" s="26">
        <f t="shared" si="10"/>
        <v>-1.6969150918732478E-2</v>
      </c>
      <c r="I253" s="26">
        <f t="shared" si="11"/>
        <v>1.3368913201898164E-2</v>
      </c>
      <c r="J253" s="28">
        <f>G253*①基本設定!$G$5+H253*①基本設定!$G$6+I253*①基本設定!$G$7</f>
        <v>-46763.646236251188</v>
      </c>
    </row>
    <row r="254" spans="1:10" x14ac:dyDescent="0.25">
      <c r="A254" s="3" t="s">
        <v>293</v>
      </c>
      <c r="B254" s="25">
        <f>LN(②原始價格與FX!B242/②原始價格與FX!B241)</f>
        <v>-1.6171678708548687E-2</v>
      </c>
      <c r="C254" s="25">
        <f>LN(②原始價格與FX!C242/②原始價格與FX!C241)</f>
        <v>3.7005027842463872E-2</v>
      </c>
      <c r="D254" s="25">
        <f>LN(②原始價格與FX!D242/②原始價格與FX!D241)</f>
        <v>-4.8466448901481763E-3</v>
      </c>
      <c r="E254" s="25">
        <f>LN(②原始價格與FX!G242/②原始價格與FX!G241)</f>
        <v>3.1158000535121575E-3</v>
      </c>
      <c r="F254" s="25">
        <f>LN(②原始價格與FX!H242/②原始價格與FX!H241)</f>
        <v>4.2483525692105211E-3</v>
      </c>
      <c r="G254" s="25">
        <f t="shared" si="9"/>
        <v>-1.6171678708548687E-2</v>
      </c>
      <c r="H254" s="26">
        <f t="shared" si="10"/>
        <v>4.0120827895976027E-2</v>
      </c>
      <c r="I254" s="26">
        <f t="shared" si="11"/>
        <v>-5.9829232093765519E-4</v>
      </c>
      <c r="J254" s="27">
        <f>G254*①基本設定!$G$5+H254*①基本設定!$G$6+I254*①基本設定!$G$7</f>
        <v>27862.302700236985</v>
      </c>
    </row>
    <row r="255" spans="1:10" x14ac:dyDescent="0.25">
      <c r="A255" s="3" t="s">
        <v>294</v>
      </c>
      <c r="B255" s="25">
        <f>LN(②原始價格與FX!B243/②原始價格與FX!B242)</f>
        <v>-2.1341848288683993E-2</v>
      </c>
      <c r="C255" s="25">
        <f>LN(②原始價格與FX!C243/②原始價格與FX!C242)</f>
        <v>-4.8991248430554947E-3</v>
      </c>
      <c r="D255" s="25">
        <f>LN(②原始價格與FX!D243/②原始價格與FX!D242)</f>
        <v>-4.2375810059214376E-3</v>
      </c>
      <c r="E255" s="25">
        <f>LN(②原始價格與FX!G243/②原始價格與FX!G242)</f>
        <v>3.4768935716064176E-4</v>
      </c>
      <c r="F255" s="25">
        <f>LN(②原始價格與FX!H243/②原始價格與FX!H242)</f>
        <v>8.0746093951560442E-5</v>
      </c>
      <c r="G255" s="25">
        <f t="shared" si="9"/>
        <v>-2.1341848288683993E-2</v>
      </c>
      <c r="H255" s="26">
        <f t="shared" si="10"/>
        <v>-4.5514354858948534E-3</v>
      </c>
      <c r="I255" s="26">
        <f t="shared" si="11"/>
        <v>-4.1568349119698771E-3</v>
      </c>
      <c r="J255" s="28">
        <f>G255*①基本設定!$G$5+H255*①基本設定!$G$6+I255*①基本設定!$G$7</f>
        <v>-23100.581282355801</v>
      </c>
    </row>
    <row r="256" spans="1:10" x14ac:dyDescent="0.25">
      <c r="A256" s="3" t="s">
        <v>295</v>
      </c>
      <c r="B256" s="25">
        <f>LN(②原始價格與FX!B244/②原始價格與FX!B243)</f>
        <v>-9.9953235773786227E-3</v>
      </c>
      <c r="C256" s="25">
        <f>LN(②原始價格與FX!C244/②原始價格與FX!C243)</f>
        <v>-1.0702615110656391E-2</v>
      </c>
      <c r="D256" s="25">
        <f>LN(②原始價格與FX!D244/②原始價格與FX!D243)</f>
        <v>-1.3109716628270254E-3</v>
      </c>
      <c r="E256" s="25">
        <f>LN(②原始價格與FX!G244/②原始價格與FX!G243)</f>
        <v>1.5615443996353459E-3</v>
      </c>
      <c r="F256" s="25">
        <f>LN(②原始價格與FX!H244/②原始價格與FX!H243)</f>
        <v>3.1440229050629276E-3</v>
      </c>
      <c r="G256" s="25">
        <f t="shared" si="9"/>
        <v>-9.9953235773786227E-3</v>
      </c>
      <c r="H256" s="26">
        <f t="shared" si="10"/>
        <v>-9.1410707110210453E-3</v>
      </c>
      <c r="I256" s="26">
        <f t="shared" si="11"/>
        <v>1.8330512422359022E-3</v>
      </c>
      <c r="J256" s="28">
        <f>G256*①基本設定!$G$5+H256*①基本設定!$G$6+I256*①基本設定!$G$7</f>
        <v>-18071.378521637998</v>
      </c>
    </row>
    <row r="257" spans="1:11" x14ac:dyDescent="0.25">
      <c r="A257" s="3" t="s">
        <v>296</v>
      </c>
      <c r="B257" s="25">
        <f>LN(②原始價格與FX!B245/②原始價格與FX!B244)</f>
        <v>-8.7051069902184842E-3</v>
      </c>
      <c r="C257" s="25">
        <f>LN(②原始價格與FX!C245/②原始價格與FX!C244)</f>
        <v>-1.9148627548237589E-2</v>
      </c>
      <c r="D257" s="25">
        <f>LN(②原始價格與FX!D245/②原始價格與FX!D244)</f>
        <v>-5.4885377733219064E-3</v>
      </c>
      <c r="E257" s="25">
        <f>LN(②原始價格與FX!G245/②原始價格與FX!G244)</f>
        <v>7.7829650772826865E-4</v>
      </c>
      <c r="F257" s="25">
        <f>LN(②原始價格與FX!H245/②原始價格與FX!H244)</f>
        <v>-5.6501885726784233E-3</v>
      </c>
      <c r="G257" s="25">
        <f t="shared" si="9"/>
        <v>-8.7051069902184842E-3</v>
      </c>
      <c r="H257" s="26">
        <f t="shared" si="10"/>
        <v>-1.8370331040509322E-2</v>
      </c>
      <c r="I257" s="26">
        <f t="shared" si="11"/>
        <v>-1.1138726346000331E-2</v>
      </c>
      <c r="J257" s="28">
        <f>G257*①基本設定!$G$5+H257*①基本設定!$G$6+I257*①基本設定!$G$7</f>
        <v>-26710.816131287324</v>
      </c>
    </row>
    <row r="258" spans="1:11" x14ac:dyDescent="0.25">
      <c r="A258" s="3" t="s">
        <v>297</v>
      </c>
      <c r="B258" s="25">
        <f>LN(②原始價格與FX!B246/②原始價格與FX!B245)</f>
        <v>-1.9550348358032391E-3</v>
      </c>
      <c r="C258" s="25">
        <f>LN(②原始價格與FX!C246/②原始價格與FX!C245)</f>
        <v>-2.8179233663962511E-2</v>
      </c>
      <c r="D258" s="25">
        <f>LN(②原始價格與FX!D246/②原始價格與FX!D245)</f>
        <v>6.8224458494772099E-5</v>
      </c>
      <c r="E258" s="25">
        <f>LN(②原始價格與FX!G246/②原始價格與FX!G245)</f>
        <v>-1.6448246466874382E-3</v>
      </c>
      <c r="F258" s="25">
        <f>LN(②原始價格與FX!H246/②原始價格與FX!H245)</f>
        <v>4.3615286005302721E-3</v>
      </c>
      <c r="G258" s="25">
        <f t="shared" si="9"/>
        <v>-1.9550348358032391E-3</v>
      </c>
      <c r="H258" s="26">
        <f t="shared" si="10"/>
        <v>-2.9824058310649951E-2</v>
      </c>
      <c r="I258" s="26">
        <f t="shared" si="11"/>
        <v>4.4297530590250442E-3</v>
      </c>
      <c r="J258" s="28">
        <f>G258*①基本設定!$G$5+H258*①基本設定!$G$6+I258*①基本設定!$G$7</f>
        <v>-32664.162835763043</v>
      </c>
    </row>
    <row r="259" spans="1:11" x14ac:dyDescent="0.25">
      <c r="A259" s="3" t="s">
        <v>298</v>
      </c>
      <c r="B259" s="25">
        <f>LN(②原始價格與FX!B247/②原始價格與FX!B246)</f>
        <v>-1.9934671601232416E-3</v>
      </c>
      <c r="C259" s="25">
        <f>LN(②原始價格與FX!C247/②原始價格與FX!C246)</f>
        <v>2.3077032172290016E-2</v>
      </c>
      <c r="D259" s="25">
        <f>LN(②原始價格與FX!D247/②原始價格與FX!D246)</f>
        <v>-5.8615076990302288E-3</v>
      </c>
      <c r="E259" s="25">
        <f>LN(②原始價格與FX!G247/②原始價格與FX!G246)</f>
        <v>5.6317230180226961E-4</v>
      </c>
      <c r="F259" s="25">
        <f>LN(②原始價格與FX!H247/②原始價格與FX!H246)</f>
        <v>2.8203630397074261E-4</v>
      </c>
      <c r="G259" s="25">
        <f t="shared" si="9"/>
        <v>-1.9934671601232416E-3</v>
      </c>
      <c r="H259" s="26">
        <f t="shared" si="10"/>
        <v>2.3640204474092284E-2</v>
      </c>
      <c r="I259" s="26">
        <f t="shared" si="11"/>
        <v>-5.5794713950594859E-3</v>
      </c>
      <c r="J259" s="27">
        <f>G259*①基本設定!$G$5+H259*①基本設定!$G$6+I259*①基本設定!$G$7</f>
        <v>22827.425917485012</v>
      </c>
    </row>
    <row r="260" spans="1:11" x14ac:dyDescent="0.25">
      <c r="A260" s="3" t="s">
        <v>299</v>
      </c>
      <c r="B260" s="25">
        <f>LN(②原始價格與FX!B248/②原始價格與FX!B247)</f>
        <v>-2.1110101274099138E-2</v>
      </c>
      <c r="C260" s="25">
        <f>LN(②原始價格與FX!C248/②原始價格與FX!C247)</f>
        <v>-1.9623315998058673E-2</v>
      </c>
      <c r="D260" s="25">
        <f>LN(②原始價格與FX!D248/②原始價格與FX!D247)</f>
        <v>1.8111632638440886E-2</v>
      </c>
      <c r="E260" s="25">
        <f>LN(②原始價格與FX!G248/②原始價格與FX!G247)</f>
        <v>4.073541540136125E-3</v>
      </c>
      <c r="F260" s="25">
        <f>LN(②原始價格與FX!H248/②原始價格與FX!H247)</f>
        <v>-8.8666779950545831E-4</v>
      </c>
      <c r="G260" s="25">
        <f t="shared" si="9"/>
        <v>-2.1110101274099138E-2</v>
      </c>
      <c r="H260" s="26">
        <f t="shared" si="10"/>
        <v>-1.5549774457922548E-2</v>
      </c>
      <c r="I260" s="26">
        <f t="shared" si="11"/>
        <v>1.7224964838935427E-2</v>
      </c>
      <c r="J260" s="28">
        <f>G260*①基本設定!$G$5+H260*①基本設定!$G$6+I260*①基本設定!$G$7</f>
        <v>-34110.939416154608</v>
      </c>
    </row>
    <row r="261" spans="1:11" x14ac:dyDescent="0.25">
      <c r="A261" s="3" t="s">
        <v>300</v>
      </c>
      <c r="B261" s="25">
        <f>LN(②原始價格與FX!B249/②原始價格與FX!B248)</f>
        <v>1.131570368181148E-2</v>
      </c>
      <c r="C261" s="25">
        <f>LN(②原始價格與FX!C249/②原始價格與FX!C248)</f>
        <v>1.9468370057687545E-3</v>
      </c>
      <c r="D261" s="25">
        <f>LN(②原始價格與FX!D249/②原始價格與FX!D248)</f>
        <v>-2.1893048642123106E-2</v>
      </c>
      <c r="E261" s="25">
        <f>LN(②原始價格與FX!G249/②原始價格與FX!G248)</f>
        <v>-2.7232206337921934E-3</v>
      </c>
      <c r="F261" s="25">
        <f>LN(②原始價格與FX!H249/②原始價格與FX!H248)</f>
        <v>-3.9592811902019751E-3</v>
      </c>
      <c r="G261" s="25">
        <f t="shared" si="9"/>
        <v>1.131570368181148E-2</v>
      </c>
      <c r="H261" s="26">
        <f t="shared" si="10"/>
        <v>-7.7638362802343887E-4</v>
      </c>
      <c r="I261" s="26">
        <f t="shared" si="11"/>
        <v>-2.5852329832325081E-2</v>
      </c>
      <c r="J261" s="27">
        <f>G261*①基本設定!$G$5+H261*①基本設定!$G$6+I261*①基本設定!$G$7</f>
        <v>8619.9761012159452</v>
      </c>
    </row>
    <row r="262" spans="1:11" x14ac:dyDescent="0.25">
      <c r="A262" s="3" t="s">
        <v>301</v>
      </c>
      <c r="B262" s="25">
        <f>LN(②原始價格與FX!B250/②原始價格與FX!B249)</f>
        <v>-1.0538492417873883E-2</v>
      </c>
      <c r="C262" s="25">
        <f>LN(②原始價格與FX!C250/②原始價格與FX!C249)</f>
        <v>-2.156722618880615E-3</v>
      </c>
      <c r="D262" s="25">
        <f>LN(②原始價格與FX!D250/②原始價格與FX!D249)</f>
        <v>1.021127991821001E-2</v>
      </c>
      <c r="E262" s="25">
        <f>LN(②原始價格與FX!G250/②原始價格與FX!G249)</f>
        <v>4.9946900992627564E-3</v>
      </c>
      <c r="F262" s="25">
        <f>LN(②原始價格與FX!H250/②原始價格與FX!H249)</f>
        <v>-2.2695045202176258E-3</v>
      </c>
      <c r="G262" s="25">
        <f t="shared" si="9"/>
        <v>-1.0538492417873883E-2</v>
      </c>
      <c r="H262" s="26">
        <f t="shared" si="10"/>
        <v>2.8379674803821415E-3</v>
      </c>
      <c r="I262" s="26">
        <f t="shared" si="11"/>
        <v>7.9417753979923837E-3</v>
      </c>
      <c r="J262" s="28">
        <f>G262*①基本設定!$G$5+H262*①基本設定!$G$6+I262*①基本設定!$G$7</f>
        <v>-6004.9209785046132</v>
      </c>
    </row>
    <row r="263" spans="1:11" x14ac:dyDescent="0.25">
      <c r="A263" s="3" t="s">
        <v>302</v>
      </c>
      <c r="B263" s="25">
        <f>LN(②原始價格與FX!B251/②原始價格與FX!B250)</f>
        <v>-8.1672665935645632E-3</v>
      </c>
      <c r="C263" s="25">
        <f>LN(②原始價格與FX!C251/②原始價格與FX!C250)</f>
        <v>2.0626630883314942E-2</v>
      </c>
      <c r="D263" s="25">
        <f>LN(②原始價格與FX!D251/②原始價格與FX!D250)</f>
        <v>-2.3209257710684102E-3</v>
      </c>
      <c r="E263" s="25">
        <f>LN(②原始價格與FX!G251/②原始價格與FX!G250)</f>
        <v>4.3511432619193343E-3</v>
      </c>
      <c r="F263" s="25">
        <f>LN(②原始價格與FX!H251/②原始價格與FX!H250)</f>
        <v>5.6785918618513186E-4</v>
      </c>
      <c r="G263" s="25">
        <f t="shared" si="9"/>
        <v>-8.1672665935645632E-3</v>
      </c>
      <c r="H263" s="26">
        <f t="shared" si="10"/>
        <v>2.4977774145234277E-2</v>
      </c>
      <c r="I263" s="26">
        <f t="shared" si="11"/>
        <v>-1.7530665848832783E-3</v>
      </c>
      <c r="J263" s="27">
        <f>G263*①基本設定!$G$5+H263*①基本設定!$G$6+I263*①基本設定!$G$7</f>
        <v>18962.23990220419</v>
      </c>
    </row>
    <row r="264" spans="1:11" x14ac:dyDescent="0.25">
      <c r="A264" s="3" t="s">
        <v>303</v>
      </c>
      <c r="B264" s="25">
        <f>LN(②原始價格與FX!B252/②原始價格與FX!B251)</f>
        <v>2.4918077018379871E-2</v>
      </c>
      <c r="C264" s="25">
        <f>LN(②原始價格與FX!C252/②原始價格與FX!C251)</f>
        <v>-1.7662334978137757E-2</v>
      </c>
      <c r="D264" s="25">
        <f>LN(②原始價格與FX!D252/②原始價格與FX!D251)</f>
        <v>1.3778030927727277E-2</v>
      </c>
      <c r="E264" s="25">
        <f>LN(②原始價格與FX!G252/②原始價格與FX!G251)</f>
        <v>-5.602752614790906E-4</v>
      </c>
      <c r="F264" s="25">
        <f>LN(②原始價格與FX!H252/②原始價格與FX!H251)</f>
        <v>2.1063725534149593E-3</v>
      </c>
      <c r="G264" s="25">
        <f t="shared" si="9"/>
        <v>2.4918077018379871E-2</v>
      </c>
      <c r="H264" s="26">
        <f t="shared" si="10"/>
        <v>-1.8222610239616847E-2</v>
      </c>
      <c r="I264" s="26">
        <f t="shared" si="11"/>
        <v>1.5884403481142235E-2</v>
      </c>
      <c r="J264" s="27">
        <f>G264*①基本設定!$G$5+H264*①基本設定!$G$6+I264*①基本設定!$G$7</f>
        <v>2600.7665927763524</v>
      </c>
    </row>
    <row r="265" spans="1:11" x14ac:dyDescent="0.25">
      <c r="A265" s="3" t="s">
        <v>304</v>
      </c>
      <c r="B265" s="25">
        <f>LN(②原始價格與FX!B253/②原始價格與FX!B252)</f>
        <v>-6.4220031305502441E-3</v>
      </c>
      <c r="C265" s="25">
        <f>LN(②原始價格與FX!C253/②原始價格與FX!C252)</f>
        <v>-3.6506070638679486E-2</v>
      </c>
      <c r="D265" s="25">
        <f>LN(②原始價格與FX!D253/②原始價格與FX!D252)</f>
        <v>6.0482700451341973E-3</v>
      </c>
      <c r="E265" s="25">
        <f>LN(②原始價格與FX!G253/②原始價格與FX!G252)</f>
        <v>-8.5184817473546676E-4</v>
      </c>
      <c r="F265" s="25">
        <f>LN(②原始價格與FX!H253/②原始價格與FX!H252)</f>
        <v>-4.2984656614656431E-3</v>
      </c>
      <c r="G265" s="25">
        <f t="shared" si="9"/>
        <v>-6.4220031305502441E-3</v>
      </c>
      <c r="H265" s="26">
        <f t="shared" si="10"/>
        <v>-3.735791881341495E-2</v>
      </c>
      <c r="I265" s="26">
        <f t="shared" si="11"/>
        <v>1.7498043836685542E-3</v>
      </c>
      <c r="J265" s="28">
        <f>G265*①基本設定!$G$5+H265*①基本設定!$G$6+I265*①基本設定!$G$7</f>
        <v>-44367.595781698023</v>
      </c>
    </row>
    <row r="267" spans="1:11" x14ac:dyDescent="0.25">
      <c r="A267" s="29" t="s">
        <v>329</v>
      </c>
      <c r="G267" s="30">
        <f>AVERAGE(G16:G265)</f>
        <v>1.4322825446948361E-3</v>
      </c>
      <c r="H267" s="30">
        <f>AVERAGE(H16:H265)</f>
        <v>2.1942088857774722E-3</v>
      </c>
      <c r="I267" s="30">
        <f>AVERAGE(I16:I265)</f>
        <v>-1.6031697052161962E-3</v>
      </c>
      <c r="J267" s="30">
        <f>AVERAGE(J16:J265)</f>
        <v>3495.0132479324452</v>
      </c>
    </row>
    <row r="268" spans="1:11" x14ac:dyDescent="0.25">
      <c r="A268" s="29" t="s">
        <v>330</v>
      </c>
      <c r="G268" s="30">
        <f>STDEV(G16:G265)</f>
        <v>1.9648120241241525E-2</v>
      </c>
      <c r="H268" s="30">
        <f>STDEV(H16:H265)</f>
        <v>1.902313911302779E-2</v>
      </c>
      <c r="I268" s="30">
        <f>STDEV(I16:I265)</f>
        <v>2.1962454558133965E-2</v>
      </c>
      <c r="J268" s="30">
        <f>STDEV(J16:J265)</f>
        <v>29629.803098990516</v>
      </c>
    </row>
    <row r="270" spans="1:11" x14ac:dyDescent="0.25">
      <c r="A270" s="77" t="s">
        <v>331</v>
      </c>
      <c r="B270" s="75"/>
      <c r="C270" s="75"/>
      <c r="D270" s="75"/>
      <c r="E270" s="75"/>
      <c r="F270" s="75"/>
      <c r="G270" s="75"/>
      <c r="H270" s="75"/>
      <c r="I270" s="75"/>
      <c r="J270" s="75"/>
      <c r="K270" s="75"/>
    </row>
  </sheetData>
  <mergeCells count="14">
    <mergeCell ref="A270:K270"/>
    <mergeCell ref="A14:L14"/>
    <mergeCell ref="B9:J9"/>
    <mergeCell ref="B8:J8"/>
    <mergeCell ref="B4:J4"/>
    <mergeCell ref="B13:J13"/>
    <mergeCell ref="B6:J6"/>
    <mergeCell ref="B12:J12"/>
    <mergeCell ref="B7:J7"/>
    <mergeCell ref="A1:J1"/>
    <mergeCell ref="B11:J11"/>
    <mergeCell ref="B5:J5"/>
    <mergeCell ref="B10:J10"/>
    <mergeCell ref="A3:L3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0"/>
  <sheetViews>
    <sheetView topLeftCell="A64" workbookViewId="0">
      <selection activeCell="C13" sqref="C13"/>
    </sheetView>
  </sheetViews>
  <sheetFormatPr defaultRowHeight="15.75" x14ac:dyDescent="0.25"/>
  <cols>
    <col min="1" max="2" width="30" customWidth="1"/>
    <col min="3" max="3" width="21.85546875" customWidth="1"/>
    <col min="4" max="5" width="8" customWidth="1"/>
    <col min="6" max="7" width="30" customWidth="1"/>
    <col min="8" max="8" width="16.140625" customWidth="1"/>
    <col min="9" max="12" width="8" customWidth="1"/>
  </cols>
  <sheetData>
    <row r="1" spans="1:12" x14ac:dyDescent="0.25">
      <c r="A1" s="76" t="s">
        <v>332</v>
      </c>
      <c r="B1" s="75"/>
      <c r="C1" s="75"/>
      <c r="D1" s="75"/>
      <c r="E1" s="75"/>
      <c r="F1" s="75"/>
      <c r="G1" s="75"/>
      <c r="H1" s="75"/>
      <c r="I1" s="75"/>
      <c r="J1" s="75"/>
    </row>
    <row r="3" spans="1:12" x14ac:dyDescent="0.25">
      <c r="A3" s="74" t="s">
        <v>333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x14ac:dyDescent="0.25">
      <c r="A4" s="31" t="s">
        <v>334</v>
      </c>
      <c r="B4" s="78" t="s">
        <v>335</v>
      </c>
      <c r="C4" s="75"/>
      <c r="D4" s="75"/>
      <c r="E4" s="75"/>
      <c r="F4" s="75"/>
      <c r="G4" s="75"/>
      <c r="H4" s="75"/>
      <c r="I4" s="75"/>
    </row>
    <row r="5" spans="1:12" x14ac:dyDescent="0.25">
      <c r="A5" s="31" t="s">
        <v>336</v>
      </c>
      <c r="B5" s="78" t="s">
        <v>337</v>
      </c>
      <c r="C5" s="75"/>
      <c r="D5" s="75"/>
      <c r="E5" s="75"/>
      <c r="F5" s="75"/>
      <c r="G5" s="75"/>
      <c r="H5" s="75"/>
      <c r="I5" s="75"/>
    </row>
    <row r="6" spans="1:12" x14ac:dyDescent="0.25">
      <c r="A6" s="31" t="s">
        <v>338</v>
      </c>
      <c r="B6" s="78" t="s">
        <v>339</v>
      </c>
      <c r="C6" s="75"/>
      <c r="D6" s="75"/>
      <c r="E6" s="75"/>
      <c r="F6" s="75"/>
      <c r="G6" s="75"/>
      <c r="H6" s="75"/>
      <c r="I6" s="75"/>
    </row>
    <row r="7" spans="1:12" x14ac:dyDescent="0.25">
      <c r="A7" s="31" t="s">
        <v>340</v>
      </c>
      <c r="B7" s="78" t="s">
        <v>341</v>
      </c>
      <c r="C7" s="75"/>
      <c r="D7" s="75"/>
      <c r="E7" s="75"/>
      <c r="F7" s="75"/>
      <c r="G7" s="75"/>
      <c r="H7" s="75"/>
      <c r="I7" s="75"/>
    </row>
    <row r="8" spans="1:12" x14ac:dyDescent="0.25">
      <c r="A8" s="31" t="s">
        <v>342</v>
      </c>
      <c r="B8" s="78" t="s">
        <v>343</v>
      </c>
      <c r="C8" s="75"/>
      <c r="D8" s="75"/>
      <c r="E8" s="75"/>
      <c r="F8" s="75"/>
      <c r="G8" s="75"/>
      <c r="H8" s="75"/>
      <c r="I8" s="75"/>
    </row>
    <row r="9" spans="1:12" x14ac:dyDescent="0.25">
      <c r="A9" s="32" t="s">
        <v>344</v>
      </c>
      <c r="B9" s="78" t="s">
        <v>345</v>
      </c>
      <c r="C9" s="75"/>
      <c r="D9" s="75"/>
      <c r="E9" s="75"/>
      <c r="F9" s="75"/>
      <c r="G9" s="75"/>
      <c r="H9" s="75"/>
      <c r="I9" s="75"/>
    </row>
    <row r="11" spans="1:12" x14ac:dyDescent="0.25">
      <c r="A11" s="74" t="s">
        <v>346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x14ac:dyDescent="0.25">
      <c r="A12" s="79" t="s">
        <v>347</v>
      </c>
      <c r="B12" s="75"/>
      <c r="C12" s="75"/>
      <c r="D12" s="75"/>
      <c r="F12" s="80" t="s">
        <v>348</v>
      </c>
      <c r="G12" s="75"/>
      <c r="H12" s="75"/>
      <c r="I12" s="75"/>
    </row>
    <row r="13" spans="1:12" ht="28.5" x14ac:dyDescent="0.25">
      <c r="A13" s="1" t="s">
        <v>349</v>
      </c>
      <c r="B13" s="1" t="s">
        <v>48</v>
      </c>
      <c r="C13" s="1" t="s">
        <v>350</v>
      </c>
      <c r="D13" s="1"/>
      <c r="F13" s="33" t="s">
        <v>349</v>
      </c>
      <c r="G13" s="33" t="s">
        <v>351</v>
      </c>
      <c r="H13" s="33" t="s">
        <v>43</v>
      </c>
      <c r="I13" s="33"/>
    </row>
    <row r="14" spans="1:12" x14ac:dyDescent="0.25">
      <c r="A14" s="3">
        <v>1</v>
      </c>
      <c r="B14" s="3" t="s">
        <v>55</v>
      </c>
      <c r="C14" s="27">
        <f>③回報計算FX調整!J16</f>
        <v>52696.244470385725</v>
      </c>
      <c r="D14" s="9"/>
      <c r="F14" s="3">
        <v>1</v>
      </c>
      <c r="G14" s="28">
        <f>SMALL(③回報計算FX調整!$J$16:$J$265,1)</f>
        <v>-79153.236099101705</v>
      </c>
      <c r="H14" s="34" t="s">
        <v>352</v>
      </c>
      <c r="I14" s="9"/>
    </row>
    <row r="15" spans="1:12" x14ac:dyDescent="0.25">
      <c r="A15" s="3">
        <v>2</v>
      </c>
      <c r="B15" s="3" t="s">
        <v>56</v>
      </c>
      <c r="C15" s="28">
        <f>③回報計算FX調整!J17</f>
        <v>-49411.098466609095</v>
      </c>
      <c r="D15" s="9"/>
      <c r="F15" s="3">
        <v>2</v>
      </c>
      <c r="G15" s="28">
        <f>SMALL(③回報計算FX調整!$J$16:$J$265,2)</f>
        <v>-58300.353313050306</v>
      </c>
      <c r="H15" s="34" t="s">
        <v>352</v>
      </c>
      <c r="I15" s="9"/>
    </row>
    <row r="16" spans="1:12" x14ac:dyDescent="0.25">
      <c r="A16" s="3">
        <v>3</v>
      </c>
      <c r="B16" s="3" t="s">
        <v>57</v>
      </c>
      <c r="C16" s="27">
        <f>③回報計算FX調整!J18</f>
        <v>31598.340428987838</v>
      </c>
      <c r="D16" s="9"/>
      <c r="F16" s="3">
        <v>3</v>
      </c>
      <c r="G16" s="35">
        <f>SMALL(③回報計算FX調整!$J$16:$J$265,3)</f>
        <v>-52728.707526576778</v>
      </c>
      <c r="H16" s="14" t="s">
        <v>353</v>
      </c>
      <c r="I16" s="9"/>
    </row>
    <row r="17" spans="1:9" x14ac:dyDescent="0.25">
      <c r="A17" s="3">
        <v>4</v>
      </c>
      <c r="B17" s="3" t="s">
        <v>58</v>
      </c>
      <c r="C17" s="27">
        <f>③回報計算FX調整!J19</f>
        <v>28900.265570618769</v>
      </c>
      <c r="D17" s="9"/>
      <c r="F17" s="3">
        <v>4</v>
      </c>
      <c r="G17" s="27">
        <f>SMALL(③回報計算FX調整!$J$16:$J$265,4)</f>
        <v>-52018.438472527836</v>
      </c>
      <c r="H17" s="9"/>
      <c r="I17" s="9"/>
    </row>
    <row r="18" spans="1:9" x14ac:dyDescent="0.25">
      <c r="A18" s="3">
        <v>5</v>
      </c>
      <c r="B18" s="3" t="s">
        <v>59</v>
      </c>
      <c r="C18" s="27">
        <f>③回報計算FX調整!J20</f>
        <v>68.077352608082677</v>
      </c>
      <c r="D18" s="9"/>
      <c r="F18" s="3">
        <v>5</v>
      </c>
      <c r="G18" s="27">
        <f>SMALL(③回報計算FX調整!$J$16:$J$265,5)</f>
        <v>-51113.727503412018</v>
      </c>
      <c r="H18" s="9"/>
      <c r="I18" s="9"/>
    </row>
    <row r="19" spans="1:9" x14ac:dyDescent="0.25">
      <c r="A19" s="3">
        <v>6</v>
      </c>
      <c r="B19" s="3" t="s">
        <v>60</v>
      </c>
      <c r="C19" s="28">
        <f>③回報計算FX調整!J21</f>
        <v>-2052.6680511295117</v>
      </c>
      <c r="D19" s="9"/>
      <c r="F19" s="3">
        <v>6</v>
      </c>
      <c r="G19" s="27">
        <f>SMALL(③回報計算FX調整!$J$16:$J$265,6)</f>
        <v>-49411.098466609095</v>
      </c>
      <c r="H19" s="9"/>
      <c r="I19" s="9"/>
    </row>
    <row r="20" spans="1:9" x14ac:dyDescent="0.25">
      <c r="A20" s="3">
        <v>7</v>
      </c>
      <c r="B20" s="3" t="s">
        <v>61</v>
      </c>
      <c r="C20" s="28">
        <f>③回報計算FX調整!J22</f>
        <v>-43696.961616115019</v>
      </c>
      <c r="D20" s="9"/>
      <c r="F20" s="3">
        <v>7</v>
      </c>
      <c r="G20" s="27">
        <f>SMALL(③回報計算FX調整!$J$16:$J$265,7)</f>
        <v>-48273.98599344075</v>
      </c>
      <c r="H20" s="9"/>
      <c r="I20" s="9"/>
    </row>
    <row r="21" spans="1:9" x14ac:dyDescent="0.25">
      <c r="A21" s="3">
        <v>8</v>
      </c>
      <c r="B21" s="3" t="s">
        <v>62</v>
      </c>
      <c r="C21" s="28">
        <f>③回報計算FX調整!J23</f>
        <v>-43858.544191033521</v>
      </c>
      <c r="D21" s="9"/>
      <c r="F21" s="3">
        <v>8</v>
      </c>
      <c r="G21" s="27">
        <f>SMALL(③回報計算FX調整!$J$16:$J$265,8)</f>
        <v>-46763.646236251188</v>
      </c>
      <c r="H21" s="9"/>
      <c r="I21" s="9"/>
    </row>
    <row r="22" spans="1:9" x14ac:dyDescent="0.25">
      <c r="A22" s="3">
        <v>9</v>
      </c>
      <c r="B22" s="3" t="s">
        <v>63</v>
      </c>
      <c r="C22" s="28">
        <f>③回報計算FX調整!J24</f>
        <v>-20204.74564848404</v>
      </c>
      <c r="D22" s="9"/>
      <c r="F22" s="3">
        <v>9</v>
      </c>
      <c r="G22" s="27">
        <f>SMALL(③回報計算FX調整!$J$16:$J$265,9)</f>
        <v>-46079.890293852375</v>
      </c>
      <c r="H22" s="9"/>
      <c r="I22" s="9"/>
    </row>
    <row r="23" spans="1:9" x14ac:dyDescent="0.25">
      <c r="A23" s="3">
        <v>10</v>
      </c>
      <c r="B23" s="3" t="s">
        <v>64</v>
      </c>
      <c r="C23" s="27">
        <f>③回報計算FX調整!J25</f>
        <v>7098.4724803547315</v>
      </c>
      <c r="D23" s="9"/>
      <c r="F23" s="3">
        <v>10</v>
      </c>
      <c r="G23" s="27">
        <f>SMALL(③回報計算FX調整!$J$16:$J$265,10)</f>
        <v>-46072.359291193156</v>
      </c>
      <c r="H23" s="9"/>
      <c r="I23" s="9"/>
    </row>
    <row r="24" spans="1:9" x14ac:dyDescent="0.25">
      <c r="A24" s="3">
        <v>11</v>
      </c>
      <c r="B24" s="3" t="s">
        <v>65</v>
      </c>
      <c r="C24" s="27">
        <f>③回報計算FX調整!J26</f>
        <v>12148.250505602013</v>
      </c>
      <c r="D24" s="9"/>
      <c r="F24" s="3">
        <v>11</v>
      </c>
      <c r="G24" s="27">
        <f>SMALL(③回報計算FX調整!$J$16:$J$265,11)</f>
        <v>-45899.325340848009</v>
      </c>
      <c r="H24" s="9"/>
      <c r="I24" s="9"/>
    </row>
    <row r="25" spans="1:9" x14ac:dyDescent="0.25">
      <c r="A25" s="3">
        <v>12</v>
      </c>
      <c r="B25" s="3" t="s">
        <v>66</v>
      </c>
      <c r="C25" s="27">
        <f>③回報計算FX調整!J27</f>
        <v>22301.809593797694</v>
      </c>
      <c r="D25" s="9"/>
      <c r="F25" s="3">
        <v>12</v>
      </c>
      <c r="G25" s="27">
        <f>SMALL(③回報計算FX調整!$J$16:$J$265,12)</f>
        <v>-44879.757931311426</v>
      </c>
      <c r="H25" s="9"/>
      <c r="I25" s="9"/>
    </row>
    <row r="26" spans="1:9" x14ac:dyDescent="0.25">
      <c r="A26" s="3">
        <v>13</v>
      </c>
      <c r="B26" s="3" t="s">
        <v>67</v>
      </c>
      <c r="C26" s="28">
        <f>③回報計算FX調整!J28</f>
        <v>-24648.76340110357</v>
      </c>
      <c r="D26" s="9"/>
      <c r="F26" s="3">
        <v>13</v>
      </c>
      <c r="G26" s="27">
        <f>SMALL(③回報計算FX調整!$J$16:$J$265,13)</f>
        <v>-44367.595781698023</v>
      </c>
      <c r="H26" s="9"/>
      <c r="I26" s="9"/>
    </row>
    <row r="27" spans="1:9" x14ac:dyDescent="0.25">
      <c r="A27" s="3">
        <v>14</v>
      </c>
      <c r="B27" s="3" t="s">
        <v>68</v>
      </c>
      <c r="C27" s="28">
        <f>③回報計算FX調整!J29</f>
        <v>-13149.80947044586</v>
      </c>
      <c r="D27" s="9"/>
      <c r="F27" s="3">
        <v>14</v>
      </c>
      <c r="G27" s="27">
        <f>SMALL(③回報計算FX調整!$J$16:$J$265,14)</f>
        <v>-43967.452537341509</v>
      </c>
      <c r="H27" s="9"/>
      <c r="I27" s="9"/>
    </row>
    <row r="28" spans="1:9" x14ac:dyDescent="0.25">
      <c r="A28" s="3">
        <v>15</v>
      </c>
      <c r="B28" s="3" t="s">
        <v>69</v>
      </c>
      <c r="C28" s="28">
        <f>③回報計算FX調整!J30</f>
        <v>-34783.71737454948</v>
      </c>
      <c r="D28" s="9"/>
      <c r="F28" s="3">
        <v>15</v>
      </c>
      <c r="G28" s="27">
        <f>SMALL(③回報計算FX調整!$J$16:$J$265,15)</f>
        <v>-43878.52962884408</v>
      </c>
      <c r="H28" s="9"/>
      <c r="I28" s="9"/>
    </row>
    <row r="29" spans="1:9" x14ac:dyDescent="0.25">
      <c r="A29" s="3">
        <v>16</v>
      </c>
      <c r="B29" s="3" t="s">
        <v>70</v>
      </c>
      <c r="C29" s="27">
        <f>③回報計算FX調整!J31</f>
        <v>58888.723562220657</v>
      </c>
      <c r="D29" s="9"/>
      <c r="F29" s="3">
        <v>16</v>
      </c>
      <c r="G29" s="27">
        <f>SMALL(③回報計算FX調整!$J$16:$J$265,16)</f>
        <v>-43858.544191033521</v>
      </c>
      <c r="H29" s="9"/>
      <c r="I29" s="9"/>
    </row>
    <row r="30" spans="1:9" x14ac:dyDescent="0.25">
      <c r="A30" s="3">
        <v>17</v>
      </c>
      <c r="B30" s="3" t="s">
        <v>71</v>
      </c>
      <c r="C30" s="28">
        <f>③回報計算FX調整!J32</f>
        <v>-19341.700126679534</v>
      </c>
      <c r="D30" s="9"/>
      <c r="F30" s="3">
        <v>17</v>
      </c>
      <c r="G30" s="27">
        <f>SMALL(③回報計算FX調整!$J$16:$J$265,17)</f>
        <v>-43696.961616115019</v>
      </c>
      <c r="H30" s="9"/>
      <c r="I30" s="9"/>
    </row>
    <row r="31" spans="1:9" x14ac:dyDescent="0.25">
      <c r="A31" s="3">
        <v>18</v>
      </c>
      <c r="B31" s="3" t="s">
        <v>72</v>
      </c>
      <c r="C31" s="28">
        <f>③回報計算FX調整!J33</f>
        <v>-3388.2118145391742</v>
      </c>
      <c r="D31" s="9"/>
      <c r="F31" s="3">
        <v>18</v>
      </c>
      <c r="G31" s="27">
        <f>SMALL(③回報計算FX調整!$J$16:$J$265,18)</f>
        <v>-40062.167286889904</v>
      </c>
      <c r="H31" s="9"/>
      <c r="I31" s="9"/>
    </row>
    <row r="32" spans="1:9" x14ac:dyDescent="0.25">
      <c r="A32" s="3">
        <v>19</v>
      </c>
      <c r="B32" s="3" t="s">
        <v>73</v>
      </c>
      <c r="C32" s="27">
        <f>③回報計算FX調整!J34</f>
        <v>39020.205671221614</v>
      </c>
      <c r="D32" s="9"/>
      <c r="F32" s="3">
        <v>19</v>
      </c>
      <c r="G32" s="27">
        <f>SMALL(③回報計算FX調整!$J$16:$J$265,19)</f>
        <v>-38514.415932369011</v>
      </c>
      <c r="H32" s="9"/>
      <c r="I32" s="9"/>
    </row>
    <row r="33" spans="1:9" x14ac:dyDescent="0.25">
      <c r="A33" s="3">
        <v>20</v>
      </c>
      <c r="B33" s="3" t="s">
        <v>74</v>
      </c>
      <c r="C33" s="27">
        <f>③回報計算FX調整!J35</f>
        <v>11655.577447243233</v>
      </c>
      <c r="D33" s="9"/>
      <c r="F33" s="3">
        <v>20</v>
      </c>
      <c r="G33" s="27">
        <f>SMALL(③回報計算FX調整!$J$16:$J$265,20)</f>
        <v>-37048.16753026376</v>
      </c>
      <c r="H33" s="9"/>
      <c r="I33" s="9"/>
    </row>
    <row r="34" spans="1:9" x14ac:dyDescent="0.25">
      <c r="A34" s="3">
        <v>21</v>
      </c>
      <c r="B34" s="3" t="s">
        <v>75</v>
      </c>
      <c r="C34" s="28">
        <f>③回報計算FX調整!J36</f>
        <v>-27453.138259023093</v>
      </c>
      <c r="D34" s="9"/>
      <c r="F34" s="3">
        <v>21</v>
      </c>
      <c r="G34" s="27">
        <f>SMALL(③回報計算FX調整!$J$16:$J$265,21)</f>
        <v>-34966.558823742758</v>
      </c>
      <c r="H34" s="9"/>
      <c r="I34" s="9"/>
    </row>
    <row r="35" spans="1:9" x14ac:dyDescent="0.25">
      <c r="A35" s="3">
        <v>22</v>
      </c>
      <c r="B35" s="3" t="s">
        <v>76</v>
      </c>
      <c r="C35" s="28">
        <f>③回報計算FX調整!J37</f>
        <v>-23992.454323437076</v>
      </c>
      <c r="D35" s="9"/>
      <c r="F35" s="3">
        <v>22</v>
      </c>
      <c r="G35" s="27">
        <f>SMALL(③回報計算FX調整!$J$16:$J$265,22)</f>
        <v>-34783.71737454948</v>
      </c>
      <c r="H35" s="9"/>
      <c r="I35" s="9"/>
    </row>
    <row r="36" spans="1:9" x14ac:dyDescent="0.25">
      <c r="A36" s="3">
        <v>23</v>
      </c>
      <c r="B36" s="3" t="s">
        <v>77</v>
      </c>
      <c r="C36" s="27">
        <f>③回報計算FX調整!J38</f>
        <v>4206.6691661931554</v>
      </c>
      <c r="D36" s="9"/>
      <c r="F36" s="3">
        <v>23</v>
      </c>
      <c r="G36" s="27">
        <f>SMALL(③回報計算FX調整!$J$16:$J$265,23)</f>
        <v>-34110.939416154608</v>
      </c>
      <c r="H36" s="9"/>
      <c r="I36" s="9"/>
    </row>
    <row r="37" spans="1:9" x14ac:dyDescent="0.25">
      <c r="A37" s="3">
        <v>24</v>
      </c>
      <c r="B37" s="3" t="s">
        <v>78</v>
      </c>
      <c r="C37" s="28">
        <f>③回報計算FX調整!J39</f>
        <v>-16423.725750707486</v>
      </c>
      <c r="D37" s="9"/>
      <c r="F37" s="3">
        <v>24</v>
      </c>
      <c r="G37" s="27">
        <f>SMALL(③回報計算FX調整!$J$16:$J$265,24)</f>
        <v>-33913.703734010458</v>
      </c>
      <c r="H37" s="9"/>
      <c r="I37" s="9"/>
    </row>
    <row r="38" spans="1:9" x14ac:dyDescent="0.25">
      <c r="A38" s="3">
        <v>25</v>
      </c>
      <c r="B38" s="3" t="s">
        <v>79</v>
      </c>
      <c r="C38" s="27">
        <f>③回報計算FX調整!J40</f>
        <v>52557.772457118277</v>
      </c>
      <c r="D38" s="9"/>
      <c r="F38" s="3">
        <v>25</v>
      </c>
      <c r="G38" s="27">
        <f>SMALL(③回報計算FX調整!$J$16:$J$265,25)</f>
        <v>-33826.567395613107</v>
      </c>
      <c r="H38" s="9"/>
      <c r="I38" s="9"/>
    </row>
    <row r="39" spans="1:9" x14ac:dyDescent="0.25">
      <c r="A39" s="3">
        <v>26</v>
      </c>
      <c r="B39" s="3" t="s">
        <v>80</v>
      </c>
      <c r="C39" s="27">
        <f>③回報計算FX調整!J41</f>
        <v>34733.775254734282</v>
      </c>
      <c r="D39" s="9"/>
      <c r="F39" s="3">
        <v>26</v>
      </c>
      <c r="G39" s="27">
        <f>SMALL(③回報計算FX調整!$J$16:$J$265,26)</f>
        <v>-33046.359253377166</v>
      </c>
      <c r="H39" s="9"/>
      <c r="I39" s="9"/>
    </row>
    <row r="40" spans="1:9" x14ac:dyDescent="0.25">
      <c r="A40" s="3">
        <v>27</v>
      </c>
      <c r="B40" s="3" t="s">
        <v>81</v>
      </c>
      <c r="C40" s="28">
        <f>③回報計算FX調整!J42</f>
        <v>-11424.759595319467</v>
      </c>
      <c r="D40" s="9"/>
      <c r="F40" s="3">
        <v>27</v>
      </c>
      <c r="G40" s="27">
        <f>SMALL(③回報計算FX調整!$J$16:$J$265,27)</f>
        <v>-32664.162835763043</v>
      </c>
      <c r="H40" s="9"/>
      <c r="I40" s="9"/>
    </row>
    <row r="41" spans="1:9" x14ac:dyDescent="0.25">
      <c r="A41" s="3">
        <v>28</v>
      </c>
      <c r="B41" s="3" t="s">
        <v>82</v>
      </c>
      <c r="C41" s="27">
        <f>③回報計算FX調整!J43</f>
        <v>23348.432786209738</v>
      </c>
      <c r="D41" s="9"/>
      <c r="F41" s="3">
        <v>28</v>
      </c>
      <c r="G41" s="27">
        <f>SMALL(③回報計算FX調整!$J$16:$J$265,28)</f>
        <v>-31853.750812315717</v>
      </c>
      <c r="H41" s="9"/>
      <c r="I41" s="9"/>
    </row>
    <row r="42" spans="1:9" x14ac:dyDescent="0.25">
      <c r="A42" s="3">
        <v>29</v>
      </c>
      <c r="B42" s="3" t="s">
        <v>83</v>
      </c>
      <c r="C42" s="27">
        <f>③回報計算FX調整!J44</f>
        <v>25164.479470611743</v>
      </c>
      <c r="D42" s="9"/>
      <c r="F42" s="3">
        <v>29</v>
      </c>
      <c r="G42" s="27">
        <f>SMALL(③回報計算FX調整!$J$16:$J$265,29)</f>
        <v>-31477.6478579457</v>
      </c>
      <c r="H42" s="9"/>
      <c r="I42" s="9"/>
    </row>
    <row r="43" spans="1:9" x14ac:dyDescent="0.25">
      <c r="A43" s="3">
        <v>30</v>
      </c>
      <c r="B43" s="3" t="s">
        <v>84</v>
      </c>
      <c r="C43" s="27">
        <f>③回報計算FX調整!J45</f>
        <v>6833.3262947220937</v>
      </c>
      <c r="D43" s="9"/>
      <c r="F43" s="3">
        <v>30</v>
      </c>
      <c r="G43" s="27">
        <f>SMALL(③回報計算FX調整!$J$16:$J$265,30)</f>
        <v>-31284.800630795366</v>
      </c>
      <c r="H43" s="9"/>
      <c r="I43" s="9"/>
    </row>
    <row r="44" spans="1:9" x14ac:dyDescent="0.25">
      <c r="A44" s="3">
        <v>31</v>
      </c>
      <c r="B44" s="3" t="s">
        <v>85</v>
      </c>
      <c r="C44" s="27">
        <f>③回報計算FX調整!J46</f>
        <v>1621.6427959019454</v>
      </c>
      <c r="D44" s="9"/>
      <c r="F44" s="3">
        <v>31</v>
      </c>
      <c r="G44" s="27">
        <f>SMALL(③回報計算FX調整!$J$16:$J$265,31)</f>
        <v>-31111.097303158662</v>
      </c>
      <c r="H44" s="9"/>
      <c r="I44" s="9"/>
    </row>
    <row r="45" spans="1:9" x14ac:dyDescent="0.25">
      <c r="A45" s="3">
        <v>32</v>
      </c>
      <c r="B45" s="3" t="s">
        <v>86</v>
      </c>
      <c r="C45" s="28">
        <f>③回報計算FX調整!J47</f>
        <v>-17688.051025340039</v>
      </c>
      <c r="D45" s="9"/>
      <c r="F45" s="3">
        <v>32</v>
      </c>
      <c r="G45" s="27">
        <f>SMALL(③回報計算FX調整!$J$16:$J$265,32)</f>
        <v>-30861.573719946497</v>
      </c>
      <c r="H45" s="9"/>
      <c r="I45" s="9"/>
    </row>
    <row r="46" spans="1:9" x14ac:dyDescent="0.25">
      <c r="A46" s="3">
        <v>33</v>
      </c>
      <c r="B46" s="3" t="s">
        <v>87</v>
      </c>
      <c r="C46" s="27">
        <f>③回報計算FX調整!J48</f>
        <v>53129.518298961346</v>
      </c>
      <c r="D46" s="9"/>
      <c r="F46" s="3">
        <v>33</v>
      </c>
      <c r="G46" s="27">
        <f>SMALL(③回報計算FX調整!$J$16:$J$265,33)</f>
        <v>-30860.056510902999</v>
      </c>
      <c r="H46" s="9"/>
      <c r="I46" s="9"/>
    </row>
    <row r="47" spans="1:9" x14ac:dyDescent="0.25">
      <c r="A47" s="3">
        <v>34</v>
      </c>
      <c r="B47" s="3" t="s">
        <v>88</v>
      </c>
      <c r="C47" s="28">
        <f>③回報計算FX調整!J49</f>
        <v>-15300.584750393693</v>
      </c>
      <c r="D47" s="9"/>
      <c r="F47" s="3">
        <v>34</v>
      </c>
      <c r="G47" s="27">
        <f>SMALL(③回報計算FX調整!$J$16:$J$265,34)</f>
        <v>-30438.681474323865</v>
      </c>
      <c r="H47" s="9"/>
      <c r="I47" s="9"/>
    </row>
    <row r="48" spans="1:9" x14ac:dyDescent="0.25">
      <c r="A48" s="3">
        <v>35</v>
      </c>
      <c r="B48" s="3" t="s">
        <v>89</v>
      </c>
      <c r="C48" s="28">
        <f>③回報計算FX調整!J50</f>
        <v>-58300.353313050306</v>
      </c>
      <c r="D48" s="9"/>
      <c r="F48" s="3">
        <v>35</v>
      </c>
      <c r="G48" s="27">
        <f>SMALL(③回報計算FX調整!$J$16:$J$265,35)</f>
        <v>-29986.029208095013</v>
      </c>
      <c r="H48" s="9"/>
      <c r="I48" s="9"/>
    </row>
    <row r="49" spans="1:9" x14ac:dyDescent="0.25">
      <c r="A49" s="3">
        <v>36</v>
      </c>
      <c r="B49" s="3" t="s">
        <v>90</v>
      </c>
      <c r="C49" s="27">
        <f>③回報計算FX調整!J51</f>
        <v>34946.893389150369</v>
      </c>
      <c r="D49" s="9"/>
      <c r="F49" s="3">
        <v>36</v>
      </c>
      <c r="G49" s="27">
        <f>SMALL(③回報計算FX調整!$J$16:$J$265,36)</f>
        <v>-29951.709277512124</v>
      </c>
      <c r="H49" s="9"/>
      <c r="I49" s="9"/>
    </row>
    <row r="50" spans="1:9" x14ac:dyDescent="0.25">
      <c r="A50" s="3">
        <v>37</v>
      </c>
      <c r="B50" s="3" t="s">
        <v>91</v>
      </c>
      <c r="C50" s="27">
        <f>③回報計算FX調整!J52</f>
        <v>1536.5489061865637</v>
      </c>
      <c r="D50" s="9"/>
      <c r="F50" s="3">
        <v>37</v>
      </c>
      <c r="G50" s="27">
        <f>SMALL(③回報計算FX調整!$J$16:$J$265,37)</f>
        <v>-29946.06627230809</v>
      </c>
      <c r="H50" s="9"/>
      <c r="I50" s="9"/>
    </row>
    <row r="51" spans="1:9" x14ac:dyDescent="0.25">
      <c r="A51" s="3">
        <v>38</v>
      </c>
      <c r="B51" s="3" t="s">
        <v>92</v>
      </c>
      <c r="C51" s="28">
        <f>③回報計算FX調整!J53</f>
        <v>-40062.167286889904</v>
      </c>
      <c r="D51" s="9"/>
      <c r="F51" s="3">
        <v>38</v>
      </c>
      <c r="G51" s="27">
        <f>SMALL(③回報計算FX調整!$J$16:$J$265,38)</f>
        <v>-29024.63759600238</v>
      </c>
      <c r="H51" s="9"/>
      <c r="I51" s="9"/>
    </row>
    <row r="52" spans="1:9" x14ac:dyDescent="0.25">
      <c r="A52" s="3">
        <v>39</v>
      </c>
      <c r="B52" s="3" t="s">
        <v>93</v>
      </c>
      <c r="C52" s="27">
        <f>③回報計算FX調整!J54</f>
        <v>3494.4093347217149</v>
      </c>
      <c r="D52" s="9"/>
      <c r="F52" s="3">
        <v>39</v>
      </c>
      <c r="G52" s="27">
        <f>SMALL(③回報計算FX調整!$J$16:$J$265,39)</f>
        <v>-27914.822374321953</v>
      </c>
      <c r="H52" s="9"/>
      <c r="I52" s="9"/>
    </row>
    <row r="53" spans="1:9" x14ac:dyDescent="0.25">
      <c r="A53" s="3">
        <v>40</v>
      </c>
      <c r="B53" s="3" t="s">
        <v>94</v>
      </c>
      <c r="C53" s="28">
        <f>③回報計算FX調整!J55</f>
        <v>-4037.3486898464798</v>
      </c>
      <c r="D53" s="9"/>
      <c r="F53" s="3">
        <v>40</v>
      </c>
      <c r="G53" s="27">
        <f>SMALL(③回報計算FX調整!$J$16:$J$265,40)</f>
        <v>-27914.363983200376</v>
      </c>
      <c r="H53" s="9"/>
      <c r="I53" s="9"/>
    </row>
    <row r="54" spans="1:9" x14ac:dyDescent="0.25">
      <c r="A54" s="3">
        <v>41</v>
      </c>
      <c r="B54" s="3" t="s">
        <v>95</v>
      </c>
      <c r="C54" s="27">
        <f>③回報計算FX調整!J56</f>
        <v>14327.483200589817</v>
      </c>
      <c r="D54" s="9"/>
      <c r="F54" s="3">
        <v>41</v>
      </c>
      <c r="G54" s="27">
        <f>SMALL(③回報計算FX調整!$J$16:$J$265,41)</f>
        <v>-27453.138259023093</v>
      </c>
      <c r="H54" s="9"/>
      <c r="I54" s="9"/>
    </row>
    <row r="55" spans="1:9" x14ac:dyDescent="0.25">
      <c r="A55" s="3">
        <v>42</v>
      </c>
      <c r="B55" s="3" t="s">
        <v>96</v>
      </c>
      <c r="C55" s="28">
        <f>③回報計算FX調整!J57</f>
        <v>-10836.924254411118</v>
      </c>
      <c r="D55" s="9"/>
      <c r="F55" s="3">
        <v>42</v>
      </c>
      <c r="G55" s="27">
        <f>SMALL(③回報計算FX調整!$J$16:$J$265,42)</f>
        <v>-27204.01444488368</v>
      </c>
      <c r="H55" s="9"/>
      <c r="I55" s="9"/>
    </row>
    <row r="56" spans="1:9" x14ac:dyDescent="0.25">
      <c r="A56" s="3">
        <v>43</v>
      </c>
      <c r="B56" s="3" t="s">
        <v>97</v>
      </c>
      <c r="C56" s="28">
        <f>③回報計算FX調整!J58</f>
        <v>-13674.284535250907</v>
      </c>
      <c r="D56" s="9"/>
      <c r="F56" s="3">
        <v>43</v>
      </c>
      <c r="G56" s="27">
        <f>SMALL(③回報計算FX調整!$J$16:$J$265,43)</f>
        <v>-26710.816131287324</v>
      </c>
      <c r="H56" s="9"/>
      <c r="I56" s="9"/>
    </row>
    <row r="57" spans="1:9" x14ac:dyDescent="0.25">
      <c r="A57" s="3">
        <v>44</v>
      </c>
      <c r="B57" s="3" t="s">
        <v>98</v>
      </c>
      <c r="C57" s="27">
        <f>③回報計算FX調整!J59</f>
        <v>28737.563739833367</v>
      </c>
      <c r="D57" s="9"/>
      <c r="F57" s="3">
        <v>44</v>
      </c>
      <c r="G57" s="27">
        <f>SMALL(③回報計算FX調整!$J$16:$J$265,44)</f>
        <v>-24781.707187107746</v>
      </c>
      <c r="H57" s="9"/>
      <c r="I57" s="9"/>
    </row>
    <row r="58" spans="1:9" x14ac:dyDescent="0.25">
      <c r="A58" s="3">
        <v>45</v>
      </c>
      <c r="B58" s="3" t="s">
        <v>99</v>
      </c>
      <c r="C58" s="28">
        <f>③回報計算FX調整!J60</f>
        <v>-48273.98599344075</v>
      </c>
      <c r="D58" s="9"/>
      <c r="F58" s="3">
        <v>45</v>
      </c>
      <c r="G58" s="27">
        <f>SMALL(③回報計算FX調整!$J$16:$J$265,45)</f>
        <v>-24740.662127076339</v>
      </c>
      <c r="H58" s="9"/>
      <c r="I58" s="9"/>
    </row>
    <row r="59" spans="1:9" x14ac:dyDescent="0.25">
      <c r="A59" s="3">
        <v>46</v>
      </c>
      <c r="B59" s="3" t="s">
        <v>100</v>
      </c>
      <c r="C59" s="28">
        <f>③回報計算FX調整!J61</f>
        <v>-44879.757931311426</v>
      </c>
      <c r="D59" s="9"/>
      <c r="F59" s="3">
        <v>46</v>
      </c>
      <c r="G59" s="27">
        <f>SMALL(③回報計算FX調整!$J$16:$J$265,46)</f>
        <v>-24648.76340110357</v>
      </c>
      <c r="H59" s="9"/>
      <c r="I59" s="9"/>
    </row>
    <row r="60" spans="1:9" x14ac:dyDescent="0.25">
      <c r="A60" s="3">
        <v>47</v>
      </c>
      <c r="B60" s="3" t="s">
        <v>101</v>
      </c>
      <c r="C60" s="27">
        <f>③回報計算FX調整!J62</f>
        <v>24057.99042054814</v>
      </c>
      <c r="D60" s="9"/>
      <c r="F60" s="3">
        <v>47</v>
      </c>
      <c r="G60" s="27">
        <f>SMALL(③回報計算FX調整!$J$16:$J$265,47)</f>
        <v>-24594.126834524937</v>
      </c>
      <c r="H60" s="9"/>
      <c r="I60" s="9"/>
    </row>
    <row r="61" spans="1:9" x14ac:dyDescent="0.25">
      <c r="A61" s="3">
        <v>48</v>
      </c>
      <c r="B61" s="3" t="s">
        <v>102</v>
      </c>
      <c r="C61" s="27">
        <f>③回報計算FX調整!J63</f>
        <v>72298.36314614852</v>
      </c>
      <c r="D61" s="9"/>
      <c r="F61" s="3">
        <v>48</v>
      </c>
      <c r="G61" s="27">
        <f>SMALL(③回報計算FX調整!$J$16:$J$265,48)</f>
        <v>-24525.310801446492</v>
      </c>
      <c r="H61" s="9"/>
      <c r="I61" s="9"/>
    </row>
    <row r="62" spans="1:9" x14ac:dyDescent="0.25">
      <c r="A62" s="3">
        <v>49</v>
      </c>
      <c r="B62" s="3" t="s">
        <v>103</v>
      </c>
      <c r="C62" s="28">
        <f>③回報計算FX調整!J64</f>
        <v>-7085.6243068396943</v>
      </c>
      <c r="D62" s="9"/>
      <c r="F62" s="3">
        <v>49</v>
      </c>
      <c r="G62" s="27">
        <f>SMALL(③回報計算FX調整!$J$16:$J$265,49)</f>
        <v>-23992.454323437076</v>
      </c>
      <c r="H62" s="9"/>
      <c r="I62" s="9"/>
    </row>
    <row r="63" spans="1:9" x14ac:dyDescent="0.25">
      <c r="A63" s="3">
        <v>50</v>
      </c>
      <c r="B63" s="3" t="s">
        <v>104</v>
      </c>
      <c r="C63" s="27">
        <f>③回報計算FX調整!J65</f>
        <v>2905.973162795156</v>
      </c>
      <c r="D63" s="9"/>
      <c r="F63" s="3">
        <v>50</v>
      </c>
      <c r="G63" s="27">
        <f>SMALL(③回報計算FX調整!$J$16:$J$265,50)</f>
        <v>-23657.733284456473</v>
      </c>
      <c r="H63" s="9"/>
      <c r="I63" s="9"/>
    </row>
    <row r="64" spans="1:9" x14ac:dyDescent="0.25">
      <c r="A64" s="3">
        <v>51</v>
      </c>
      <c r="B64" s="3" t="s">
        <v>105</v>
      </c>
      <c r="C64" s="28">
        <f>③回報計算FX調整!J66</f>
        <v>-20231.647229783837</v>
      </c>
      <c r="D64" s="9"/>
      <c r="F64" s="3">
        <v>51</v>
      </c>
      <c r="G64" s="27">
        <f>SMALL(③回報計算FX調整!$J$16:$J$265,51)</f>
        <v>-23647.88293362792</v>
      </c>
      <c r="H64" s="9"/>
      <c r="I64" s="9"/>
    </row>
    <row r="65" spans="1:9" x14ac:dyDescent="0.25">
      <c r="A65" s="3">
        <v>52</v>
      </c>
      <c r="B65" s="3" t="s">
        <v>106</v>
      </c>
      <c r="C65" s="27">
        <f>③回報計算FX調整!J67</f>
        <v>34109.622920201247</v>
      </c>
      <c r="D65" s="9"/>
      <c r="F65" s="3">
        <v>52</v>
      </c>
      <c r="G65" s="27">
        <f>SMALL(③回報計算FX調整!$J$16:$J$265,52)</f>
        <v>-23100.581282355801</v>
      </c>
      <c r="H65" s="9"/>
      <c r="I65" s="9"/>
    </row>
    <row r="66" spans="1:9" x14ac:dyDescent="0.25">
      <c r="A66" s="3">
        <v>53</v>
      </c>
      <c r="B66" s="3" t="s">
        <v>107</v>
      </c>
      <c r="C66" s="27">
        <f>③回報計算FX調整!J68</f>
        <v>61350.009865638436</v>
      </c>
      <c r="D66" s="9"/>
      <c r="F66" s="3">
        <v>53</v>
      </c>
      <c r="G66" s="27">
        <f>SMALL(③回報計算FX調整!$J$16:$J$265,53)</f>
        <v>-22606.114451343667</v>
      </c>
      <c r="H66" s="9"/>
      <c r="I66" s="9"/>
    </row>
    <row r="67" spans="1:9" x14ac:dyDescent="0.25">
      <c r="A67" s="3">
        <v>54</v>
      </c>
      <c r="B67" s="3" t="s">
        <v>108</v>
      </c>
      <c r="C67" s="27">
        <f>③回報計算FX調整!J69</f>
        <v>52582.711095269085</v>
      </c>
      <c r="D67" s="9"/>
      <c r="F67" s="3">
        <v>54</v>
      </c>
      <c r="G67" s="27">
        <f>SMALL(③回報計算FX調整!$J$16:$J$265,54)</f>
        <v>-22593.183086799134</v>
      </c>
      <c r="H67" s="9"/>
      <c r="I67" s="9"/>
    </row>
    <row r="68" spans="1:9" x14ac:dyDescent="0.25">
      <c r="A68" s="3">
        <v>55</v>
      </c>
      <c r="B68" s="3" t="s">
        <v>109</v>
      </c>
      <c r="C68" s="27">
        <f>③回報計算FX調整!J70</f>
        <v>25205.371905238491</v>
      </c>
      <c r="D68" s="9"/>
      <c r="F68" s="3">
        <v>55</v>
      </c>
      <c r="G68" s="27">
        <f>SMALL(③回報計算FX調整!$J$16:$J$265,55)</f>
        <v>-21144.334466706045</v>
      </c>
      <c r="H68" s="9"/>
      <c r="I68" s="9"/>
    </row>
    <row r="69" spans="1:9" x14ac:dyDescent="0.25">
      <c r="A69" s="3">
        <v>56</v>
      </c>
      <c r="B69" s="3" t="s">
        <v>110</v>
      </c>
      <c r="C69" s="28">
        <f>③回報計算FX調整!J71</f>
        <v>-18048.27935348549</v>
      </c>
      <c r="D69" s="9"/>
      <c r="F69" s="3">
        <v>56</v>
      </c>
      <c r="G69" s="27">
        <f>SMALL(③回報計算FX調整!$J$16:$J$265,56)</f>
        <v>-20231.647229783837</v>
      </c>
      <c r="H69" s="9"/>
      <c r="I69" s="9"/>
    </row>
    <row r="70" spans="1:9" x14ac:dyDescent="0.25">
      <c r="A70" s="3">
        <v>57</v>
      </c>
      <c r="B70" s="3" t="s">
        <v>111</v>
      </c>
      <c r="C70" s="28">
        <f>③回報計算FX調整!J72</f>
        <v>-14404.274732046153</v>
      </c>
      <c r="D70" s="9"/>
      <c r="F70" s="3">
        <v>57</v>
      </c>
      <c r="G70" s="27">
        <f>SMALL(③回報計算FX調整!$J$16:$J$265,57)</f>
        <v>-20204.74564848404</v>
      </c>
      <c r="H70" s="9"/>
      <c r="I70" s="9"/>
    </row>
    <row r="71" spans="1:9" x14ac:dyDescent="0.25">
      <c r="A71" s="3">
        <v>58</v>
      </c>
      <c r="B71" s="3" t="s">
        <v>112</v>
      </c>
      <c r="C71" s="27">
        <f>③回報計算FX調整!J73</f>
        <v>8578.0987501127147</v>
      </c>
      <c r="D71" s="9"/>
      <c r="F71" s="3">
        <v>58</v>
      </c>
      <c r="G71" s="27">
        <f>SMALL(③回報計算FX調整!$J$16:$J$265,58)</f>
        <v>-19341.700126679534</v>
      </c>
      <c r="H71" s="9"/>
      <c r="I71" s="9"/>
    </row>
    <row r="72" spans="1:9" x14ac:dyDescent="0.25">
      <c r="A72" s="3">
        <v>59</v>
      </c>
      <c r="B72" s="3" t="s">
        <v>113</v>
      </c>
      <c r="C72" s="28">
        <f>③回報計算FX調整!J74</f>
        <v>-31284.800630795366</v>
      </c>
      <c r="D72" s="9"/>
      <c r="F72" s="3">
        <v>59</v>
      </c>
      <c r="G72" s="27">
        <f>SMALL(③回報計算FX調整!$J$16:$J$265,59)</f>
        <v>-18898.636378948693</v>
      </c>
      <c r="H72" s="9"/>
      <c r="I72" s="9"/>
    </row>
    <row r="73" spans="1:9" x14ac:dyDescent="0.25">
      <c r="A73" s="3">
        <v>60</v>
      </c>
      <c r="B73" s="3" t="s">
        <v>114</v>
      </c>
      <c r="C73" s="28">
        <f>③回報計算FX調整!J75</f>
        <v>-30861.573719946497</v>
      </c>
      <c r="D73" s="9"/>
      <c r="F73" s="3">
        <v>60</v>
      </c>
      <c r="G73" s="27">
        <f>SMALL(③回報計算FX調整!$J$16:$J$265,60)</f>
        <v>-18389.093498407616</v>
      </c>
      <c r="H73" s="9"/>
      <c r="I73" s="9"/>
    </row>
    <row r="74" spans="1:9" x14ac:dyDescent="0.25">
      <c r="A74" s="3">
        <v>61</v>
      </c>
      <c r="B74" s="3" t="s">
        <v>115</v>
      </c>
      <c r="C74" s="28">
        <f>③回報計算FX調整!J76</f>
        <v>-17404.328026665436</v>
      </c>
      <c r="D74" s="9"/>
      <c r="F74" s="3">
        <v>61</v>
      </c>
      <c r="G74" s="27">
        <f>SMALL(③回報計算FX調整!$J$16:$J$265,61)</f>
        <v>-18367.172295430162</v>
      </c>
      <c r="H74" s="9"/>
      <c r="I74" s="9"/>
    </row>
    <row r="75" spans="1:9" x14ac:dyDescent="0.25">
      <c r="A75" s="3">
        <v>62</v>
      </c>
      <c r="B75" s="3" t="s">
        <v>116</v>
      </c>
      <c r="C75" s="27">
        <f>③回報計算FX調整!J77</f>
        <v>17225.317102389516</v>
      </c>
      <c r="D75" s="9"/>
      <c r="F75" s="3">
        <v>62</v>
      </c>
      <c r="G75" s="27">
        <f>SMALL(③回報計算FX調整!$J$16:$J$265,62)</f>
        <v>-18192.251322486445</v>
      </c>
      <c r="H75" s="9"/>
      <c r="I75" s="9"/>
    </row>
    <row r="76" spans="1:9" x14ac:dyDescent="0.25">
      <c r="A76" s="3">
        <v>63</v>
      </c>
      <c r="B76" s="3" t="s">
        <v>117</v>
      </c>
      <c r="C76" s="27">
        <f>③回報計算FX調整!J78</f>
        <v>32409.438297864173</v>
      </c>
      <c r="D76" s="9"/>
      <c r="F76" s="3">
        <v>63</v>
      </c>
      <c r="G76" s="27">
        <f>SMALL(③回報計算FX調整!$J$16:$J$265,63)</f>
        <v>-18071.378521637998</v>
      </c>
      <c r="H76" s="9"/>
      <c r="I76" s="9"/>
    </row>
    <row r="77" spans="1:9" x14ac:dyDescent="0.25">
      <c r="A77" s="3">
        <v>64</v>
      </c>
      <c r="B77" s="3" t="s">
        <v>118</v>
      </c>
      <c r="C77" s="27">
        <f>③回報計算FX調整!J79</f>
        <v>6132.3442170287035</v>
      </c>
      <c r="D77" s="9"/>
      <c r="F77" s="3">
        <v>64</v>
      </c>
      <c r="G77" s="27">
        <f>SMALL(③回報計算FX調整!$J$16:$J$265,64)</f>
        <v>-18048.27935348549</v>
      </c>
      <c r="H77" s="9"/>
      <c r="I77" s="9"/>
    </row>
    <row r="78" spans="1:9" x14ac:dyDescent="0.25">
      <c r="A78" s="3">
        <v>65</v>
      </c>
      <c r="B78" s="3" t="s">
        <v>119</v>
      </c>
      <c r="C78" s="27">
        <f>③回報計算FX調整!J80</f>
        <v>1076.9423738269622</v>
      </c>
      <c r="D78" s="9"/>
      <c r="F78" s="3">
        <v>65</v>
      </c>
      <c r="G78" s="27">
        <f>SMALL(③回報計算FX調整!$J$16:$J$265,65)</f>
        <v>-17887.660136923863</v>
      </c>
      <c r="H78" s="9"/>
      <c r="I78" s="9"/>
    </row>
    <row r="79" spans="1:9" x14ac:dyDescent="0.25">
      <c r="A79" s="3">
        <v>66</v>
      </c>
      <c r="B79" s="3" t="s">
        <v>120</v>
      </c>
      <c r="C79" s="28">
        <f>③回報計算FX調整!J81</f>
        <v>-46072.359291193156</v>
      </c>
      <c r="D79" s="9"/>
      <c r="F79" s="3">
        <v>66</v>
      </c>
      <c r="G79" s="27">
        <f>SMALL(③回報計算FX調整!$J$16:$J$265,66)</f>
        <v>-17688.051025340039</v>
      </c>
      <c r="H79" s="9"/>
      <c r="I79" s="9"/>
    </row>
    <row r="80" spans="1:9" x14ac:dyDescent="0.25">
      <c r="A80" s="3">
        <v>67</v>
      </c>
      <c r="B80" s="3" t="s">
        <v>121</v>
      </c>
      <c r="C80" s="28">
        <f>③回報計算FX調整!J82</f>
        <v>-14370.707658725623</v>
      </c>
      <c r="D80" s="9"/>
      <c r="F80" s="3">
        <v>67</v>
      </c>
      <c r="G80" s="27">
        <f>SMALL(③回報計算FX調整!$J$16:$J$265,67)</f>
        <v>-17404.328026665436</v>
      </c>
      <c r="H80" s="9"/>
      <c r="I80" s="9"/>
    </row>
    <row r="81" spans="1:9" x14ac:dyDescent="0.25">
      <c r="A81" s="3">
        <v>68</v>
      </c>
      <c r="B81" s="3" t="s">
        <v>122</v>
      </c>
      <c r="C81" s="28">
        <f>③回報計算FX調整!J83</f>
        <v>-46079.890293852375</v>
      </c>
      <c r="D81" s="9"/>
      <c r="F81" s="3">
        <v>68</v>
      </c>
      <c r="G81" s="27">
        <f>SMALL(③回報計算FX調整!$J$16:$J$265,68)</f>
        <v>-17059.944039430717</v>
      </c>
      <c r="H81" s="9"/>
      <c r="I81" s="9"/>
    </row>
    <row r="82" spans="1:9" x14ac:dyDescent="0.25">
      <c r="A82" s="3">
        <v>69</v>
      </c>
      <c r="B82" s="3" t="s">
        <v>123</v>
      </c>
      <c r="C82" s="27">
        <f>③回報計算FX調整!J84</f>
        <v>10014.010486249243</v>
      </c>
      <c r="D82" s="9"/>
      <c r="F82" s="3">
        <v>69</v>
      </c>
      <c r="G82" s="27">
        <f>SMALL(③回報計算FX調整!$J$16:$J$265,69)</f>
        <v>-16423.725750707486</v>
      </c>
      <c r="H82" s="9"/>
      <c r="I82" s="9"/>
    </row>
    <row r="83" spans="1:9" x14ac:dyDescent="0.25">
      <c r="A83" s="3">
        <v>70</v>
      </c>
      <c r="B83" s="3" t="s">
        <v>124</v>
      </c>
      <c r="C83" s="27">
        <f>③回報計算FX調整!J85</f>
        <v>2957.5384769400293</v>
      </c>
      <c r="D83" s="9"/>
      <c r="F83" s="3">
        <v>70</v>
      </c>
      <c r="G83" s="27">
        <f>SMALL(③回報計算FX調整!$J$16:$J$265,70)</f>
        <v>-16329.901701532115</v>
      </c>
      <c r="H83" s="9"/>
      <c r="I83" s="9"/>
    </row>
    <row r="84" spans="1:9" x14ac:dyDescent="0.25">
      <c r="A84" s="3">
        <v>71</v>
      </c>
      <c r="B84" s="3" t="s">
        <v>125</v>
      </c>
      <c r="C84" s="28">
        <f>③回報計算FX調整!J86</f>
        <v>-33913.703734010458</v>
      </c>
      <c r="D84" s="9"/>
      <c r="F84" s="3">
        <v>71</v>
      </c>
      <c r="G84" s="27">
        <f>SMALL(③回報計算FX調整!$J$16:$J$265,71)</f>
        <v>-15728.721408426856</v>
      </c>
      <c r="H84" s="9"/>
      <c r="I84" s="9"/>
    </row>
    <row r="85" spans="1:9" x14ac:dyDescent="0.25">
      <c r="A85" s="3">
        <v>72</v>
      </c>
      <c r="B85" s="3" t="s">
        <v>126</v>
      </c>
      <c r="C85" s="27">
        <f>③回報計算FX調整!J87</f>
        <v>61129.763801909052</v>
      </c>
      <c r="D85" s="9"/>
      <c r="F85" s="3">
        <v>72</v>
      </c>
      <c r="G85" s="27">
        <f>SMALL(③回報計算FX調整!$J$16:$J$265,72)</f>
        <v>-15402.291921062009</v>
      </c>
      <c r="H85" s="9"/>
      <c r="I85" s="9"/>
    </row>
    <row r="86" spans="1:9" x14ac:dyDescent="0.25">
      <c r="A86" s="3">
        <v>73</v>
      </c>
      <c r="B86" s="3" t="s">
        <v>127</v>
      </c>
      <c r="C86" s="27">
        <f>③回報計算FX調整!J88</f>
        <v>46847.636917725671</v>
      </c>
      <c r="D86" s="9"/>
      <c r="F86" s="3">
        <v>73</v>
      </c>
      <c r="G86" s="27">
        <f>SMALL(③回報計算FX調整!$J$16:$J$265,73)</f>
        <v>-15300.584750393693</v>
      </c>
      <c r="H86" s="9"/>
      <c r="I86" s="9"/>
    </row>
    <row r="87" spans="1:9" x14ac:dyDescent="0.25">
      <c r="A87" s="3">
        <v>74</v>
      </c>
      <c r="B87" s="3" t="s">
        <v>128</v>
      </c>
      <c r="C87" s="28">
        <f>③回報計算FX調整!J89</f>
        <v>-1342.470509001497</v>
      </c>
      <c r="D87" s="9"/>
      <c r="F87" s="3">
        <v>74</v>
      </c>
      <c r="G87" s="27">
        <f>SMALL(③回報計算FX調整!$J$16:$J$265,74)</f>
        <v>-14404.274732046153</v>
      </c>
      <c r="H87" s="9"/>
      <c r="I87" s="9"/>
    </row>
    <row r="88" spans="1:9" x14ac:dyDescent="0.25">
      <c r="A88" s="3">
        <v>75</v>
      </c>
      <c r="B88" s="3" t="s">
        <v>129</v>
      </c>
      <c r="C88" s="27">
        <f>③回報計算FX調整!J90</f>
        <v>37337.468979943136</v>
      </c>
      <c r="D88" s="9"/>
      <c r="F88" s="3">
        <v>75</v>
      </c>
      <c r="G88" s="27">
        <f>SMALL(③回報計算FX調整!$J$16:$J$265,75)</f>
        <v>-14370.707658725623</v>
      </c>
      <c r="H88" s="9"/>
      <c r="I88" s="9"/>
    </row>
    <row r="89" spans="1:9" x14ac:dyDescent="0.25">
      <c r="A89" s="3">
        <v>76</v>
      </c>
      <c r="B89" s="3" t="s">
        <v>130</v>
      </c>
      <c r="C89" s="27">
        <f>③回報計算FX調整!J91</f>
        <v>23734.993130065573</v>
      </c>
      <c r="D89" s="9"/>
      <c r="F89" s="3">
        <v>76</v>
      </c>
      <c r="G89" s="27">
        <f>SMALL(③回報計算FX調整!$J$16:$J$265,76)</f>
        <v>-14186.797020111329</v>
      </c>
      <c r="H89" s="9"/>
      <c r="I89" s="9"/>
    </row>
    <row r="90" spans="1:9" x14ac:dyDescent="0.25">
      <c r="A90" s="3">
        <v>77</v>
      </c>
      <c r="B90" s="3" t="s">
        <v>131</v>
      </c>
      <c r="C90" s="27">
        <f>③回報計算FX調整!J92</f>
        <v>14618.265947619397</v>
      </c>
      <c r="D90" s="9"/>
      <c r="F90" s="3">
        <v>77</v>
      </c>
      <c r="G90" s="27">
        <f>SMALL(③回報計算FX調整!$J$16:$J$265,77)</f>
        <v>-14054.708791306175</v>
      </c>
      <c r="H90" s="9"/>
      <c r="I90" s="9"/>
    </row>
    <row r="91" spans="1:9" x14ac:dyDescent="0.25">
      <c r="A91" s="3">
        <v>78</v>
      </c>
      <c r="B91" s="3" t="s">
        <v>132</v>
      </c>
      <c r="C91" s="27">
        <f>③回報計算FX調整!J93</f>
        <v>2820.6377210588348</v>
      </c>
      <c r="D91" s="9"/>
      <c r="F91" s="3">
        <v>78</v>
      </c>
      <c r="G91" s="27">
        <f>SMALL(③回報計算FX調整!$J$16:$J$265,78)</f>
        <v>-13938.3695886314</v>
      </c>
      <c r="H91" s="9"/>
      <c r="I91" s="9"/>
    </row>
    <row r="92" spans="1:9" x14ac:dyDescent="0.25">
      <c r="A92" s="3">
        <v>79</v>
      </c>
      <c r="B92" s="3" t="s">
        <v>133</v>
      </c>
      <c r="C92" s="28">
        <f>③回報計算FX調整!J94</f>
        <v>-461.55826332278167</v>
      </c>
      <c r="D92" s="9"/>
      <c r="F92" s="3">
        <v>79</v>
      </c>
      <c r="G92" s="27">
        <f>SMALL(③回報計算FX調整!$J$16:$J$265,79)</f>
        <v>-13674.284535250907</v>
      </c>
      <c r="H92" s="9"/>
      <c r="I92" s="9"/>
    </row>
    <row r="93" spans="1:9" x14ac:dyDescent="0.25">
      <c r="A93" s="3">
        <v>80</v>
      </c>
      <c r="B93" s="3" t="s">
        <v>134</v>
      </c>
      <c r="C93" s="28">
        <f>③回報計算FX調整!J95</f>
        <v>-30438.681474323865</v>
      </c>
      <c r="D93" s="9"/>
      <c r="F93" s="3">
        <v>80</v>
      </c>
      <c r="G93" s="27">
        <f>SMALL(③回報計算FX調整!$J$16:$J$265,80)</f>
        <v>-13634.490232790135</v>
      </c>
      <c r="H93" s="9"/>
      <c r="I93" s="9"/>
    </row>
    <row r="94" spans="1:9" x14ac:dyDescent="0.25">
      <c r="A94" s="3">
        <v>81</v>
      </c>
      <c r="B94" s="3" t="s">
        <v>135</v>
      </c>
      <c r="C94" s="28">
        <f>③回報計算FX調整!J96</f>
        <v>-24525.310801446492</v>
      </c>
      <c r="D94" s="9"/>
      <c r="F94" s="3">
        <v>81</v>
      </c>
      <c r="G94" s="27">
        <f>SMALL(③回報計算FX調整!$J$16:$J$265,81)</f>
        <v>-13149.80947044586</v>
      </c>
      <c r="H94" s="9"/>
      <c r="I94" s="9"/>
    </row>
    <row r="95" spans="1:9" x14ac:dyDescent="0.25">
      <c r="A95" s="3">
        <v>82</v>
      </c>
      <c r="B95" s="3" t="s">
        <v>136</v>
      </c>
      <c r="C95" s="27">
        <f>③回報計算FX調整!J97</f>
        <v>61424.7584210606</v>
      </c>
      <c r="D95" s="9"/>
      <c r="F95" s="3">
        <v>82</v>
      </c>
      <c r="G95" s="27">
        <f>SMALL(③回報計算FX調整!$J$16:$J$265,82)</f>
        <v>-12526.185286682268</v>
      </c>
      <c r="H95" s="9"/>
      <c r="I95" s="9"/>
    </row>
    <row r="96" spans="1:9" x14ac:dyDescent="0.25">
      <c r="A96" s="3">
        <v>83</v>
      </c>
      <c r="B96" s="3" t="s">
        <v>137</v>
      </c>
      <c r="C96" s="27">
        <f>③回報計算FX調整!J98</f>
        <v>4082.1096012258681</v>
      </c>
      <c r="D96" s="9"/>
      <c r="F96" s="3">
        <v>83</v>
      </c>
      <c r="G96" s="27">
        <f>SMALL(③回報計算FX調整!$J$16:$J$265,83)</f>
        <v>-11873.51863010431</v>
      </c>
      <c r="H96" s="9"/>
      <c r="I96" s="9"/>
    </row>
    <row r="97" spans="1:9" x14ac:dyDescent="0.25">
      <c r="A97" s="3">
        <v>84</v>
      </c>
      <c r="B97" s="3" t="s">
        <v>138</v>
      </c>
      <c r="C97" s="28">
        <f>③回報計算FX調整!J99</f>
        <v>-31477.6478579457</v>
      </c>
      <c r="D97" s="9"/>
      <c r="F97" s="3">
        <v>84</v>
      </c>
      <c r="G97" s="27">
        <f>SMALL(③回報計算FX調整!$J$16:$J$265,84)</f>
        <v>-11756.545186691539</v>
      </c>
      <c r="H97" s="9"/>
      <c r="I97" s="9"/>
    </row>
    <row r="98" spans="1:9" x14ac:dyDescent="0.25">
      <c r="A98" s="3">
        <v>85</v>
      </c>
      <c r="B98" s="3" t="s">
        <v>139</v>
      </c>
      <c r="C98" s="28">
        <f>③回報計算FX調整!J100</f>
        <v>-5759.7236268839015</v>
      </c>
      <c r="D98" s="9"/>
      <c r="F98" s="3">
        <v>85</v>
      </c>
      <c r="G98" s="27">
        <f>SMALL(③回報計算FX調整!$J$16:$J$265,85)</f>
        <v>-11649.094296735968</v>
      </c>
      <c r="H98" s="9"/>
      <c r="I98" s="9"/>
    </row>
    <row r="99" spans="1:9" x14ac:dyDescent="0.25">
      <c r="A99" s="3">
        <v>86</v>
      </c>
      <c r="B99" s="3" t="s">
        <v>140</v>
      </c>
      <c r="C99" s="27">
        <f>③回報計算FX調整!J101</f>
        <v>65294.736135659266</v>
      </c>
      <c r="D99" s="9"/>
      <c r="F99" s="3">
        <v>86</v>
      </c>
      <c r="G99" s="27">
        <f>SMALL(③回報計算FX調整!$J$16:$J$265,86)</f>
        <v>-11424.759595319467</v>
      </c>
      <c r="H99" s="9"/>
      <c r="I99" s="9"/>
    </row>
    <row r="100" spans="1:9" x14ac:dyDescent="0.25">
      <c r="A100" s="3">
        <v>87</v>
      </c>
      <c r="B100" s="3" t="s">
        <v>141</v>
      </c>
      <c r="C100" s="28">
        <f>③回報計算FX調整!J102</f>
        <v>-11091.480173762871</v>
      </c>
      <c r="D100" s="9"/>
      <c r="F100" s="3">
        <v>87</v>
      </c>
      <c r="G100" s="27">
        <f>SMALL(③回報計算FX調整!$J$16:$J$265,87)</f>
        <v>-11091.480173762871</v>
      </c>
      <c r="H100" s="9"/>
      <c r="I100" s="9"/>
    </row>
    <row r="101" spans="1:9" x14ac:dyDescent="0.25">
      <c r="A101" s="3">
        <v>88</v>
      </c>
      <c r="B101" s="3" t="s">
        <v>142</v>
      </c>
      <c r="C101" s="27">
        <f>③回報計算FX調整!J103</f>
        <v>4896.1637376791577</v>
      </c>
      <c r="D101" s="9"/>
      <c r="F101" s="3">
        <v>88</v>
      </c>
      <c r="G101" s="27">
        <f>SMALL(③回報計算FX調整!$J$16:$J$265,88)</f>
        <v>-10836.924254411118</v>
      </c>
      <c r="H101" s="9"/>
      <c r="I101" s="9"/>
    </row>
    <row r="102" spans="1:9" x14ac:dyDescent="0.25">
      <c r="A102" s="3">
        <v>89</v>
      </c>
      <c r="B102" s="3" t="s">
        <v>143</v>
      </c>
      <c r="C102" s="27">
        <f>③回報計算FX調整!J104</f>
        <v>9909.6996527709543</v>
      </c>
      <c r="D102" s="9"/>
      <c r="F102" s="3">
        <v>89</v>
      </c>
      <c r="G102" s="27">
        <f>SMALL(③回報計算FX調整!$J$16:$J$265,89)</f>
        <v>-10768.555535801506</v>
      </c>
      <c r="H102" s="9"/>
      <c r="I102" s="9"/>
    </row>
    <row r="103" spans="1:9" x14ac:dyDescent="0.25">
      <c r="A103" s="3">
        <v>90</v>
      </c>
      <c r="B103" s="3" t="s">
        <v>144</v>
      </c>
      <c r="C103" s="28">
        <f>③回報計算FX調整!J105</f>
        <v>-6410.7903199125658</v>
      </c>
      <c r="D103" s="9"/>
      <c r="F103" s="3">
        <v>90</v>
      </c>
      <c r="G103" s="27">
        <f>SMALL(③回報計算FX調整!$J$16:$J$265,90)</f>
        <v>-10205.614398670285</v>
      </c>
      <c r="H103" s="9"/>
      <c r="I103" s="9"/>
    </row>
    <row r="104" spans="1:9" x14ac:dyDescent="0.25">
      <c r="A104" s="3">
        <v>91</v>
      </c>
      <c r="B104" s="3" t="s">
        <v>145</v>
      </c>
      <c r="C104" s="27">
        <f>③回報計算FX調整!J106</f>
        <v>1646.8769501243876</v>
      </c>
      <c r="D104" s="9"/>
      <c r="F104" s="3">
        <v>91</v>
      </c>
      <c r="G104" s="27">
        <f>SMALL(③回報計算FX調整!$J$16:$J$265,91)</f>
        <v>-9530.5524074956047</v>
      </c>
      <c r="H104" s="9"/>
      <c r="I104" s="9"/>
    </row>
    <row r="105" spans="1:9" x14ac:dyDescent="0.25">
      <c r="A105" s="3">
        <v>92</v>
      </c>
      <c r="B105" s="3" t="s">
        <v>146</v>
      </c>
      <c r="C105" s="27">
        <f>③回報計算FX調整!J107</f>
        <v>27736.210991343338</v>
      </c>
      <c r="D105" s="9"/>
      <c r="F105" s="3">
        <v>92</v>
      </c>
      <c r="G105" s="27">
        <f>SMALL(③回報計算FX調整!$J$16:$J$265,92)</f>
        <v>-8767.4568812257276</v>
      </c>
      <c r="H105" s="9"/>
      <c r="I105" s="9"/>
    </row>
    <row r="106" spans="1:9" x14ac:dyDescent="0.25">
      <c r="A106" s="3">
        <v>93</v>
      </c>
      <c r="B106" s="3" t="s">
        <v>147</v>
      </c>
      <c r="C106" s="27">
        <f>③回報計算FX調整!J108</f>
        <v>19932.363044969348</v>
      </c>
      <c r="D106" s="9"/>
      <c r="F106" s="3">
        <v>93</v>
      </c>
      <c r="G106" s="27">
        <f>SMALL(③回報計算FX調整!$J$16:$J$265,93)</f>
        <v>-7085.6243068396943</v>
      </c>
      <c r="H106" s="9"/>
      <c r="I106" s="9"/>
    </row>
    <row r="107" spans="1:9" x14ac:dyDescent="0.25">
      <c r="A107" s="3">
        <v>94</v>
      </c>
      <c r="B107" s="3" t="s">
        <v>148</v>
      </c>
      <c r="C107" s="27">
        <f>③回報計算FX調整!J109</f>
        <v>72826.166147315496</v>
      </c>
      <c r="D107" s="9"/>
      <c r="F107" s="3">
        <v>94</v>
      </c>
      <c r="G107" s="27">
        <f>SMALL(③回報計算FX調整!$J$16:$J$265,94)</f>
        <v>-6410.7903199125658</v>
      </c>
      <c r="H107" s="9"/>
      <c r="I107" s="9"/>
    </row>
    <row r="108" spans="1:9" x14ac:dyDescent="0.25">
      <c r="A108" s="3">
        <v>95</v>
      </c>
      <c r="B108" s="3" t="s">
        <v>149</v>
      </c>
      <c r="C108" s="27">
        <f>③回報計算FX調整!J110</f>
        <v>57440.868891362799</v>
      </c>
      <c r="D108" s="9"/>
      <c r="F108" s="3">
        <v>95</v>
      </c>
      <c r="G108" s="27">
        <f>SMALL(③回報計算FX調整!$J$16:$J$265,95)</f>
        <v>-6004.9209785046132</v>
      </c>
      <c r="H108" s="9"/>
      <c r="I108" s="9"/>
    </row>
    <row r="109" spans="1:9" x14ac:dyDescent="0.25">
      <c r="A109" s="3">
        <v>96</v>
      </c>
      <c r="B109" s="3" t="s">
        <v>150</v>
      </c>
      <c r="C109" s="28">
        <f>③回報計算FX調整!J111</f>
        <v>-31853.750812315717</v>
      </c>
      <c r="D109" s="9"/>
      <c r="F109" s="3">
        <v>96</v>
      </c>
      <c r="G109" s="27">
        <f>SMALL(③回報計算FX調整!$J$16:$J$265,96)</f>
        <v>-5976.6659593305203</v>
      </c>
      <c r="H109" s="9"/>
      <c r="I109" s="9"/>
    </row>
    <row r="110" spans="1:9" x14ac:dyDescent="0.25">
      <c r="A110" s="3">
        <v>97</v>
      </c>
      <c r="B110" s="3" t="s">
        <v>151</v>
      </c>
      <c r="C110" s="27">
        <f>③回報計算FX調整!J112</f>
        <v>18683.829756169642</v>
      </c>
      <c r="D110" s="9"/>
      <c r="F110" s="3">
        <v>97</v>
      </c>
      <c r="G110" s="27">
        <f>SMALL(③回報計算FX調整!$J$16:$J$265,97)</f>
        <v>-5926.634914005861</v>
      </c>
      <c r="H110" s="9"/>
      <c r="I110" s="9"/>
    </row>
    <row r="111" spans="1:9" x14ac:dyDescent="0.25">
      <c r="A111" s="3">
        <v>98</v>
      </c>
      <c r="B111" s="3" t="s">
        <v>152</v>
      </c>
      <c r="C111" s="28">
        <f>③回報計算FX調整!J113</f>
        <v>-9530.5524074956047</v>
      </c>
      <c r="D111" s="9"/>
      <c r="F111" s="3">
        <v>98</v>
      </c>
      <c r="G111" s="27">
        <f>SMALL(③回報計算FX調整!$J$16:$J$265,98)</f>
        <v>-5759.7236268839015</v>
      </c>
      <c r="H111" s="9"/>
      <c r="I111" s="9"/>
    </row>
    <row r="112" spans="1:9" x14ac:dyDescent="0.25">
      <c r="A112" s="3">
        <v>99</v>
      </c>
      <c r="B112" s="3" t="s">
        <v>153</v>
      </c>
      <c r="C112" s="27">
        <f>③回報計算FX調整!J114</f>
        <v>23929.352196330921</v>
      </c>
      <c r="D112" s="9"/>
      <c r="F112" s="3">
        <v>99</v>
      </c>
      <c r="G112" s="27">
        <f>SMALL(③回報計算FX調整!$J$16:$J$265,99)</f>
        <v>-4735.1012610412945</v>
      </c>
      <c r="H112" s="9"/>
      <c r="I112" s="9"/>
    </row>
    <row r="113" spans="1:9" x14ac:dyDescent="0.25">
      <c r="A113" s="3">
        <v>100</v>
      </c>
      <c r="B113" s="3" t="s">
        <v>154</v>
      </c>
      <c r="C113" s="27">
        <f>③回報計算FX調整!J115</f>
        <v>5242.264535297606</v>
      </c>
      <c r="D113" s="9"/>
      <c r="F113" s="3">
        <v>100</v>
      </c>
      <c r="G113" s="27">
        <f>SMALL(③回報計算FX調整!$J$16:$J$265,100)</f>
        <v>-4535.6815485422221</v>
      </c>
      <c r="H113" s="9"/>
      <c r="I113" s="9"/>
    </row>
    <row r="114" spans="1:9" x14ac:dyDescent="0.25">
      <c r="A114" s="3">
        <v>101</v>
      </c>
      <c r="B114" s="3" t="s">
        <v>155</v>
      </c>
      <c r="C114" s="27">
        <f>③回報計算FX調整!J116</f>
        <v>44384.617990235412</v>
      </c>
      <c r="D114" s="9"/>
      <c r="F114" s="3">
        <v>101</v>
      </c>
      <c r="G114" s="27">
        <f>SMALL(③回報計算FX調整!$J$16:$J$265,101)</f>
        <v>-4423.9136397843695</v>
      </c>
      <c r="H114" s="9"/>
      <c r="I114" s="9"/>
    </row>
    <row r="115" spans="1:9" x14ac:dyDescent="0.25">
      <c r="A115" s="3">
        <v>102</v>
      </c>
      <c r="B115" s="3" t="s">
        <v>156</v>
      </c>
      <c r="C115" s="27">
        <f>③回報計算FX調整!J117</f>
        <v>21208.08952733516</v>
      </c>
      <c r="D115" s="9"/>
      <c r="F115" s="3">
        <v>102</v>
      </c>
      <c r="G115" s="27">
        <f>SMALL(③回報計算FX調整!$J$16:$J$265,102)</f>
        <v>-4037.3486898464798</v>
      </c>
      <c r="H115" s="9"/>
      <c r="I115" s="9"/>
    </row>
    <row r="116" spans="1:9" x14ac:dyDescent="0.25">
      <c r="A116" s="3">
        <v>103</v>
      </c>
      <c r="B116" s="3" t="s">
        <v>157</v>
      </c>
      <c r="C116" s="28">
        <f>③回報計算FX調整!J118</f>
        <v>-15402.291921062009</v>
      </c>
      <c r="D116" s="9"/>
      <c r="F116" s="3">
        <v>103</v>
      </c>
      <c r="G116" s="27">
        <f>SMALL(③回報計算FX調整!$J$16:$J$265,103)</f>
        <v>-3631.5466042757598</v>
      </c>
      <c r="H116" s="9"/>
      <c r="I116" s="9"/>
    </row>
    <row r="117" spans="1:9" x14ac:dyDescent="0.25">
      <c r="A117" s="3">
        <v>104</v>
      </c>
      <c r="B117" s="3" t="s">
        <v>158</v>
      </c>
      <c r="C117" s="27">
        <f>③回報計算FX調整!J119</f>
        <v>3138.4231133081116</v>
      </c>
      <c r="D117" s="9"/>
      <c r="F117" s="3">
        <v>104</v>
      </c>
      <c r="G117" s="27">
        <f>SMALL(③回報計算FX調整!$J$16:$J$265,104)</f>
        <v>-3388.2118145391742</v>
      </c>
      <c r="H117" s="9"/>
      <c r="I117" s="9"/>
    </row>
    <row r="118" spans="1:9" x14ac:dyDescent="0.25">
      <c r="A118" s="3">
        <v>105</v>
      </c>
      <c r="B118" s="3" t="s">
        <v>159</v>
      </c>
      <c r="C118" s="27">
        <f>③回報計算FX調整!J120</f>
        <v>5167.6942059969469</v>
      </c>
      <c r="D118" s="9"/>
      <c r="F118" s="3">
        <v>105</v>
      </c>
      <c r="G118" s="27">
        <f>SMALL(③回報計算FX調整!$J$16:$J$265,105)</f>
        <v>-3357.268108656569</v>
      </c>
      <c r="H118" s="9"/>
      <c r="I118" s="9"/>
    </row>
    <row r="119" spans="1:9" x14ac:dyDescent="0.25">
      <c r="A119" s="3">
        <v>106</v>
      </c>
      <c r="B119" s="3" t="s">
        <v>160</v>
      </c>
      <c r="C119" s="28">
        <f>③回報計算FX調整!J121</f>
        <v>-1195.6783300117058</v>
      </c>
      <c r="D119" s="9"/>
      <c r="F119" s="3">
        <v>106</v>
      </c>
      <c r="G119" s="27">
        <f>SMALL(③回報計算FX調整!$J$16:$J$265,106)</f>
        <v>-2393.7963373983885</v>
      </c>
      <c r="H119" s="9"/>
      <c r="I119" s="9"/>
    </row>
    <row r="120" spans="1:9" x14ac:dyDescent="0.25">
      <c r="A120" s="3">
        <v>107</v>
      </c>
      <c r="B120" s="3" t="s">
        <v>161</v>
      </c>
      <c r="C120" s="28">
        <f>③回報計算FX調整!J122</f>
        <v>-21144.334466706045</v>
      </c>
      <c r="D120" s="9"/>
      <c r="F120" s="3">
        <v>107</v>
      </c>
      <c r="G120" s="27">
        <f>SMALL(③回報計算FX調整!$J$16:$J$265,107)</f>
        <v>-2052.6680511295117</v>
      </c>
      <c r="H120" s="9"/>
      <c r="I120" s="9"/>
    </row>
    <row r="121" spans="1:9" x14ac:dyDescent="0.25">
      <c r="A121" s="3">
        <v>108</v>
      </c>
      <c r="B121" s="3" t="s">
        <v>162</v>
      </c>
      <c r="C121" s="27">
        <f>③回報計算FX調整!J123</f>
        <v>28572.15358378589</v>
      </c>
      <c r="D121" s="9"/>
      <c r="F121" s="3">
        <v>108</v>
      </c>
      <c r="G121" s="27">
        <f>SMALL(③回報計算FX調整!$J$16:$J$265,108)</f>
        <v>-1700.6602064147462</v>
      </c>
      <c r="H121" s="9"/>
      <c r="I121" s="9"/>
    </row>
    <row r="122" spans="1:9" x14ac:dyDescent="0.25">
      <c r="A122" s="3">
        <v>109</v>
      </c>
      <c r="B122" s="3" t="s">
        <v>163</v>
      </c>
      <c r="C122" s="28">
        <f>③回報計算FX調整!J124</f>
        <v>-1700.6602064147462</v>
      </c>
      <c r="D122" s="9"/>
      <c r="F122" s="3">
        <v>109</v>
      </c>
      <c r="G122" s="27">
        <f>SMALL(③回報計算FX調整!$J$16:$J$265,109)</f>
        <v>-1342.470509001497</v>
      </c>
      <c r="H122" s="9"/>
      <c r="I122" s="9"/>
    </row>
    <row r="123" spans="1:9" x14ac:dyDescent="0.25">
      <c r="A123" s="3">
        <v>110</v>
      </c>
      <c r="B123" s="3" t="s">
        <v>164</v>
      </c>
      <c r="C123" s="27">
        <f>③回報計算FX調整!J125</f>
        <v>43373.019859041386</v>
      </c>
      <c r="D123" s="9"/>
      <c r="F123" s="3">
        <v>110</v>
      </c>
      <c r="G123" s="27">
        <f>SMALL(③回報計算FX調整!$J$16:$J$265,110)</f>
        <v>-1195.6783300117058</v>
      </c>
      <c r="H123" s="9"/>
      <c r="I123" s="9"/>
    </row>
    <row r="124" spans="1:9" x14ac:dyDescent="0.25">
      <c r="A124" s="3">
        <v>111</v>
      </c>
      <c r="B124" s="3" t="s">
        <v>165</v>
      </c>
      <c r="C124" s="28">
        <f>③回報計算FX調整!J126</f>
        <v>-45899.325340848009</v>
      </c>
      <c r="D124" s="9"/>
      <c r="F124" s="3">
        <v>111</v>
      </c>
      <c r="G124" s="27">
        <f>SMALL(③回報計算FX調整!$J$16:$J$265,111)</f>
        <v>-559.11641863844818</v>
      </c>
      <c r="H124" s="9"/>
      <c r="I124" s="9"/>
    </row>
    <row r="125" spans="1:9" x14ac:dyDescent="0.25">
      <c r="A125" s="3">
        <v>112</v>
      </c>
      <c r="B125" s="3" t="s">
        <v>166</v>
      </c>
      <c r="C125" s="28">
        <f>③回報計算FX調整!J127</f>
        <v>-14186.797020111329</v>
      </c>
      <c r="D125" s="9"/>
      <c r="F125" s="3">
        <v>112</v>
      </c>
      <c r="G125" s="27">
        <f>SMALL(③回報計算FX調整!$J$16:$J$265,112)</f>
        <v>-461.55826332278167</v>
      </c>
      <c r="H125" s="9"/>
      <c r="I125" s="9"/>
    </row>
    <row r="126" spans="1:9" x14ac:dyDescent="0.25">
      <c r="A126" s="3">
        <v>113</v>
      </c>
      <c r="B126" s="3" t="s">
        <v>167</v>
      </c>
      <c r="C126" s="28">
        <f>③回報計算FX調整!J128</f>
        <v>-11649.094296735968</v>
      </c>
      <c r="D126" s="9"/>
      <c r="F126" s="3">
        <v>113</v>
      </c>
      <c r="G126" s="27">
        <f>SMALL(③回報計算FX調整!$J$16:$J$265,113)</f>
        <v>68.077352608082677</v>
      </c>
      <c r="H126" s="9"/>
      <c r="I126" s="9"/>
    </row>
    <row r="127" spans="1:9" x14ac:dyDescent="0.25">
      <c r="A127" s="3">
        <v>114</v>
      </c>
      <c r="B127" s="3" t="s">
        <v>168</v>
      </c>
      <c r="C127" s="28">
        <f>③回報計算FX調整!J129</f>
        <v>-23647.88293362792</v>
      </c>
      <c r="D127" s="9"/>
      <c r="F127" s="3">
        <v>114</v>
      </c>
      <c r="G127" s="27">
        <f>SMALL(③回報計算FX調整!$J$16:$J$265,114)</f>
        <v>749.93557986234896</v>
      </c>
      <c r="H127" s="9"/>
      <c r="I127" s="9"/>
    </row>
    <row r="128" spans="1:9" x14ac:dyDescent="0.25">
      <c r="A128" s="3">
        <v>115</v>
      </c>
      <c r="B128" s="3" t="s">
        <v>169</v>
      </c>
      <c r="C128" s="28">
        <f>③回報計算FX調整!J130</f>
        <v>-23657.733284456473</v>
      </c>
      <c r="D128" s="9"/>
      <c r="F128" s="3">
        <v>115</v>
      </c>
      <c r="G128" s="27">
        <f>SMALL(③回報計算FX調整!$J$16:$J$265,115)</f>
        <v>770.77784919432963</v>
      </c>
      <c r="H128" s="9"/>
      <c r="I128" s="9"/>
    </row>
    <row r="129" spans="1:9" x14ac:dyDescent="0.25">
      <c r="A129" s="3">
        <v>116</v>
      </c>
      <c r="B129" s="3" t="s">
        <v>170</v>
      </c>
      <c r="C129" s="27">
        <f>③回報計算FX調整!J131</f>
        <v>46084.059640394313</v>
      </c>
      <c r="D129" s="9"/>
      <c r="F129" s="3">
        <v>116</v>
      </c>
      <c r="G129" s="27">
        <f>SMALL(③回報計算FX調整!$J$16:$J$265,116)</f>
        <v>1076.9423738269622</v>
      </c>
      <c r="H129" s="9"/>
      <c r="I129" s="9"/>
    </row>
    <row r="130" spans="1:9" x14ac:dyDescent="0.25">
      <c r="A130" s="3">
        <v>117</v>
      </c>
      <c r="B130" s="3" t="s">
        <v>171</v>
      </c>
      <c r="C130" s="27">
        <f>③回報計算FX調整!J132</f>
        <v>10654.137202635686</v>
      </c>
      <c r="D130" s="9"/>
      <c r="F130" s="3">
        <v>117</v>
      </c>
      <c r="G130" s="27">
        <f>SMALL(③回報計算FX調整!$J$16:$J$265,117)</f>
        <v>1285.315576536849</v>
      </c>
      <c r="H130" s="9"/>
      <c r="I130" s="9"/>
    </row>
    <row r="131" spans="1:9" x14ac:dyDescent="0.25">
      <c r="A131" s="3">
        <v>118</v>
      </c>
      <c r="B131" s="3" t="s">
        <v>172</v>
      </c>
      <c r="C131" s="28">
        <f>③回報計算FX調整!J133</f>
        <v>-18389.093498407616</v>
      </c>
      <c r="D131" s="9"/>
      <c r="F131" s="3">
        <v>118</v>
      </c>
      <c r="G131" s="27">
        <f>SMALL(③回報計算FX調整!$J$16:$J$265,118)</f>
        <v>1536.5489061865637</v>
      </c>
      <c r="H131" s="9"/>
      <c r="I131" s="9"/>
    </row>
    <row r="132" spans="1:9" x14ac:dyDescent="0.25">
      <c r="A132" s="3">
        <v>119</v>
      </c>
      <c r="B132" s="3" t="s">
        <v>173</v>
      </c>
      <c r="C132" s="28">
        <f>③回報計算FX調整!J134</f>
        <v>-24594.126834524937</v>
      </c>
      <c r="D132" s="9"/>
      <c r="F132" s="3">
        <v>119</v>
      </c>
      <c r="G132" s="27">
        <f>SMALL(③回報計算FX調整!$J$16:$J$265,119)</f>
        <v>1621.6427959019454</v>
      </c>
      <c r="H132" s="9"/>
      <c r="I132" s="9"/>
    </row>
    <row r="133" spans="1:9" x14ac:dyDescent="0.25">
      <c r="A133" s="3">
        <v>120</v>
      </c>
      <c r="B133" s="3" t="s">
        <v>174</v>
      </c>
      <c r="C133" s="28">
        <f>③回報計算FX調整!J135</f>
        <v>-29946.06627230809</v>
      </c>
      <c r="D133" s="9"/>
      <c r="F133" s="3">
        <v>120</v>
      </c>
      <c r="G133" s="27">
        <f>SMALL(③回報計算FX調整!$J$16:$J$265,120)</f>
        <v>1646.8769501243876</v>
      </c>
      <c r="H133" s="9"/>
      <c r="I133" s="9"/>
    </row>
    <row r="134" spans="1:9" x14ac:dyDescent="0.25">
      <c r="A134" s="3">
        <v>121</v>
      </c>
      <c r="B134" s="3" t="s">
        <v>175</v>
      </c>
      <c r="C134" s="28">
        <f>③回報計算FX調整!J136</f>
        <v>-17059.944039430717</v>
      </c>
      <c r="D134" s="9"/>
      <c r="F134" s="3">
        <v>121</v>
      </c>
      <c r="G134" s="27">
        <f>SMALL(③回報計算FX調整!$J$16:$J$265,121)</f>
        <v>2313.0910239882173</v>
      </c>
      <c r="H134" s="9"/>
      <c r="I134" s="9"/>
    </row>
    <row r="135" spans="1:9" x14ac:dyDescent="0.25">
      <c r="A135" s="3">
        <v>122</v>
      </c>
      <c r="B135" s="3" t="s">
        <v>176</v>
      </c>
      <c r="C135" s="28">
        <f>③回報計算FX調整!J137</f>
        <v>-3631.5466042757598</v>
      </c>
      <c r="D135" s="9"/>
      <c r="F135" s="3">
        <v>122</v>
      </c>
      <c r="G135" s="27">
        <f>SMALL(③回報計算FX調整!$J$16:$J$265,122)</f>
        <v>2600.7665927763524</v>
      </c>
      <c r="H135" s="9"/>
      <c r="I135" s="9"/>
    </row>
    <row r="136" spans="1:9" x14ac:dyDescent="0.25">
      <c r="A136" s="3">
        <v>123</v>
      </c>
      <c r="B136" s="3" t="s">
        <v>177</v>
      </c>
      <c r="C136" s="27">
        <f>③回報計算FX調整!J138</f>
        <v>27833.393777686149</v>
      </c>
      <c r="D136" s="9"/>
      <c r="F136" s="3">
        <v>123</v>
      </c>
      <c r="G136" s="27">
        <f>SMALL(③回報計算FX調整!$J$16:$J$265,123)</f>
        <v>2676.4803203067709</v>
      </c>
      <c r="H136" s="9"/>
      <c r="I136" s="9"/>
    </row>
    <row r="137" spans="1:9" x14ac:dyDescent="0.25">
      <c r="A137" s="3">
        <v>124</v>
      </c>
      <c r="B137" s="3" t="s">
        <v>178</v>
      </c>
      <c r="C137" s="28">
        <f>③回報計算FX調整!J139</f>
        <v>-79153.236099101705</v>
      </c>
      <c r="D137" s="9"/>
      <c r="F137" s="3">
        <v>124</v>
      </c>
      <c r="G137" s="27">
        <f>SMALL(③回報計算FX調整!$J$16:$J$265,124)</f>
        <v>2820.6377210588348</v>
      </c>
      <c r="H137" s="9"/>
      <c r="I137" s="9"/>
    </row>
    <row r="138" spans="1:9" x14ac:dyDescent="0.25">
      <c r="A138" s="3">
        <v>125</v>
      </c>
      <c r="B138" s="3" t="s">
        <v>179</v>
      </c>
      <c r="C138" s="27">
        <f>③回報計算FX調整!J140</f>
        <v>749.93557986234896</v>
      </c>
      <c r="D138" s="9"/>
      <c r="F138" s="3">
        <v>125</v>
      </c>
      <c r="G138" s="27">
        <f>SMALL(③回報計算FX調整!$J$16:$J$265,125)</f>
        <v>2876.9918462572082</v>
      </c>
      <c r="H138" s="9"/>
      <c r="I138" s="9"/>
    </row>
    <row r="139" spans="1:9" x14ac:dyDescent="0.25">
      <c r="A139" s="3">
        <v>126</v>
      </c>
      <c r="B139" s="3" t="s">
        <v>180</v>
      </c>
      <c r="C139" s="28">
        <f>③回報計算FX調整!J141</f>
        <v>-2393.7963373983885</v>
      </c>
      <c r="D139" s="9"/>
      <c r="F139" s="3">
        <v>126</v>
      </c>
      <c r="G139" s="27">
        <f>SMALL(③回報計算FX調整!$J$16:$J$265,126)</f>
        <v>2905.973162795156</v>
      </c>
      <c r="H139" s="9"/>
      <c r="I139" s="9"/>
    </row>
    <row r="140" spans="1:9" x14ac:dyDescent="0.25">
      <c r="A140" s="3">
        <v>127</v>
      </c>
      <c r="B140" s="3" t="s">
        <v>181</v>
      </c>
      <c r="C140" s="28">
        <f>③回報計算FX調整!J142</f>
        <v>-27914.822374321953</v>
      </c>
      <c r="D140" s="9"/>
      <c r="F140" s="3">
        <v>127</v>
      </c>
      <c r="G140" s="27">
        <f>SMALL(③回報計算FX調整!$J$16:$J$265,127)</f>
        <v>2957.5384769400293</v>
      </c>
      <c r="H140" s="9"/>
      <c r="I140" s="9"/>
    </row>
    <row r="141" spans="1:9" x14ac:dyDescent="0.25">
      <c r="A141" s="3">
        <v>128</v>
      </c>
      <c r="B141" s="3" t="s">
        <v>182</v>
      </c>
      <c r="C141" s="27">
        <f>③回報計算FX調整!J143</f>
        <v>29997.10211594588</v>
      </c>
      <c r="D141" s="9"/>
      <c r="F141" s="3">
        <v>128</v>
      </c>
      <c r="G141" s="27">
        <f>SMALL(③回報計算FX調整!$J$16:$J$265,128)</f>
        <v>3138.4231133081116</v>
      </c>
      <c r="H141" s="9"/>
      <c r="I141" s="9"/>
    </row>
    <row r="142" spans="1:9" x14ac:dyDescent="0.25">
      <c r="A142" s="3">
        <v>129</v>
      </c>
      <c r="B142" s="3" t="s">
        <v>183</v>
      </c>
      <c r="C142" s="27">
        <f>③回報計算FX調整!J144</f>
        <v>44711.554131064564</v>
      </c>
      <c r="D142" s="9"/>
      <c r="F142" s="3">
        <v>129</v>
      </c>
      <c r="G142" s="27">
        <f>SMALL(③回報計算FX調整!$J$16:$J$265,129)</f>
        <v>3296.8598210370901</v>
      </c>
      <c r="H142" s="9"/>
      <c r="I142" s="9"/>
    </row>
    <row r="143" spans="1:9" x14ac:dyDescent="0.25">
      <c r="A143" s="3">
        <v>130</v>
      </c>
      <c r="B143" s="3" t="s">
        <v>184</v>
      </c>
      <c r="C143" s="27">
        <f>③回報計算FX調整!J145</f>
        <v>71689.883197702307</v>
      </c>
      <c r="D143" s="9"/>
      <c r="F143" s="3">
        <v>130</v>
      </c>
      <c r="G143" s="27">
        <f>SMALL(③回報計算FX調整!$J$16:$J$265,130)</f>
        <v>3494.4093347217149</v>
      </c>
      <c r="H143" s="9"/>
      <c r="I143" s="9"/>
    </row>
    <row r="144" spans="1:9" x14ac:dyDescent="0.25">
      <c r="A144" s="3">
        <v>131</v>
      </c>
      <c r="B144" s="3" t="s">
        <v>185</v>
      </c>
      <c r="C144" s="27">
        <f>③回報計算FX調整!J146</f>
        <v>7587.7109326803711</v>
      </c>
      <c r="D144" s="9"/>
      <c r="F144" s="3">
        <v>131</v>
      </c>
      <c r="G144" s="27">
        <f>SMALL(③回報計算FX調整!$J$16:$J$265,131)</f>
        <v>4082.1096012258681</v>
      </c>
      <c r="H144" s="9"/>
      <c r="I144" s="9"/>
    </row>
    <row r="145" spans="1:9" x14ac:dyDescent="0.25">
      <c r="A145" s="3">
        <v>132</v>
      </c>
      <c r="B145" s="3" t="s">
        <v>186</v>
      </c>
      <c r="C145" s="28">
        <f>③回報計算FX調整!J147</f>
        <v>-33046.359253377166</v>
      </c>
      <c r="D145" s="9"/>
      <c r="F145" s="3">
        <v>132</v>
      </c>
      <c r="G145" s="27">
        <f>SMALL(③回報計算FX調整!$J$16:$J$265,132)</f>
        <v>4206.6691661931554</v>
      </c>
      <c r="H145" s="9"/>
      <c r="I145" s="9"/>
    </row>
    <row r="146" spans="1:9" x14ac:dyDescent="0.25">
      <c r="A146" s="3">
        <v>133</v>
      </c>
      <c r="B146" s="3" t="s">
        <v>187</v>
      </c>
      <c r="C146" s="27">
        <f>③回報計算FX調整!J148</f>
        <v>25273.036748666567</v>
      </c>
      <c r="D146" s="9"/>
      <c r="F146" s="3">
        <v>133</v>
      </c>
      <c r="G146" s="27">
        <f>SMALL(③回報計算FX調整!$J$16:$J$265,133)</f>
        <v>4304.6534895999048</v>
      </c>
      <c r="H146" s="9"/>
      <c r="I146" s="9"/>
    </row>
    <row r="147" spans="1:9" x14ac:dyDescent="0.25">
      <c r="A147" s="3">
        <v>134</v>
      </c>
      <c r="B147" s="3" t="s">
        <v>188</v>
      </c>
      <c r="C147" s="27">
        <f>③回報計算FX調整!J149</f>
        <v>17396.42471384097</v>
      </c>
      <c r="D147" s="9"/>
      <c r="F147" s="3">
        <v>134</v>
      </c>
      <c r="G147" s="27">
        <f>SMALL(③回報計算FX調整!$J$16:$J$265,134)</f>
        <v>4896.1637376791577</v>
      </c>
      <c r="H147" s="9"/>
      <c r="I147" s="9"/>
    </row>
    <row r="148" spans="1:9" x14ac:dyDescent="0.25">
      <c r="A148" s="3">
        <v>135</v>
      </c>
      <c r="B148" s="3" t="s">
        <v>189</v>
      </c>
      <c r="C148" s="27">
        <f>③回報計算FX調整!J150</f>
        <v>4304.6534895999048</v>
      </c>
      <c r="D148" s="9"/>
      <c r="F148" s="3">
        <v>135</v>
      </c>
      <c r="G148" s="27">
        <f>SMALL(③回報計算FX調整!$J$16:$J$265,135)</f>
        <v>5167.6942059969469</v>
      </c>
      <c r="H148" s="9"/>
      <c r="I148" s="9"/>
    </row>
    <row r="149" spans="1:9" x14ac:dyDescent="0.25">
      <c r="A149" s="3">
        <v>136</v>
      </c>
      <c r="B149" s="3" t="s">
        <v>190</v>
      </c>
      <c r="C149" s="27">
        <f>③回報計算FX調整!J151</f>
        <v>31197.487230332776</v>
      </c>
      <c r="D149" s="9"/>
      <c r="F149" s="3">
        <v>136</v>
      </c>
      <c r="G149" s="27">
        <f>SMALL(③回報計算FX調整!$J$16:$J$265,136)</f>
        <v>5242.264535297606</v>
      </c>
      <c r="H149" s="9"/>
      <c r="I149" s="9"/>
    </row>
    <row r="150" spans="1:9" x14ac:dyDescent="0.25">
      <c r="A150" s="3">
        <v>137</v>
      </c>
      <c r="B150" s="3" t="s">
        <v>191</v>
      </c>
      <c r="C150" s="27">
        <f>③回報計算FX調整!J152</f>
        <v>22235.418913653873</v>
      </c>
      <c r="D150" s="9"/>
      <c r="F150" s="3">
        <v>137</v>
      </c>
      <c r="G150" s="27">
        <f>SMALL(③回報計算FX調整!$J$16:$J$265,137)</f>
        <v>5570.5800404606698</v>
      </c>
      <c r="H150" s="9"/>
      <c r="I150" s="9"/>
    </row>
    <row r="151" spans="1:9" x14ac:dyDescent="0.25">
      <c r="A151" s="3">
        <v>138</v>
      </c>
      <c r="B151" s="3" t="s">
        <v>192</v>
      </c>
      <c r="C151" s="27">
        <f>③回報計算FX調整!J153</f>
        <v>58505.82601628112</v>
      </c>
      <c r="D151" s="9"/>
      <c r="F151" s="3">
        <v>138</v>
      </c>
      <c r="G151" s="27">
        <f>SMALL(③回報計算FX調整!$J$16:$J$265,138)</f>
        <v>6132.3442170287035</v>
      </c>
      <c r="H151" s="9"/>
      <c r="I151" s="9"/>
    </row>
    <row r="152" spans="1:9" x14ac:dyDescent="0.25">
      <c r="A152" s="3">
        <v>139</v>
      </c>
      <c r="B152" s="3" t="s">
        <v>193</v>
      </c>
      <c r="C152" s="27">
        <f>③回報計算FX調整!J154</f>
        <v>1285.315576536849</v>
      </c>
      <c r="D152" s="9"/>
      <c r="F152" s="3">
        <v>139</v>
      </c>
      <c r="G152" s="27">
        <f>SMALL(③回報計算FX調整!$J$16:$J$265,139)</f>
        <v>6598.6020385782185</v>
      </c>
      <c r="H152" s="9"/>
      <c r="I152" s="9"/>
    </row>
    <row r="153" spans="1:9" x14ac:dyDescent="0.25">
      <c r="A153" s="3">
        <v>140</v>
      </c>
      <c r="B153" s="3" t="s">
        <v>194</v>
      </c>
      <c r="C153" s="27">
        <f>③回報計算FX調整!J155</f>
        <v>12131.451315703793</v>
      </c>
      <c r="D153" s="9"/>
      <c r="F153" s="3">
        <v>140</v>
      </c>
      <c r="G153" s="27">
        <f>SMALL(③回報計算FX調整!$J$16:$J$265,140)</f>
        <v>6833.3262947220937</v>
      </c>
      <c r="H153" s="9"/>
      <c r="I153" s="9"/>
    </row>
    <row r="154" spans="1:9" x14ac:dyDescent="0.25">
      <c r="A154" s="3">
        <v>141</v>
      </c>
      <c r="B154" s="3" t="s">
        <v>195</v>
      </c>
      <c r="C154" s="28">
        <f>③回報計算FX調整!J156</f>
        <v>-15728.721408426856</v>
      </c>
      <c r="D154" s="9"/>
      <c r="F154" s="3">
        <v>141</v>
      </c>
      <c r="G154" s="27">
        <f>SMALL(③回報計算FX調整!$J$16:$J$265,141)</f>
        <v>7098.4724803547315</v>
      </c>
      <c r="H154" s="9"/>
      <c r="I154" s="9"/>
    </row>
    <row r="155" spans="1:9" x14ac:dyDescent="0.25">
      <c r="A155" s="3">
        <v>142</v>
      </c>
      <c r="B155" s="3" t="s">
        <v>196</v>
      </c>
      <c r="C155" s="27">
        <f>③回報計算FX調整!J157</f>
        <v>12879.216790246943</v>
      </c>
      <c r="D155" s="9"/>
      <c r="F155" s="3">
        <v>142</v>
      </c>
      <c r="G155" s="27">
        <f>SMALL(③回報計算FX調整!$J$16:$J$265,142)</f>
        <v>7587.7109326803711</v>
      </c>
      <c r="H155" s="9"/>
      <c r="I155" s="9"/>
    </row>
    <row r="156" spans="1:9" x14ac:dyDescent="0.25">
      <c r="A156" s="3">
        <v>143</v>
      </c>
      <c r="B156" s="3" t="s">
        <v>197</v>
      </c>
      <c r="C156" s="27">
        <f>③回報計算FX調整!J158</f>
        <v>51914.935300557037</v>
      </c>
      <c r="D156" s="9"/>
      <c r="F156" s="3">
        <v>143</v>
      </c>
      <c r="G156" s="27">
        <f>SMALL(③回報計算FX調整!$J$16:$J$265,143)</f>
        <v>7940.8824966480597</v>
      </c>
      <c r="H156" s="9"/>
      <c r="I156" s="9"/>
    </row>
    <row r="157" spans="1:9" x14ac:dyDescent="0.25">
      <c r="A157" s="3">
        <v>144</v>
      </c>
      <c r="B157" s="3" t="s">
        <v>198</v>
      </c>
      <c r="C157" s="28">
        <f>③回報計算FX調整!J159</f>
        <v>-37048.16753026376</v>
      </c>
      <c r="D157" s="9"/>
      <c r="F157" s="3">
        <v>144</v>
      </c>
      <c r="G157" s="27">
        <f>SMALL(③回報計算FX調整!$J$16:$J$265,144)</f>
        <v>8343.5125952161197</v>
      </c>
      <c r="H157" s="9"/>
      <c r="I157" s="9"/>
    </row>
    <row r="158" spans="1:9" x14ac:dyDescent="0.25">
      <c r="A158" s="3">
        <v>145</v>
      </c>
      <c r="B158" s="3" t="s">
        <v>199</v>
      </c>
      <c r="C158" s="28">
        <f>③回報計算FX調整!J160</f>
        <v>-31111.097303158662</v>
      </c>
      <c r="D158" s="9"/>
      <c r="F158" s="3">
        <v>145</v>
      </c>
      <c r="G158" s="27">
        <f>SMALL(③回報計算FX調整!$J$16:$J$265,145)</f>
        <v>8397.5951890837587</v>
      </c>
      <c r="H158" s="9"/>
      <c r="I158" s="9"/>
    </row>
    <row r="159" spans="1:9" x14ac:dyDescent="0.25">
      <c r="A159" s="3">
        <v>146</v>
      </c>
      <c r="B159" s="3" t="s">
        <v>200</v>
      </c>
      <c r="C159" s="28">
        <f>③回報計算FX調整!J161</f>
        <v>-4423.9136397843695</v>
      </c>
      <c r="D159" s="9"/>
      <c r="F159" s="3">
        <v>146</v>
      </c>
      <c r="G159" s="27">
        <f>SMALL(③回報計算FX調整!$J$16:$J$265,146)</f>
        <v>8578.0987501127147</v>
      </c>
      <c r="H159" s="9"/>
      <c r="I159" s="9"/>
    </row>
    <row r="160" spans="1:9" x14ac:dyDescent="0.25">
      <c r="A160" s="3">
        <v>147</v>
      </c>
      <c r="B160" s="3" t="s">
        <v>201</v>
      </c>
      <c r="C160" s="27">
        <f>③回報計算FX調整!J162</f>
        <v>18614.325017245697</v>
      </c>
      <c r="D160" s="9"/>
      <c r="F160" s="3">
        <v>147</v>
      </c>
      <c r="G160" s="27">
        <f>SMALL(③回報計算FX調整!$J$16:$J$265,147)</f>
        <v>8619.9761012159452</v>
      </c>
      <c r="H160" s="9"/>
      <c r="I160" s="9"/>
    </row>
    <row r="161" spans="1:9" x14ac:dyDescent="0.25">
      <c r="A161" s="3">
        <v>148</v>
      </c>
      <c r="B161" s="3" t="s">
        <v>202</v>
      </c>
      <c r="C161" s="27">
        <f>③回報計算FX調整!J163</f>
        <v>31316.655530537213</v>
      </c>
      <c r="D161" s="9"/>
      <c r="F161" s="3">
        <v>148</v>
      </c>
      <c r="G161" s="27">
        <f>SMALL(③回報計算FX調整!$J$16:$J$265,148)</f>
        <v>9366.5918514639943</v>
      </c>
      <c r="H161" s="9"/>
      <c r="I161" s="9"/>
    </row>
    <row r="162" spans="1:9" x14ac:dyDescent="0.25">
      <c r="A162" s="3">
        <v>149</v>
      </c>
      <c r="B162" s="3" t="s">
        <v>203</v>
      </c>
      <c r="C162" s="28">
        <f>③回報計算FX調整!J164</f>
        <v>-10768.555535801506</v>
      </c>
      <c r="D162" s="9"/>
      <c r="F162" s="3">
        <v>149</v>
      </c>
      <c r="G162" s="27">
        <f>SMALL(③回報計算FX調整!$J$16:$J$265,149)</f>
        <v>9504.5615148542129</v>
      </c>
      <c r="H162" s="9"/>
      <c r="I162" s="9"/>
    </row>
    <row r="163" spans="1:9" x14ac:dyDescent="0.25">
      <c r="A163" s="3">
        <v>150</v>
      </c>
      <c r="B163" s="3" t="s">
        <v>204</v>
      </c>
      <c r="C163" s="28">
        <f>③回報計算FX調整!J165</f>
        <v>-4535.6815485422221</v>
      </c>
      <c r="D163" s="9"/>
      <c r="F163" s="3">
        <v>150</v>
      </c>
      <c r="G163" s="27">
        <f>SMALL(③回報計算FX調整!$J$16:$J$265,150)</f>
        <v>9909.6996527709543</v>
      </c>
      <c r="H163" s="9"/>
      <c r="I163" s="9"/>
    </row>
    <row r="164" spans="1:9" x14ac:dyDescent="0.25">
      <c r="A164" s="3">
        <v>151</v>
      </c>
      <c r="B164" s="3" t="s">
        <v>205</v>
      </c>
      <c r="C164" s="27">
        <f>③回報計算FX調整!J166</f>
        <v>15183.567931895306</v>
      </c>
      <c r="D164" s="9"/>
      <c r="F164" s="3">
        <v>151</v>
      </c>
      <c r="G164" s="27">
        <f>SMALL(③回報計算FX調整!$J$16:$J$265,151)</f>
        <v>10014.010486249243</v>
      </c>
      <c r="H164" s="9"/>
      <c r="I164" s="9"/>
    </row>
    <row r="165" spans="1:9" x14ac:dyDescent="0.25">
      <c r="A165" s="3">
        <v>152</v>
      </c>
      <c r="B165" s="3" t="s">
        <v>206</v>
      </c>
      <c r="C165" s="27">
        <f>③回報計算FX調整!J167</f>
        <v>33991.669234410343</v>
      </c>
      <c r="D165" s="9"/>
      <c r="F165" s="3">
        <v>152</v>
      </c>
      <c r="G165" s="27">
        <f>SMALL(③回報計算FX調整!$J$16:$J$265,152)</f>
        <v>10306.562738128603</v>
      </c>
      <c r="H165" s="9"/>
      <c r="I165" s="9"/>
    </row>
    <row r="166" spans="1:9" x14ac:dyDescent="0.25">
      <c r="A166" s="3">
        <v>153</v>
      </c>
      <c r="B166" s="3" t="s">
        <v>207</v>
      </c>
      <c r="C166" s="27">
        <f>③回報計算FX調整!J168</f>
        <v>46643.728769512258</v>
      </c>
      <c r="D166" s="9"/>
      <c r="F166" s="3">
        <v>153</v>
      </c>
      <c r="G166" s="27">
        <f>SMALL(③回報計算FX調整!$J$16:$J$265,153)</f>
        <v>10654.137202635686</v>
      </c>
      <c r="H166" s="9"/>
      <c r="I166" s="9"/>
    </row>
    <row r="167" spans="1:9" x14ac:dyDescent="0.25">
      <c r="A167" s="3">
        <v>154</v>
      </c>
      <c r="B167" s="3" t="s">
        <v>208</v>
      </c>
      <c r="C167" s="28">
        <f>③回報計算FX調整!J169</f>
        <v>-4735.1012610412945</v>
      </c>
      <c r="D167" s="9"/>
      <c r="F167" s="3">
        <v>154</v>
      </c>
      <c r="G167" s="27">
        <f>SMALL(③回報計算FX調整!$J$16:$J$265,154)</f>
        <v>11655.577447243233</v>
      </c>
      <c r="H167" s="9"/>
      <c r="I167" s="9"/>
    </row>
    <row r="168" spans="1:9" x14ac:dyDescent="0.25">
      <c r="A168" s="3">
        <v>155</v>
      </c>
      <c r="B168" s="3" t="s">
        <v>209</v>
      </c>
      <c r="C168" s="27">
        <f>③回報計算FX調整!J170</f>
        <v>6598.6020385782185</v>
      </c>
      <c r="D168" s="9"/>
      <c r="F168" s="3">
        <v>155</v>
      </c>
      <c r="G168" s="27">
        <f>SMALL(③回報計算FX調整!$J$16:$J$265,155)</f>
        <v>11837.447510653627</v>
      </c>
      <c r="H168" s="9"/>
      <c r="I168" s="9"/>
    </row>
    <row r="169" spans="1:9" x14ac:dyDescent="0.25">
      <c r="A169" s="3">
        <v>156</v>
      </c>
      <c r="B169" s="3" t="s">
        <v>210</v>
      </c>
      <c r="C169" s="27">
        <f>③回報計算FX調整!J171</f>
        <v>2676.4803203067709</v>
      </c>
      <c r="D169" s="9"/>
      <c r="F169" s="3">
        <v>156</v>
      </c>
      <c r="G169" s="27">
        <f>SMALL(③回報計算FX調整!$J$16:$J$265,156)</f>
        <v>11842.698913983262</v>
      </c>
      <c r="H169" s="9"/>
      <c r="I169" s="9"/>
    </row>
    <row r="170" spans="1:9" x14ac:dyDescent="0.25">
      <c r="A170" s="3">
        <v>157</v>
      </c>
      <c r="B170" s="3" t="s">
        <v>211</v>
      </c>
      <c r="C170" s="28">
        <f>③回報計算FX調整!J172</f>
        <v>-10205.614398670285</v>
      </c>
      <c r="D170" s="9"/>
      <c r="F170" s="3">
        <v>157</v>
      </c>
      <c r="G170" s="27">
        <f>SMALL(③回報計算FX調整!$J$16:$J$265,157)</f>
        <v>12131.451315703793</v>
      </c>
      <c r="H170" s="9"/>
      <c r="I170" s="9"/>
    </row>
    <row r="171" spans="1:9" x14ac:dyDescent="0.25">
      <c r="A171" s="3">
        <v>158</v>
      </c>
      <c r="B171" s="3" t="s">
        <v>212</v>
      </c>
      <c r="C171" s="28">
        <f>③回報計算FX調整!J173</f>
        <v>-51113.727503412018</v>
      </c>
      <c r="D171" s="9"/>
      <c r="F171" s="3">
        <v>158</v>
      </c>
      <c r="G171" s="27">
        <f>SMALL(③回報計算FX調整!$J$16:$J$265,158)</f>
        <v>12148.250505602013</v>
      </c>
      <c r="H171" s="9"/>
      <c r="I171" s="9"/>
    </row>
    <row r="172" spans="1:9" x14ac:dyDescent="0.25">
      <c r="A172" s="3">
        <v>159</v>
      </c>
      <c r="B172" s="3" t="s">
        <v>213</v>
      </c>
      <c r="C172" s="27">
        <f>③回報計算FX調整!J174</f>
        <v>16392.99134266912</v>
      </c>
      <c r="D172" s="9"/>
      <c r="F172" s="3">
        <v>159</v>
      </c>
      <c r="G172" s="27">
        <f>SMALL(③回報計算FX調整!$J$16:$J$265,159)</f>
        <v>12388.310510339199</v>
      </c>
      <c r="H172" s="9"/>
      <c r="I172" s="9"/>
    </row>
    <row r="173" spans="1:9" x14ac:dyDescent="0.25">
      <c r="A173" s="3">
        <v>160</v>
      </c>
      <c r="B173" s="3" t="s">
        <v>214</v>
      </c>
      <c r="C173" s="27">
        <f>③回報計算FX調整!J175</f>
        <v>37275.608773830354</v>
      </c>
      <c r="D173" s="9"/>
      <c r="F173" s="3">
        <v>160</v>
      </c>
      <c r="G173" s="27">
        <f>SMALL(③回報計算FX調整!$J$16:$J$265,160)</f>
        <v>12879.216790246943</v>
      </c>
      <c r="H173" s="9"/>
      <c r="I173" s="9"/>
    </row>
    <row r="174" spans="1:9" x14ac:dyDescent="0.25">
      <c r="A174" s="3">
        <v>161</v>
      </c>
      <c r="B174" s="3" t="s">
        <v>215</v>
      </c>
      <c r="C174" s="28">
        <f>③回報計算FX調整!J176</f>
        <v>-18192.251322486445</v>
      </c>
      <c r="D174" s="9"/>
      <c r="F174" s="3">
        <v>161</v>
      </c>
      <c r="G174" s="27">
        <f>SMALL(③回報計算FX調整!$J$16:$J$265,161)</f>
        <v>13440.304334389824</v>
      </c>
      <c r="H174" s="9"/>
      <c r="I174" s="9"/>
    </row>
    <row r="175" spans="1:9" x14ac:dyDescent="0.25">
      <c r="A175" s="3">
        <v>162</v>
      </c>
      <c r="B175" s="3" t="s">
        <v>216</v>
      </c>
      <c r="C175" s="27">
        <f>③回報計算FX調整!J177</f>
        <v>9504.5615148542129</v>
      </c>
      <c r="D175" s="9"/>
      <c r="F175" s="3">
        <v>162</v>
      </c>
      <c r="G175" s="27">
        <f>SMALL(③回報計算FX調整!$J$16:$J$265,162)</f>
        <v>14302.265603867956</v>
      </c>
      <c r="H175" s="9"/>
      <c r="I175" s="9"/>
    </row>
    <row r="176" spans="1:9" x14ac:dyDescent="0.25">
      <c r="A176" s="3">
        <v>163</v>
      </c>
      <c r="B176" s="3" t="s">
        <v>217</v>
      </c>
      <c r="C176" s="27">
        <f>③回報計算FX調整!J178</f>
        <v>60564.384541572013</v>
      </c>
      <c r="D176" s="9"/>
      <c r="F176" s="3">
        <v>163</v>
      </c>
      <c r="G176" s="27">
        <f>SMALL(③回報計算FX調整!$J$16:$J$265,163)</f>
        <v>14327.483200589817</v>
      </c>
      <c r="H176" s="9"/>
      <c r="I176" s="9"/>
    </row>
    <row r="177" spans="1:9" x14ac:dyDescent="0.25">
      <c r="A177" s="3">
        <v>164</v>
      </c>
      <c r="B177" s="3" t="s">
        <v>218</v>
      </c>
      <c r="C177" s="28">
        <f>③回報計算FX調整!J179</f>
        <v>-24781.707187107746</v>
      </c>
      <c r="D177" s="9"/>
      <c r="F177" s="3">
        <v>164</v>
      </c>
      <c r="G177" s="27">
        <f>SMALL(③回報計算FX調整!$J$16:$J$265,164)</f>
        <v>14618.265947619397</v>
      </c>
      <c r="H177" s="9"/>
      <c r="I177" s="9"/>
    </row>
    <row r="178" spans="1:9" x14ac:dyDescent="0.25">
      <c r="A178" s="3">
        <v>165</v>
      </c>
      <c r="B178" s="3" t="s">
        <v>219</v>
      </c>
      <c r="C178" s="28">
        <f>③回報計算FX調整!J180</f>
        <v>-11873.51863010431</v>
      </c>
      <c r="D178" s="9"/>
      <c r="F178" s="3">
        <v>165</v>
      </c>
      <c r="G178" s="27">
        <f>SMALL(③回報計算FX調整!$J$16:$J$265,165)</f>
        <v>15183.567931895306</v>
      </c>
      <c r="H178" s="9"/>
      <c r="I178" s="9"/>
    </row>
    <row r="179" spans="1:9" x14ac:dyDescent="0.25">
      <c r="A179" s="3">
        <v>166</v>
      </c>
      <c r="B179" s="3" t="s">
        <v>220</v>
      </c>
      <c r="C179" s="27">
        <f>③回報計算FX調整!J181</f>
        <v>22234.773074818771</v>
      </c>
      <c r="D179" s="9"/>
      <c r="F179" s="3">
        <v>166</v>
      </c>
      <c r="G179" s="27">
        <f>SMALL(③回報計算FX調整!$J$16:$J$265,166)</f>
        <v>16249.918967902911</v>
      </c>
      <c r="H179" s="9"/>
      <c r="I179" s="9"/>
    </row>
    <row r="180" spans="1:9" x14ac:dyDescent="0.25">
      <c r="A180" s="3">
        <v>167</v>
      </c>
      <c r="B180" s="3" t="s">
        <v>221</v>
      </c>
      <c r="C180" s="27">
        <f>③回報計算FX調整!J182</f>
        <v>46825.611017164512</v>
      </c>
      <c r="D180" s="9"/>
      <c r="F180" s="3">
        <v>167</v>
      </c>
      <c r="G180" s="27">
        <f>SMALL(③回報計算FX調整!$J$16:$J$265,167)</f>
        <v>16392.99134266912</v>
      </c>
      <c r="H180" s="9"/>
      <c r="I180" s="9"/>
    </row>
    <row r="181" spans="1:9" x14ac:dyDescent="0.25">
      <c r="A181" s="3">
        <v>168</v>
      </c>
      <c r="B181" s="3" t="s">
        <v>222</v>
      </c>
      <c r="C181" s="27">
        <f>③回報計算FX調整!J183</f>
        <v>16249.918967902911</v>
      </c>
      <c r="D181" s="9"/>
      <c r="F181" s="3">
        <v>168</v>
      </c>
      <c r="G181" s="27">
        <f>SMALL(③回報計算FX調整!$J$16:$J$265,168)</f>
        <v>17225.317102389516</v>
      </c>
      <c r="H181" s="9"/>
      <c r="I181" s="9"/>
    </row>
    <row r="182" spans="1:9" x14ac:dyDescent="0.25">
      <c r="A182" s="3">
        <v>169</v>
      </c>
      <c r="B182" s="3" t="s">
        <v>223</v>
      </c>
      <c r="C182" s="28">
        <f>③回報計算FX調整!J184</f>
        <v>-559.11641863844818</v>
      </c>
      <c r="D182" s="9"/>
      <c r="F182" s="3">
        <v>169</v>
      </c>
      <c r="G182" s="27">
        <f>SMALL(③回報計算FX調整!$J$16:$J$265,169)</f>
        <v>17396.42471384097</v>
      </c>
      <c r="H182" s="9"/>
      <c r="I182" s="9"/>
    </row>
    <row r="183" spans="1:9" x14ac:dyDescent="0.25">
      <c r="A183" s="3">
        <v>170</v>
      </c>
      <c r="B183" s="3" t="s">
        <v>224</v>
      </c>
      <c r="C183" s="27">
        <f>③回報計算FX調整!J185</f>
        <v>18470.774765658116</v>
      </c>
      <c r="D183" s="9"/>
      <c r="F183" s="3">
        <v>170</v>
      </c>
      <c r="G183" s="27">
        <f>SMALL(③回報計算FX調整!$J$16:$J$265,170)</f>
        <v>17579.321061373532</v>
      </c>
      <c r="H183" s="9"/>
      <c r="I183" s="9"/>
    </row>
    <row r="184" spans="1:9" x14ac:dyDescent="0.25">
      <c r="A184" s="3">
        <v>171</v>
      </c>
      <c r="B184" s="3" t="s">
        <v>225</v>
      </c>
      <c r="C184" s="28">
        <f>③回報計算FX調整!J186</f>
        <v>-17887.660136923863</v>
      </c>
      <c r="D184" s="9"/>
      <c r="F184" s="3">
        <v>171</v>
      </c>
      <c r="G184" s="27">
        <f>SMALL(③回報計算FX調整!$J$16:$J$265,171)</f>
        <v>17937.860924941328</v>
      </c>
      <c r="H184" s="9"/>
      <c r="I184" s="9"/>
    </row>
    <row r="185" spans="1:9" x14ac:dyDescent="0.25">
      <c r="A185" s="3">
        <v>172</v>
      </c>
      <c r="B185" s="3" t="s">
        <v>226</v>
      </c>
      <c r="C185" s="27">
        <f>③回報計算FX調整!J187</f>
        <v>12388.310510339199</v>
      </c>
      <c r="D185" s="9"/>
      <c r="F185" s="3">
        <v>172</v>
      </c>
      <c r="G185" s="27">
        <f>SMALL(③回報計算FX調整!$J$16:$J$265,172)</f>
        <v>18118.498032722411</v>
      </c>
      <c r="H185" s="9"/>
      <c r="I185" s="9"/>
    </row>
    <row r="186" spans="1:9" x14ac:dyDescent="0.25">
      <c r="A186" s="3">
        <v>173</v>
      </c>
      <c r="B186" s="3" t="s">
        <v>227</v>
      </c>
      <c r="C186" s="28">
        <f>③回報計算FX調整!J188</f>
        <v>-3357.268108656569</v>
      </c>
      <c r="D186" s="9"/>
      <c r="F186" s="3">
        <v>173</v>
      </c>
      <c r="G186" s="27">
        <f>SMALL(③回報計算FX調整!$J$16:$J$265,173)</f>
        <v>18470.774765658116</v>
      </c>
      <c r="H186" s="9"/>
      <c r="I186" s="9"/>
    </row>
    <row r="187" spans="1:9" x14ac:dyDescent="0.25">
      <c r="A187" s="3">
        <v>174</v>
      </c>
      <c r="B187" s="3" t="s">
        <v>228</v>
      </c>
      <c r="C187" s="27">
        <f>③回報計算FX調整!J189</f>
        <v>38823.962010580282</v>
      </c>
      <c r="D187" s="9"/>
      <c r="F187" s="3">
        <v>174</v>
      </c>
      <c r="G187" s="27">
        <f>SMALL(③回報計算FX調整!$J$16:$J$265,174)</f>
        <v>18614.325017245697</v>
      </c>
      <c r="H187" s="9"/>
      <c r="I187" s="9"/>
    </row>
    <row r="188" spans="1:9" x14ac:dyDescent="0.25">
      <c r="A188" s="3">
        <v>175</v>
      </c>
      <c r="B188" s="3" t="s">
        <v>229</v>
      </c>
      <c r="C188" s="27">
        <f>③回報計算FX調整!J190</f>
        <v>34461.727527207695</v>
      </c>
      <c r="D188" s="9"/>
      <c r="F188" s="3">
        <v>175</v>
      </c>
      <c r="G188" s="27">
        <f>SMALL(③回報計算FX調整!$J$16:$J$265,175)</f>
        <v>18683.829756169642</v>
      </c>
      <c r="H188" s="9"/>
      <c r="I188" s="9"/>
    </row>
    <row r="189" spans="1:9" x14ac:dyDescent="0.25">
      <c r="A189" s="3">
        <v>176</v>
      </c>
      <c r="B189" s="3" t="s">
        <v>230</v>
      </c>
      <c r="C189" s="27">
        <f>③回報計算FX調整!J191</f>
        <v>41171.836895952278</v>
      </c>
      <c r="D189" s="9"/>
      <c r="F189" s="3">
        <v>176</v>
      </c>
      <c r="G189" s="27">
        <f>SMALL(③回報計算FX調整!$J$16:$J$265,176)</f>
        <v>18962.23990220419</v>
      </c>
      <c r="H189" s="9"/>
      <c r="I189" s="9"/>
    </row>
    <row r="190" spans="1:9" x14ac:dyDescent="0.25">
      <c r="A190" s="3">
        <v>177</v>
      </c>
      <c r="B190" s="3" t="s">
        <v>231</v>
      </c>
      <c r="C190" s="28">
        <f>③回報計算FX調整!J192</f>
        <v>-34966.558823742758</v>
      </c>
      <c r="D190" s="9"/>
      <c r="F190" s="3">
        <v>177</v>
      </c>
      <c r="G190" s="27">
        <f>SMALL(③回報計算FX調整!$J$16:$J$265,177)</f>
        <v>19565.951577762131</v>
      </c>
      <c r="H190" s="9"/>
      <c r="I190" s="9"/>
    </row>
    <row r="191" spans="1:9" x14ac:dyDescent="0.25">
      <c r="A191" s="3">
        <v>178</v>
      </c>
      <c r="B191" s="3" t="s">
        <v>232</v>
      </c>
      <c r="C191" s="27">
        <f>③回報計算FX調整!J193</f>
        <v>11842.698913983262</v>
      </c>
      <c r="D191" s="9"/>
      <c r="F191" s="3">
        <v>178</v>
      </c>
      <c r="G191" s="27">
        <f>SMALL(③回報計算FX調整!$J$16:$J$265,178)</f>
        <v>19932.363044969348</v>
      </c>
      <c r="H191" s="9"/>
      <c r="I191" s="9"/>
    </row>
    <row r="192" spans="1:9" x14ac:dyDescent="0.25">
      <c r="A192" s="3">
        <v>179</v>
      </c>
      <c r="B192" s="3" t="s">
        <v>233</v>
      </c>
      <c r="C192" s="27">
        <f>③回報計算FX調整!J194</f>
        <v>8397.5951890837587</v>
      </c>
      <c r="D192" s="9"/>
      <c r="F192" s="3">
        <v>179</v>
      </c>
      <c r="G192" s="27">
        <f>SMALL(③回報計算FX調整!$J$16:$J$265,179)</f>
        <v>21208.08952733516</v>
      </c>
      <c r="H192" s="9"/>
      <c r="I192" s="9"/>
    </row>
    <row r="193" spans="1:9" x14ac:dyDescent="0.25">
      <c r="A193" s="3">
        <v>180</v>
      </c>
      <c r="B193" s="3" t="s">
        <v>234</v>
      </c>
      <c r="C193" s="27">
        <f>③回報計算FX調整!J195</f>
        <v>13440.304334389824</v>
      </c>
      <c r="D193" s="9"/>
      <c r="F193" s="3">
        <v>180</v>
      </c>
      <c r="G193" s="27">
        <f>SMALL(③回報計算FX調整!$J$16:$J$265,180)</f>
        <v>22234.773074818771</v>
      </c>
      <c r="H193" s="9"/>
      <c r="I193" s="9"/>
    </row>
    <row r="194" spans="1:9" x14ac:dyDescent="0.25">
      <c r="A194" s="3">
        <v>181</v>
      </c>
      <c r="B194" s="3" t="s">
        <v>235</v>
      </c>
      <c r="C194" s="28">
        <f>③回報計算FX調整!J196</f>
        <v>-52728.707526576778</v>
      </c>
      <c r="D194" s="9"/>
      <c r="F194" s="3">
        <v>181</v>
      </c>
      <c r="G194" s="27">
        <f>SMALL(③回報計算FX調整!$J$16:$J$265,181)</f>
        <v>22235.418913653873</v>
      </c>
      <c r="H194" s="9"/>
      <c r="I194" s="9"/>
    </row>
    <row r="195" spans="1:9" x14ac:dyDescent="0.25">
      <c r="A195" s="3">
        <v>182</v>
      </c>
      <c r="B195" s="3" t="s">
        <v>236</v>
      </c>
      <c r="C195" s="27">
        <f>③回報計算FX調整!J197</f>
        <v>30549.950188718238</v>
      </c>
      <c r="D195" s="9"/>
      <c r="F195" s="3">
        <v>182</v>
      </c>
      <c r="G195" s="27">
        <f>SMALL(③回報計算FX調整!$J$16:$J$265,182)</f>
        <v>22301.809593797694</v>
      </c>
      <c r="H195" s="9"/>
      <c r="I195" s="9"/>
    </row>
    <row r="196" spans="1:9" x14ac:dyDescent="0.25">
      <c r="A196" s="3">
        <v>183</v>
      </c>
      <c r="B196" s="3" t="s">
        <v>237</v>
      </c>
      <c r="C196" s="27">
        <f>③回報計算FX調整!J198</f>
        <v>7940.8824966480597</v>
      </c>
      <c r="D196" s="9"/>
      <c r="F196" s="3">
        <v>183</v>
      </c>
      <c r="G196" s="27">
        <f>SMALL(③回報計算FX調整!$J$16:$J$265,183)</f>
        <v>22827.425917485012</v>
      </c>
      <c r="H196" s="9"/>
      <c r="I196" s="9"/>
    </row>
    <row r="197" spans="1:9" x14ac:dyDescent="0.25">
      <c r="A197" s="3">
        <v>184</v>
      </c>
      <c r="B197" s="3" t="s">
        <v>238</v>
      </c>
      <c r="C197" s="27">
        <f>③回報計算FX調整!J199</f>
        <v>19565.951577762131</v>
      </c>
      <c r="D197" s="9"/>
      <c r="F197" s="3">
        <v>184</v>
      </c>
      <c r="G197" s="27">
        <f>SMALL(③回報計算FX調整!$J$16:$J$265,184)</f>
        <v>23348.432786209738</v>
      </c>
      <c r="H197" s="9"/>
      <c r="I197" s="9"/>
    </row>
    <row r="198" spans="1:9" x14ac:dyDescent="0.25">
      <c r="A198" s="3">
        <v>185</v>
      </c>
      <c r="B198" s="3" t="s">
        <v>239</v>
      </c>
      <c r="C198" s="27">
        <f>③回報計算FX調整!J200</f>
        <v>14302.265603867956</v>
      </c>
      <c r="D198" s="9"/>
      <c r="F198" s="3">
        <v>185</v>
      </c>
      <c r="G198" s="27">
        <f>SMALL(③回報計算FX調整!$J$16:$J$265,185)</f>
        <v>23349.468174439418</v>
      </c>
      <c r="H198" s="9"/>
      <c r="I198" s="9"/>
    </row>
    <row r="199" spans="1:9" x14ac:dyDescent="0.25">
      <c r="A199" s="3">
        <v>186</v>
      </c>
      <c r="B199" s="3" t="s">
        <v>240</v>
      </c>
      <c r="C199" s="27">
        <f>③回報計算FX調整!J201</f>
        <v>44789.549219019005</v>
      </c>
      <c r="D199" s="9"/>
      <c r="F199" s="3">
        <v>186</v>
      </c>
      <c r="G199" s="27">
        <f>SMALL(③回報計算FX調整!$J$16:$J$265,186)</f>
        <v>23734.993130065573</v>
      </c>
      <c r="H199" s="9"/>
      <c r="I199" s="9"/>
    </row>
    <row r="200" spans="1:9" x14ac:dyDescent="0.25">
      <c r="A200" s="3">
        <v>187</v>
      </c>
      <c r="B200" s="3" t="s">
        <v>241</v>
      </c>
      <c r="C200" s="27">
        <f>③回報計算FX調整!J202</f>
        <v>770.77784919432963</v>
      </c>
      <c r="D200" s="9"/>
      <c r="F200" s="3">
        <v>187</v>
      </c>
      <c r="G200" s="27">
        <f>SMALL(③回報計算FX調整!$J$16:$J$265,187)</f>
        <v>23929.352196330921</v>
      </c>
      <c r="H200" s="9"/>
      <c r="I200" s="9"/>
    </row>
    <row r="201" spans="1:9" x14ac:dyDescent="0.25">
      <c r="A201" s="3">
        <v>188</v>
      </c>
      <c r="B201" s="3" t="s">
        <v>242</v>
      </c>
      <c r="C201" s="27">
        <f>③回報計算FX調整!J203</f>
        <v>39280.565767338361</v>
      </c>
      <c r="D201" s="9"/>
      <c r="F201" s="3">
        <v>188</v>
      </c>
      <c r="G201" s="27">
        <f>SMALL(③回報計算FX調整!$J$16:$J$265,188)</f>
        <v>24057.99042054814</v>
      </c>
      <c r="H201" s="9"/>
      <c r="I201" s="9"/>
    </row>
    <row r="202" spans="1:9" x14ac:dyDescent="0.25">
      <c r="A202" s="3">
        <v>189</v>
      </c>
      <c r="B202" s="3" t="s">
        <v>243</v>
      </c>
      <c r="C202" s="27">
        <f>③回報計算FX調整!J204</f>
        <v>8343.5125952161197</v>
      </c>
      <c r="D202" s="9"/>
      <c r="F202" s="3">
        <v>189</v>
      </c>
      <c r="G202" s="27">
        <f>SMALL(③回報計算FX調整!$J$16:$J$265,189)</f>
        <v>24393.250972881349</v>
      </c>
      <c r="H202" s="9"/>
      <c r="I202" s="9"/>
    </row>
    <row r="203" spans="1:9" x14ac:dyDescent="0.25">
      <c r="A203" s="3">
        <v>190</v>
      </c>
      <c r="B203" s="3" t="s">
        <v>244</v>
      </c>
      <c r="C203" s="27">
        <f>③回報計算FX調整!J205</f>
        <v>18118.498032722411</v>
      </c>
      <c r="D203" s="9"/>
      <c r="F203" s="3">
        <v>190</v>
      </c>
      <c r="G203" s="27">
        <f>SMALL(③回報計算FX調整!$J$16:$J$265,190)</f>
        <v>25164.479470611743</v>
      </c>
      <c r="H203" s="9"/>
      <c r="I203" s="9"/>
    </row>
    <row r="204" spans="1:9" x14ac:dyDescent="0.25">
      <c r="A204" s="3">
        <v>191</v>
      </c>
      <c r="B204" s="3" t="s">
        <v>245</v>
      </c>
      <c r="C204" s="27">
        <f>③回報計算FX調整!J206</f>
        <v>17937.860924941328</v>
      </c>
      <c r="D204" s="9"/>
      <c r="F204" s="3">
        <v>191</v>
      </c>
      <c r="G204" s="27">
        <f>SMALL(③回報計算FX調整!$J$16:$J$265,191)</f>
        <v>25205.371905238491</v>
      </c>
      <c r="H204" s="9"/>
      <c r="I204" s="9"/>
    </row>
    <row r="205" spans="1:9" x14ac:dyDescent="0.25">
      <c r="A205" s="3">
        <v>192</v>
      </c>
      <c r="B205" s="3" t="s">
        <v>246</v>
      </c>
      <c r="C205" s="28">
        <f>③回報計算FX調整!J207</f>
        <v>-38514.415932369011</v>
      </c>
      <c r="D205" s="9"/>
      <c r="F205" s="3">
        <v>192</v>
      </c>
      <c r="G205" s="27">
        <f>SMALL(③回報計算FX調整!$J$16:$J$265,192)</f>
        <v>25273.036748666567</v>
      </c>
      <c r="H205" s="9"/>
      <c r="I205" s="9"/>
    </row>
    <row r="206" spans="1:9" x14ac:dyDescent="0.25">
      <c r="A206" s="3">
        <v>193</v>
      </c>
      <c r="B206" s="3" t="s">
        <v>247</v>
      </c>
      <c r="C206" s="27">
        <f>③回報計算FX調整!J208</f>
        <v>11837.447510653627</v>
      </c>
      <c r="D206" s="9"/>
      <c r="F206" s="3">
        <v>193</v>
      </c>
      <c r="G206" s="27">
        <f>SMALL(③回報計算FX調整!$J$16:$J$265,193)</f>
        <v>26511.012514638212</v>
      </c>
      <c r="H206" s="9"/>
      <c r="I206" s="9"/>
    </row>
    <row r="207" spans="1:9" x14ac:dyDescent="0.25">
      <c r="A207" s="3">
        <v>194</v>
      </c>
      <c r="B207" s="3" t="s">
        <v>248</v>
      </c>
      <c r="C207" s="28">
        <f>③回報計算FX調整!J209</f>
        <v>-16329.901701532115</v>
      </c>
      <c r="D207" s="9"/>
      <c r="F207" s="3">
        <v>194</v>
      </c>
      <c r="G207" s="27">
        <f>SMALL(③回報計算FX調整!$J$16:$J$265,194)</f>
        <v>27085.485907513499</v>
      </c>
      <c r="H207" s="9"/>
      <c r="I207" s="9"/>
    </row>
    <row r="208" spans="1:9" x14ac:dyDescent="0.25">
      <c r="A208" s="3">
        <v>195</v>
      </c>
      <c r="B208" s="3" t="s">
        <v>249</v>
      </c>
      <c r="C208" s="27">
        <f>③回報計算FX調整!J210</f>
        <v>32729.050786995678</v>
      </c>
      <c r="D208" s="9"/>
      <c r="F208" s="3">
        <v>195</v>
      </c>
      <c r="G208" s="27">
        <f>SMALL(③回報計算FX調整!$J$16:$J$265,195)</f>
        <v>27736.210991343338</v>
      </c>
      <c r="H208" s="9"/>
      <c r="I208" s="9"/>
    </row>
    <row r="209" spans="1:9" x14ac:dyDescent="0.25">
      <c r="A209" s="3">
        <v>196</v>
      </c>
      <c r="B209" s="3" t="s">
        <v>250</v>
      </c>
      <c r="C209" s="28">
        <f>③回報計算FX調整!J211</f>
        <v>-29951.709277512124</v>
      </c>
      <c r="D209" s="9"/>
      <c r="F209" s="3">
        <v>196</v>
      </c>
      <c r="G209" s="27">
        <f>SMALL(③回報計算FX調整!$J$16:$J$265,196)</f>
        <v>27756.067239999455</v>
      </c>
      <c r="H209" s="9"/>
      <c r="I209" s="9"/>
    </row>
    <row r="210" spans="1:9" x14ac:dyDescent="0.25">
      <c r="A210" s="3">
        <v>197</v>
      </c>
      <c r="B210" s="3" t="s">
        <v>251</v>
      </c>
      <c r="C210" s="27">
        <f>③回報計算FX調整!J212</f>
        <v>24393.250972881349</v>
      </c>
      <c r="D210" s="9"/>
      <c r="F210" s="3">
        <v>197</v>
      </c>
      <c r="G210" s="27">
        <f>SMALL(③回報計算FX調整!$J$16:$J$265,197)</f>
        <v>27833.393777686149</v>
      </c>
      <c r="H210" s="9"/>
      <c r="I210" s="9"/>
    </row>
    <row r="211" spans="1:9" x14ac:dyDescent="0.25">
      <c r="A211" s="3">
        <v>198</v>
      </c>
      <c r="B211" s="3" t="s">
        <v>252</v>
      </c>
      <c r="C211" s="27">
        <f>③回報計算FX調整!J213</f>
        <v>23349.468174439418</v>
      </c>
      <c r="D211" s="9"/>
      <c r="F211" s="3">
        <v>198</v>
      </c>
      <c r="G211" s="27">
        <f>SMALL(③回報計算FX調整!$J$16:$J$265,198)</f>
        <v>27862.302700236985</v>
      </c>
      <c r="H211" s="9"/>
      <c r="I211" s="9"/>
    </row>
    <row r="212" spans="1:9" x14ac:dyDescent="0.25">
      <c r="A212" s="3">
        <v>199</v>
      </c>
      <c r="B212" s="3" t="s">
        <v>253</v>
      </c>
      <c r="C212" s="28">
        <f>③回報計算FX調整!J214</f>
        <v>-29986.029208095013</v>
      </c>
      <c r="D212" s="9"/>
      <c r="F212" s="3">
        <v>199</v>
      </c>
      <c r="G212" s="27">
        <f>SMALL(③回報計算FX調整!$J$16:$J$265,199)</f>
        <v>28572.15358378589</v>
      </c>
      <c r="H212" s="9"/>
      <c r="I212" s="9"/>
    </row>
    <row r="213" spans="1:9" x14ac:dyDescent="0.25">
      <c r="A213" s="3">
        <v>200</v>
      </c>
      <c r="B213" s="3" t="s">
        <v>254</v>
      </c>
      <c r="C213" s="28">
        <f>③回報計算FX調整!J215</f>
        <v>-8767.4568812257276</v>
      </c>
      <c r="D213" s="9"/>
      <c r="F213" s="3">
        <v>200</v>
      </c>
      <c r="G213" s="27">
        <f>SMALL(③回報計算FX調整!$J$16:$J$265,200)</f>
        <v>28737.563739833367</v>
      </c>
      <c r="H213" s="9"/>
      <c r="I213" s="9"/>
    </row>
    <row r="214" spans="1:9" x14ac:dyDescent="0.25">
      <c r="A214" s="3">
        <v>201</v>
      </c>
      <c r="B214" s="3" t="s">
        <v>255</v>
      </c>
      <c r="C214" s="27">
        <f>③回報計算FX調整!J216</f>
        <v>39718.314857864301</v>
      </c>
      <c r="D214" s="9"/>
      <c r="F214" s="3">
        <v>201</v>
      </c>
      <c r="G214" s="27">
        <f>SMALL(③回報計算FX調整!$J$16:$J$265,201)</f>
        <v>28900.265570618769</v>
      </c>
      <c r="H214" s="9"/>
      <c r="I214" s="9"/>
    </row>
    <row r="215" spans="1:9" x14ac:dyDescent="0.25">
      <c r="A215" s="3">
        <v>202</v>
      </c>
      <c r="B215" s="3" t="s">
        <v>256</v>
      </c>
      <c r="C215" s="28">
        <f>③回報計算FX調整!J217</f>
        <v>-29024.63759600238</v>
      </c>
      <c r="D215" s="9"/>
      <c r="F215" s="3">
        <v>202</v>
      </c>
      <c r="G215" s="27">
        <f>SMALL(③回報計算FX調整!$J$16:$J$265,202)</f>
        <v>29528.6922234593</v>
      </c>
      <c r="H215" s="9"/>
      <c r="I215" s="9"/>
    </row>
    <row r="216" spans="1:9" x14ac:dyDescent="0.25">
      <c r="A216" s="3">
        <v>203</v>
      </c>
      <c r="B216" s="3" t="s">
        <v>257</v>
      </c>
      <c r="C216" s="27">
        <f>③回報計算FX調整!J218</f>
        <v>17579.321061373532</v>
      </c>
      <c r="D216" s="9"/>
      <c r="F216" s="3">
        <v>203</v>
      </c>
      <c r="G216" s="27">
        <f>SMALL(③回報計算FX調整!$J$16:$J$265,203)</f>
        <v>29997.10211594588</v>
      </c>
      <c r="H216" s="9"/>
      <c r="I216" s="9"/>
    </row>
    <row r="217" spans="1:9" x14ac:dyDescent="0.25">
      <c r="A217" s="3">
        <v>204</v>
      </c>
      <c r="B217" s="3" t="s">
        <v>258</v>
      </c>
      <c r="C217" s="27">
        <f>③回報計算FX調整!J219</f>
        <v>33173.610834733321</v>
      </c>
      <c r="D217" s="9"/>
      <c r="F217" s="3">
        <v>204</v>
      </c>
      <c r="G217" s="27">
        <f>SMALL(③回報計算FX調整!$J$16:$J$265,204)</f>
        <v>30549.950188718238</v>
      </c>
      <c r="H217" s="9"/>
      <c r="I217" s="9"/>
    </row>
    <row r="218" spans="1:9" x14ac:dyDescent="0.25">
      <c r="A218" s="3">
        <v>205</v>
      </c>
      <c r="B218" s="3" t="s">
        <v>259</v>
      </c>
      <c r="C218" s="28">
        <f>③回報計算FX調整!J220</f>
        <v>-18898.636378948693</v>
      </c>
      <c r="D218" s="9"/>
      <c r="F218" s="3">
        <v>205</v>
      </c>
      <c r="G218" s="27">
        <f>SMALL(③回報計算FX調整!$J$16:$J$265,205)</f>
        <v>31197.487230332776</v>
      </c>
      <c r="H218" s="9"/>
      <c r="I218" s="9"/>
    </row>
    <row r="219" spans="1:9" x14ac:dyDescent="0.25">
      <c r="A219" s="3">
        <v>206</v>
      </c>
      <c r="B219" s="3" t="s">
        <v>260</v>
      </c>
      <c r="C219" s="27">
        <f>③回報計算FX調整!J221</f>
        <v>10306.562738128603</v>
      </c>
      <c r="D219" s="9"/>
      <c r="F219" s="3">
        <v>206</v>
      </c>
      <c r="G219" s="27">
        <f>SMALL(③回報計算FX調整!$J$16:$J$265,206)</f>
        <v>31316.655530537213</v>
      </c>
      <c r="H219" s="9"/>
      <c r="I219" s="9"/>
    </row>
    <row r="220" spans="1:9" x14ac:dyDescent="0.25">
      <c r="A220" s="3">
        <v>207</v>
      </c>
      <c r="B220" s="3" t="s">
        <v>261</v>
      </c>
      <c r="C220" s="27">
        <f>③回報計算FX調整!J222</f>
        <v>81002.013418321018</v>
      </c>
      <c r="D220" s="9"/>
      <c r="F220" s="3">
        <v>207</v>
      </c>
      <c r="G220" s="27">
        <f>SMALL(③回報計算FX調整!$J$16:$J$265,207)</f>
        <v>31598.340428987838</v>
      </c>
      <c r="H220" s="9"/>
      <c r="I220" s="9"/>
    </row>
    <row r="221" spans="1:9" x14ac:dyDescent="0.25">
      <c r="A221" s="3">
        <v>208</v>
      </c>
      <c r="B221" s="3" t="s">
        <v>262</v>
      </c>
      <c r="C221" s="28">
        <f>③回報計算FX調整!J223</f>
        <v>-52018.438472527836</v>
      </c>
      <c r="D221" s="9"/>
      <c r="F221" s="3">
        <v>208</v>
      </c>
      <c r="G221" s="27">
        <f>SMALL(③回報計算FX調整!$J$16:$J$265,208)</f>
        <v>32409.438297864173</v>
      </c>
      <c r="H221" s="9"/>
      <c r="I221" s="9"/>
    </row>
    <row r="222" spans="1:9" x14ac:dyDescent="0.25">
      <c r="A222" s="3">
        <v>209</v>
      </c>
      <c r="B222" s="3" t="s">
        <v>263</v>
      </c>
      <c r="C222" s="27">
        <f>③回報計算FX調整!J224</f>
        <v>2313.0910239882173</v>
      </c>
      <c r="D222" s="9"/>
      <c r="F222" s="3">
        <v>209</v>
      </c>
      <c r="G222" s="27">
        <f>SMALL(③回報計算FX調整!$J$16:$J$265,209)</f>
        <v>32729.050786995678</v>
      </c>
      <c r="H222" s="9"/>
      <c r="I222" s="9"/>
    </row>
    <row r="223" spans="1:9" x14ac:dyDescent="0.25">
      <c r="A223" s="3">
        <v>210</v>
      </c>
      <c r="B223" s="3" t="s">
        <v>264</v>
      </c>
      <c r="C223" s="28">
        <f>③回報計算FX調整!J225</f>
        <v>-14054.708791306175</v>
      </c>
      <c r="D223" s="9"/>
      <c r="F223" s="3">
        <v>210</v>
      </c>
      <c r="G223" s="27">
        <f>SMALL(③回報計算FX調整!$J$16:$J$265,210)</f>
        <v>33173.610834733321</v>
      </c>
      <c r="H223" s="9"/>
      <c r="I223" s="9"/>
    </row>
    <row r="224" spans="1:9" x14ac:dyDescent="0.25">
      <c r="A224" s="3">
        <v>211</v>
      </c>
      <c r="B224" s="3" t="s">
        <v>265</v>
      </c>
      <c r="C224" s="28">
        <f>③回報計算FX調整!J226</f>
        <v>-27204.01444488368</v>
      </c>
      <c r="D224" s="9"/>
      <c r="F224" s="3">
        <v>211</v>
      </c>
      <c r="G224" s="27">
        <f>SMALL(③回報計算FX調整!$J$16:$J$265,211)</f>
        <v>33773.656266793296</v>
      </c>
      <c r="H224" s="9"/>
      <c r="I224" s="9"/>
    </row>
    <row r="225" spans="1:9" x14ac:dyDescent="0.25">
      <c r="A225" s="3">
        <v>212</v>
      </c>
      <c r="B225" s="3" t="s">
        <v>266</v>
      </c>
      <c r="C225" s="27">
        <f>③回報計算FX調整!J227</f>
        <v>26511.012514638212</v>
      </c>
      <c r="D225" s="9"/>
      <c r="F225" s="3">
        <v>212</v>
      </c>
      <c r="G225" s="27">
        <f>SMALL(③回報計算FX調整!$J$16:$J$265,212)</f>
        <v>33991.669234410343</v>
      </c>
      <c r="H225" s="9"/>
      <c r="I225" s="9"/>
    </row>
    <row r="226" spans="1:9" x14ac:dyDescent="0.25">
      <c r="A226" s="3">
        <v>213</v>
      </c>
      <c r="B226" s="3" t="s">
        <v>267</v>
      </c>
      <c r="C226" s="28">
        <f>③回報計算FX調整!J228</f>
        <v>-22593.183086799134</v>
      </c>
      <c r="D226" s="9"/>
      <c r="F226" s="3">
        <v>213</v>
      </c>
      <c r="G226" s="27">
        <f>SMALL(③回報計算FX調整!$J$16:$J$265,213)</f>
        <v>34109.622920201247</v>
      </c>
      <c r="H226" s="9"/>
      <c r="I226" s="9"/>
    </row>
    <row r="227" spans="1:9" x14ac:dyDescent="0.25">
      <c r="A227" s="3">
        <v>214</v>
      </c>
      <c r="B227" s="3" t="s">
        <v>268</v>
      </c>
      <c r="C227" s="27">
        <f>③回報計算FX調整!J229</f>
        <v>27085.485907513499</v>
      </c>
      <c r="D227" s="9"/>
      <c r="F227" s="3">
        <v>214</v>
      </c>
      <c r="G227" s="27">
        <f>SMALL(③回報計算FX調整!$J$16:$J$265,214)</f>
        <v>34461.727527207695</v>
      </c>
      <c r="H227" s="9"/>
      <c r="I227" s="9"/>
    </row>
    <row r="228" spans="1:9" x14ac:dyDescent="0.25">
      <c r="A228" s="3">
        <v>215</v>
      </c>
      <c r="B228" s="3" t="s">
        <v>269</v>
      </c>
      <c r="C228" s="27">
        <f>③回報計算FX調整!J230</f>
        <v>2876.9918462572082</v>
      </c>
      <c r="D228" s="9"/>
      <c r="F228" s="3">
        <v>215</v>
      </c>
      <c r="G228" s="27">
        <f>SMALL(③回報計算FX調整!$J$16:$J$265,215)</f>
        <v>34733.775254734282</v>
      </c>
      <c r="H228" s="9"/>
      <c r="I228" s="9"/>
    </row>
    <row r="229" spans="1:9" x14ac:dyDescent="0.25">
      <c r="A229" s="3">
        <v>216</v>
      </c>
      <c r="B229" s="3" t="s">
        <v>270</v>
      </c>
      <c r="C229" s="28">
        <f>③回報計算FX調整!J231</f>
        <v>-13938.3695886314</v>
      </c>
      <c r="D229" s="9"/>
      <c r="F229" s="3">
        <v>216</v>
      </c>
      <c r="G229" s="27">
        <f>SMALL(③回報計算FX調整!$J$16:$J$265,216)</f>
        <v>34946.893389150369</v>
      </c>
      <c r="H229" s="9"/>
      <c r="I229" s="9"/>
    </row>
    <row r="230" spans="1:9" x14ac:dyDescent="0.25">
      <c r="A230" s="3">
        <v>217</v>
      </c>
      <c r="B230" s="3" t="s">
        <v>271</v>
      </c>
      <c r="C230" s="28">
        <f>③回報計算FX調整!J232</f>
        <v>-5926.634914005861</v>
      </c>
      <c r="D230" s="9"/>
      <c r="F230" s="3">
        <v>217</v>
      </c>
      <c r="G230" s="27">
        <f>SMALL(③回報計算FX調整!$J$16:$J$265,217)</f>
        <v>37233.508997704725</v>
      </c>
      <c r="H230" s="9"/>
      <c r="I230" s="9"/>
    </row>
    <row r="231" spans="1:9" x14ac:dyDescent="0.25">
      <c r="A231" s="3">
        <v>218</v>
      </c>
      <c r="B231" s="3" t="s">
        <v>272</v>
      </c>
      <c r="C231" s="27">
        <f>③回報計算FX調整!J233</f>
        <v>9366.5918514639943</v>
      </c>
      <c r="D231" s="9"/>
      <c r="F231" s="3">
        <v>218</v>
      </c>
      <c r="G231" s="27">
        <f>SMALL(③回報計算FX調整!$J$16:$J$265,218)</f>
        <v>37275.608773830354</v>
      </c>
      <c r="H231" s="9"/>
      <c r="I231" s="9"/>
    </row>
    <row r="232" spans="1:9" x14ac:dyDescent="0.25">
      <c r="A232" s="3">
        <v>219</v>
      </c>
      <c r="B232" s="3" t="s">
        <v>273</v>
      </c>
      <c r="C232" s="27">
        <f>③回報計算FX調整!J234</f>
        <v>29528.6922234593</v>
      </c>
      <c r="D232" s="9"/>
      <c r="F232" s="3">
        <v>219</v>
      </c>
      <c r="G232" s="27">
        <f>SMALL(③回報計算FX調整!$J$16:$J$265,219)</f>
        <v>37337.468979943136</v>
      </c>
      <c r="H232" s="9"/>
      <c r="I232" s="9"/>
    </row>
    <row r="233" spans="1:9" x14ac:dyDescent="0.25">
      <c r="A233" s="3">
        <v>220</v>
      </c>
      <c r="B233" s="3" t="s">
        <v>274</v>
      </c>
      <c r="C233" s="27">
        <f>③回報計算FX調整!J235</f>
        <v>27756.067239999455</v>
      </c>
      <c r="D233" s="9"/>
      <c r="F233" s="3">
        <v>220</v>
      </c>
      <c r="G233" s="27">
        <f>SMALL(③回報計算FX調整!$J$16:$J$265,220)</f>
        <v>38823.962010580282</v>
      </c>
      <c r="H233" s="9"/>
      <c r="I233" s="9"/>
    </row>
    <row r="234" spans="1:9" x14ac:dyDescent="0.25">
      <c r="A234" s="3">
        <v>221</v>
      </c>
      <c r="B234" s="3" t="s">
        <v>275</v>
      </c>
      <c r="C234" s="27">
        <f>③回報計算FX調整!J236</f>
        <v>64301.24983367791</v>
      </c>
      <c r="D234" s="9"/>
      <c r="F234" s="3">
        <v>221</v>
      </c>
      <c r="G234" s="27">
        <f>SMALL(③回報計算FX調整!$J$16:$J$265,221)</f>
        <v>39020.205671221614</v>
      </c>
      <c r="H234" s="9"/>
      <c r="I234" s="9"/>
    </row>
    <row r="235" spans="1:9" x14ac:dyDescent="0.25">
      <c r="A235" s="3">
        <v>222</v>
      </c>
      <c r="B235" s="3" t="s">
        <v>276</v>
      </c>
      <c r="C235" s="27">
        <f>③回報計算FX調整!J237</f>
        <v>37233.508997704725</v>
      </c>
      <c r="D235" s="9"/>
      <c r="F235" s="3">
        <v>222</v>
      </c>
      <c r="G235" s="27">
        <f>SMALL(③回報計算FX調整!$J$16:$J$265,222)</f>
        <v>39280.565767338361</v>
      </c>
      <c r="H235" s="9"/>
      <c r="I235" s="9"/>
    </row>
    <row r="236" spans="1:9" x14ac:dyDescent="0.25">
      <c r="A236" s="3">
        <v>223</v>
      </c>
      <c r="B236" s="3" t="s">
        <v>277</v>
      </c>
      <c r="C236" s="28">
        <f>③回報計算FX調整!J238</f>
        <v>-22606.114451343667</v>
      </c>
      <c r="D236" s="9"/>
      <c r="F236" s="3">
        <v>223</v>
      </c>
      <c r="G236" s="27">
        <f>SMALL(③回報計算FX調整!$J$16:$J$265,223)</f>
        <v>39718.314857864301</v>
      </c>
      <c r="H236" s="9"/>
      <c r="I236" s="9"/>
    </row>
    <row r="237" spans="1:9" x14ac:dyDescent="0.25">
      <c r="A237" s="3">
        <v>224</v>
      </c>
      <c r="B237" s="3" t="s">
        <v>278</v>
      </c>
      <c r="C237" s="28">
        <f>③回報計算FX調整!J239</f>
        <v>-43967.452537341509</v>
      </c>
      <c r="D237" s="9"/>
      <c r="F237" s="3">
        <v>224</v>
      </c>
      <c r="G237" s="27">
        <f>SMALL(③回報計算FX調整!$J$16:$J$265,224)</f>
        <v>41171.836895952278</v>
      </c>
      <c r="H237" s="9"/>
      <c r="I237" s="9"/>
    </row>
    <row r="238" spans="1:9" x14ac:dyDescent="0.25">
      <c r="A238" s="3">
        <v>225</v>
      </c>
      <c r="B238" s="3" t="s">
        <v>279</v>
      </c>
      <c r="C238" s="28">
        <f>③回報計算FX調整!J240</f>
        <v>-30860.056510902999</v>
      </c>
      <c r="D238" s="9"/>
      <c r="F238" s="3">
        <v>225</v>
      </c>
      <c r="G238" s="27">
        <f>SMALL(③回報計算FX調整!$J$16:$J$265,225)</f>
        <v>43373.019859041386</v>
      </c>
      <c r="H238" s="9"/>
      <c r="I238" s="9"/>
    </row>
    <row r="239" spans="1:9" x14ac:dyDescent="0.25">
      <c r="A239" s="3">
        <v>226</v>
      </c>
      <c r="B239" s="3" t="s">
        <v>280</v>
      </c>
      <c r="C239" s="28">
        <f>③回報計算FX調整!J241</f>
        <v>-24740.662127076339</v>
      </c>
      <c r="D239" s="9"/>
      <c r="F239" s="3">
        <v>226</v>
      </c>
      <c r="G239" s="27">
        <f>SMALL(③回報計算FX調整!$J$16:$J$265,226)</f>
        <v>44384.617990235412</v>
      </c>
      <c r="H239" s="9"/>
      <c r="I239" s="9"/>
    </row>
    <row r="240" spans="1:9" x14ac:dyDescent="0.25">
      <c r="A240" s="3">
        <v>227</v>
      </c>
      <c r="B240" s="3" t="s">
        <v>281</v>
      </c>
      <c r="C240" s="28">
        <f>③回報計算FX調整!J242</f>
        <v>-12526.185286682268</v>
      </c>
      <c r="D240" s="9"/>
      <c r="F240" s="3">
        <v>227</v>
      </c>
      <c r="G240" s="27">
        <f>SMALL(③回報計算FX調整!$J$16:$J$265,227)</f>
        <v>44711.554131064564</v>
      </c>
      <c r="H240" s="9"/>
      <c r="I240" s="9"/>
    </row>
    <row r="241" spans="1:9" x14ac:dyDescent="0.25">
      <c r="A241" s="3">
        <v>228</v>
      </c>
      <c r="B241" s="3" t="s">
        <v>282</v>
      </c>
      <c r="C241" s="27">
        <f>③回報計算FX調整!J243</f>
        <v>3296.8598210370901</v>
      </c>
      <c r="D241" s="9"/>
      <c r="F241" s="3">
        <v>228</v>
      </c>
      <c r="G241" s="27">
        <f>SMALL(③回報計算FX調整!$J$16:$J$265,228)</f>
        <v>44789.549219019005</v>
      </c>
      <c r="H241" s="9"/>
      <c r="I241" s="9"/>
    </row>
    <row r="242" spans="1:9" x14ac:dyDescent="0.25">
      <c r="A242" s="3">
        <v>229</v>
      </c>
      <c r="B242" s="3" t="s">
        <v>283</v>
      </c>
      <c r="C242" s="28">
        <f>③回報計算FX調整!J244</f>
        <v>-43878.52962884408</v>
      </c>
      <c r="D242" s="9"/>
      <c r="F242" s="3">
        <v>229</v>
      </c>
      <c r="G242" s="27">
        <f>SMALL(③回報計算FX調整!$J$16:$J$265,229)</f>
        <v>46084.059640394313</v>
      </c>
      <c r="H242" s="9"/>
      <c r="I242" s="9"/>
    </row>
    <row r="243" spans="1:9" x14ac:dyDescent="0.25">
      <c r="A243" s="3">
        <v>230</v>
      </c>
      <c r="B243" s="3" t="s">
        <v>284</v>
      </c>
      <c r="C243" s="28">
        <f>③回報計算FX調整!J245</f>
        <v>-33826.567395613107</v>
      </c>
      <c r="D243" s="9"/>
      <c r="F243" s="3">
        <v>230</v>
      </c>
      <c r="G243" s="27">
        <f>SMALL(③回報計算FX調整!$J$16:$J$265,230)</f>
        <v>46643.728769512258</v>
      </c>
      <c r="H243" s="9"/>
      <c r="I243" s="9"/>
    </row>
    <row r="244" spans="1:9" x14ac:dyDescent="0.25">
      <c r="A244" s="3">
        <v>231</v>
      </c>
      <c r="B244" s="3" t="s">
        <v>285</v>
      </c>
      <c r="C244" s="28">
        <f>③回報計算FX調整!J246</f>
        <v>-27914.363983200376</v>
      </c>
      <c r="D244" s="9"/>
      <c r="F244" s="3">
        <v>231</v>
      </c>
      <c r="G244" s="27">
        <f>SMALL(③回報計算FX調整!$J$16:$J$265,231)</f>
        <v>46825.611017164512</v>
      </c>
      <c r="H244" s="9"/>
      <c r="I244" s="9"/>
    </row>
    <row r="245" spans="1:9" x14ac:dyDescent="0.25">
      <c r="A245" s="3">
        <v>232</v>
      </c>
      <c r="B245" s="3" t="s">
        <v>286</v>
      </c>
      <c r="C245" s="28">
        <f>③回報計算FX調整!J247</f>
        <v>-13634.490232790135</v>
      </c>
      <c r="D245" s="9"/>
      <c r="F245" s="3">
        <v>232</v>
      </c>
      <c r="G245" s="27">
        <f>SMALL(③回報計算FX調整!$J$16:$J$265,232)</f>
        <v>46847.636917725671</v>
      </c>
      <c r="H245" s="9"/>
      <c r="I245" s="9"/>
    </row>
    <row r="246" spans="1:9" x14ac:dyDescent="0.25">
      <c r="A246" s="3">
        <v>233</v>
      </c>
      <c r="B246" s="3" t="s">
        <v>287</v>
      </c>
      <c r="C246" s="27">
        <f>③回報計算FX調整!J248</f>
        <v>5570.5800404606698</v>
      </c>
      <c r="D246" s="9"/>
      <c r="F246" s="3">
        <v>233</v>
      </c>
      <c r="G246" s="27">
        <f>SMALL(③回報計算FX調整!$J$16:$J$265,233)</f>
        <v>51914.935300557037</v>
      </c>
      <c r="H246" s="9"/>
      <c r="I246" s="9"/>
    </row>
    <row r="247" spans="1:9" x14ac:dyDescent="0.25">
      <c r="A247" s="3">
        <v>234</v>
      </c>
      <c r="B247" s="3" t="s">
        <v>288</v>
      </c>
      <c r="C247" s="28">
        <f>③回報計算FX調整!J249</f>
        <v>-18367.172295430162</v>
      </c>
      <c r="D247" s="9"/>
      <c r="F247" s="3">
        <v>234</v>
      </c>
      <c r="G247" s="27">
        <f>SMALL(③回報計算FX調整!$J$16:$J$265,234)</f>
        <v>52557.772457118277</v>
      </c>
      <c r="H247" s="9"/>
      <c r="I247" s="9"/>
    </row>
    <row r="248" spans="1:9" x14ac:dyDescent="0.25">
      <c r="A248" s="3">
        <v>235</v>
      </c>
      <c r="B248" s="3" t="s">
        <v>289</v>
      </c>
      <c r="C248" s="28">
        <f>③回報計算FX調整!J250</f>
        <v>-5976.6659593305203</v>
      </c>
      <c r="D248" s="9"/>
      <c r="F248" s="3">
        <v>235</v>
      </c>
      <c r="G248" s="27">
        <f>SMALL(③回報計算FX調整!$J$16:$J$265,235)</f>
        <v>52582.711095269085</v>
      </c>
      <c r="H248" s="9"/>
      <c r="I248" s="9"/>
    </row>
    <row r="249" spans="1:9" x14ac:dyDescent="0.25">
      <c r="A249" s="3">
        <v>236</v>
      </c>
      <c r="B249" s="3" t="s">
        <v>290</v>
      </c>
      <c r="C249" s="27">
        <f>③回報計算FX調整!J251</f>
        <v>33773.656266793296</v>
      </c>
      <c r="D249" s="9"/>
      <c r="F249" s="3">
        <v>236</v>
      </c>
      <c r="G249" s="27">
        <f>SMALL(③回報計算FX調整!$J$16:$J$265,236)</f>
        <v>52696.244470385725</v>
      </c>
      <c r="H249" s="9"/>
      <c r="I249" s="9"/>
    </row>
    <row r="250" spans="1:9" x14ac:dyDescent="0.25">
      <c r="A250" s="3">
        <v>237</v>
      </c>
      <c r="B250" s="3" t="s">
        <v>291</v>
      </c>
      <c r="C250" s="28">
        <f>③回報計算FX調整!J252</f>
        <v>-11756.545186691539</v>
      </c>
      <c r="D250" s="9"/>
      <c r="F250" s="3">
        <v>237</v>
      </c>
      <c r="G250" s="27">
        <f>SMALL(③回報計算FX調整!$J$16:$J$265,237)</f>
        <v>53129.518298961346</v>
      </c>
      <c r="H250" s="9"/>
      <c r="I250" s="9"/>
    </row>
    <row r="251" spans="1:9" x14ac:dyDescent="0.25">
      <c r="A251" s="3">
        <v>238</v>
      </c>
      <c r="B251" s="3" t="s">
        <v>292</v>
      </c>
      <c r="C251" s="28">
        <f>③回報計算FX調整!J253</f>
        <v>-46763.646236251188</v>
      </c>
      <c r="D251" s="9"/>
      <c r="F251" s="3">
        <v>238</v>
      </c>
      <c r="G251" s="27">
        <f>SMALL(③回報計算FX調整!$J$16:$J$265,238)</f>
        <v>57440.868891362799</v>
      </c>
      <c r="H251" s="9"/>
      <c r="I251" s="9"/>
    </row>
    <row r="252" spans="1:9" x14ac:dyDescent="0.25">
      <c r="A252" s="3">
        <v>239</v>
      </c>
      <c r="B252" s="3" t="s">
        <v>293</v>
      </c>
      <c r="C252" s="27">
        <f>③回報計算FX調整!J254</f>
        <v>27862.302700236985</v>
      </c>
      <c r="D252" s="9"/>
      <c r="F252" s="3">
        <v>239</v>
      </c>
      <c r="G252" s="27">
        <f>SMALL(③回報計算FX調整!$J$16:$J$265,239)</f>
        <v>58505.82601628112</v>
      </c>
      <c r="H252" s="9"/>
      <c r="I252" s="9"/>
    </row>
    <row r="253" spans="1:9" x14ac:dyDescent="0.25">
      <c r="A253" s="3">
        <v>240</v>
      </c>
      <c r="B253" s="3" t="s">
        <v>294</v>
      </c>
      <c r="C253" s="28">
        <f>③回報計算FX調整!J255</f>
        <v>-23100.581282355801</v>
      </c>
      <c r="D253" s="9"/>
      <c r="F253" s="3">
        <v>240</v>
      </c>
      <c r="G253" s="27">
        <f>SMALL(③回報計算FX調整!$J$16:$J$265,240)</f>
        <v>58888.723562220657</v>
      </c>
      <c r="H253" s="9"/>
      <c r="I253" s="9"/>
    </row>
    <row r="254" spans="1:9" x14ac:dyDescent="0.25">
      <c r="A254" s="3">
        <v>241</v>
      </c>
      <c r="B254" s="3" t="s">
        <v>295</v>
      </c>
      <c r="C254" s="28">
        <f>③回報計算FX調整!J256</f>
        <v>-18071.378521637998</v>
      </c>
      <c r="D254" s="9"/>
      <c r="F254" s="3">
        <v>241</v>
      </c>
      <c r="G254" s="27">
        <f>SMALL(③回報計算FX調整!$J$16:$J$265,241)</f>
        <v>60564.384541572013</v>
      </c>
      <c r="H254" s="9"/>
      <c r="I254" s="9"/>
    </row>
    <row r="255" spans="1:9" x14ac:dyDescent="0.25">
      <c r="A255" s="3">
        <v>242</v>
      </c>
      <c r="B255" s="3" t="s">
        <v>296</v>
      </c>
      <c r="C255" s="28">
        <f>③回報計算FX調整!J257</f>
        <v>-26710.816131287324</v>
      </c>
      <c r="D255" s="9"/>
      <c r="F255" s="3">
        <v>242</v>
      </c>
      <c r="G255" s="27">
        <f>SMALL(③回報計算FX調整!$J$16:$J$265,242)</f>
        <v>61129.763801909052</v>
      </c>
      <c r="H255" s="9"/>
      <c r="I255" s="9"/>
    </row>
    <row r="256" spans="1:9" x14ac:dyDescent="0.25">
      <c r="A256" s="3">
        <v>243</v>
      </c>
      <c r="B256" s="3" t="s">
        <v>297</v>
      </c>
      <c r="C256" s="28">
        <f>③回報計算FX調整!J258</f>
        <v>-32664.162835763043</v>
      </c>
      <c r="D256" s="9"/>
      <c r="F256" s="3">
        <v>243</v>
      </c>
      <c r="G256" s="27">
        <f>SMALL(③回報計算FX調整!$J$16:$J$265,243)</f>
        <v>61350.009865638436</v>
      </c>
      <c r="H256" s="9"/>
      <c r="I256" s="9"/>
    </row>
    <row r="257" spans="1:12" x14ac:dyDescent="0.25">
      <c r="A257" s="3">
        <v>244</v>
      </c>
      <c r="B257" s="3" t="s">
        <v>298</v>
      </c>
      <c r="C257" s="27">
        <f>③回報計算FX調整!J259</f>
        <v>22827.425917485012</v>
      </c>
      <c r="D257" s="9"/>
      <c r="F257" s="3">
        <v>244</v>
      </c>
      <c r="G257" s="27">
        <f>SMALL(③回報計算FX調整!$J$16:$J$265,244)</f>
        <v>61424.7584210606</v>
      </c>
      <c r="H257" s="9"/>
      <c r="I257" s="9"/>
    </row>
    <row r="258" spans="1:12" x14ac:dyDescent="0.25">
      <c r="A258" s="3">
        <v>245</v>
      </c>
      <c r="B258" s="3" t="s">
        <v>299</v>
      </c>
      <c r="C258" s="28">
        <f>③回報計算FX調整!J260</f>
        <v>-34110.939416154608</v>
      </c>
      <c r="D258" s="9"/>
      <c r="F258" s="3">
        <v>245</v>
      </c>
      <c r="G258" s="27">
        <f>SMALL(③回報計算FX調整!$J$16:$J$265,245)</f>
        <v>64301.24983367791</v>
      </c>
      <c r="H258" s="9"/>
      <c r="I258" s="9"/>
    </row>
    <row r="259" spans="1:12" x14ac:dyDescent="0.25">
      <c r="A259" s="3">
        <v>246</v>
      </c>
      <c r="B259" s="3" t="s">
        <v>300</v>
      </c>
      <c r="C259" s="27">
        <f>③回報計算FX調整!J261</f>
        <v>8619.9761012159452</v>
      </c>
      <c r="D259" s="9"/>
      <c r="F259" s="3">
        <v>246</v>
      </c>
      <c r="G259" s="27">
        <f>SMALL(③回報計算FX調整!$J$16:$J$265,246)</f>
        <v>65294.736135659266</v>
      </c>
      <c r="H259" s="9"/>
      <c r="I259" s="9"/>
    </row>
    <row r="260" spans="1:12" x14ac:dyDescent="0.25">
      <c r="A260" s="3">
        <v>247</v>
      </c>
      <c r="B260" s="3" t="s">
        <v>301</v>
      </c>
      <c r="C260" s="28">
        <f>③回報計算FX調整!J262</f>
        <v>-6004.9209785046132</v>
      </c>
      <c r="D260" s="9"/>
      <c r="F260" s="3">
        <v>247</v>
      </c>
      <c r="G260" s="27">
        <f>SMALL(③回報計算FX調整!$J$16:$J$265,247)</f>
        <v>71689.883197702307</v>
      </c>
      <c r="H260" s="9"/>
      <c r="I260" s="9"/>
    </row>
    <row r="261" spans="1:12" x14ac:dyDescent="0.25">
      <c r="A261" s="3">
        <v>248</v>
      </c>
      <c r="B261" s="3" t="s">
        <v>302</v>
      </c>
      <c r="C261" s="27">
        <f>③回報計算FX調整!J263</f>
        <v>18962.23990220419</v>
      </c>
      <c r="D261" s="9"/>
      <c r="F261" s="3">
        <v>248</v>
      </c>
      <c r="G261" s="27">
        <f>SMALL(③回報計算FX調整!$J$16:$J$265,248)</f>
        <v>72298.36314614852</v>
      </c>
      <c r="H261" s="9"/>
      <c r="I261" s="9"/>
    </row>
    <row r="262" spans="1:12" x14ac:dyDescent="0.25">
      <c r="A262" s="3">
        <v>249</v>
      </c>
      <c r="B262" s="3" t="s">
        <v>303</v>
      </c>
      <c r="C262" s="27">
        <f>③回報計算FX調整!J264</f>
        <v>2600.7665927763524</v>
      </c>
      <c r="D262" s="9"/>
      <c r="F262" s="3">
        <v>249</v>
      </c>
      <c r="G262" s="27">
        <f>SMALL(③回報計算FX調整!$J$16:$J$265,249)</f>
        <v>72826.166147315496</v>
      </c>
      <c r="H262" s="9"/>
      <c r="I262" s="9"/>
    </row>
    <row r="263" spans="1:12" x14ac:dyDescent="0.25">
      <c r="A263" s="3">
        <v>250</v>
      </c>
      <c r="B263" s="3" t="s">
        <v>304</v>
      </c>
      <c r="C263" s="28">
        <f>③回報計算FX調整!J265</f>
        <v>-44367.595781698023</v>
      </c>
      <c r="D263" s="9"/>
      <c r="F263" s="3">
        <v>250</v>
      </c>
      <c r="G263" s="27">
        <f>SMALL(③回報計算FX調整!$J$16:$J$265,250)</f>
        <v>81002.013418321018</v>
      </c>
      <c r="H263" s="9"/>
      <c r="I263" s="9"/>
    </row>
    <row r="266" spans="1:12" x14ac:dyDescent="0.25">
      <c r="A266" s="74" t="s">
        <v>354</v>
      </c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</row>
    <row r="267" spans="1:12" x14ac:dyDescent="0.25">
      <c r="A267" s="36" t="s">
        <v>355</v>
      </c>
      <c r="B267" s="37">
        <f>-SMALL(③回報計算FX調整!$J$16:$J$265,3)</f>
        <v>52728.707526576778</v>
      </c>
    </row>
    <row r="268" spans="1:12" x14ac:dyDescent="0.25">
      <c r="A268" s="36" t="s">
        <v>356</v>
      </c>
      <c r="B268" s="37">
        <f>-(SMALL(③回報計算FX調整!$J$16:$J$265,1)+SMALL(③回報計算FX調整!$J$16:$J$265,2))/2</f>
        <v>68726.794706076005</v>
      </c>
    </row>
    <row r="269" spans="1:12" x14ac:dyDescent="0.25">
      <c r="A269" s="36" t="s">
        <v>357</v>
      </c>
      <c r="B269" s="38">
        <f>B268/B267</f>
        <v>1.3034037420969542</v>
      </c>
    </row>
    <row r="270" spans="1:12" x14ac:dyDescent="0.25">
      <c r="A270" s="36" t="s">
        <v>358</v>
      </c>
      <c r="B270" s="39">
        <v>1909957</v>
      </c>
    </row>
    <row r="271" spans="1:12" x14ac:dyDescent="0.25">
      <c r="A271" s="36" t="s">
        <v>359</v>
      </c>
      <c r="B271" s="40">
        <f>B267/B270</f>
        <v>2.760727468030787E-2</v>
      </c>
    </row>
    <row r="274" spans="1:12" x14ac:dyDescent="0.25">
      <c r="A274" s="74" t="s">
        <v>360</v>
      </c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</row>
    <row r="275" spans="1:12" ht="28.5" x14ac:dyDescent="0.25">
      <c r="A275" s="41" t="s">
        <v>361</v>
      </c>
      <c r="B275" s="41" t="s">
        <v>362</v>
      </c>
      <c r="C275" s="41" t="s">
        <v>363</v>
      </c>
      <c r="D275" s="41" t="s">
        <v>364</v>
      </c>
    </row>
    <row r="276" spans="1:12" x14ac:dyDescent="0.25">
      <c r="A276" s="23" t="s">
        <v>10</v>
      </c>
      <c r="B276" s="42">
        <v>37369.67</v>
      </c>
      <c r="C276" s="42">
        <v>41571.69</v>
      </c>
      <c r="D276" s="43">
        <v>0.70860000000000001</v>
      </c>
    </row>
    <row r="277" spans="1:12" x14ac:dyDescent="0.25">
      <c r="A277" s="23" t="s">
        <v>13</v>
      </c>
      <c r="B277" s="42">
        <v>37181.89</v>
      </c>
      <c r="C277" s="42">
        <v>44118.91</v>
      </c>
      <c r="D277" s="43">
        <v>0.70509999999999995</v>
      </c>
    </row>
    <row r="278" spans="1:12" x14ac:dyDescent="0.25">
      <c r="A278" s="23" t="s">
        <v>16</v>
      </c>
      <c r="B278" s="42">
        <v>598.82000000000005</v>
      </c>
      <c r="C278" s="42">
        <v>677.31</v>
      </c>
      <c r="D278" s="43">
        <v>1.14E-2</v>
      </c>
    </row>
    <row r="280" spans="1:12" x14ac:dyDescent="0.25">
      <c r="A280" s="77" t="s">
        <v>365</v>
      </c>
      <c r="B280" s="75"/>
      <c r="C280" s="75"/>
      <c r="D280" s="75"/>
      <c r="E280" s="75"/>
      <c r="F280" s="75"/>
      <c r="G280" s="75"/>
      <c r="H280" s="75"/>
      <c r="I280" s="75"/>
      <c r="J280" s="75"/>
      <c r="K280" s="75"/>
    </row>
  </sheetData>
  <mergeCells count="14">
    <mergeCell ref="A280:K280"/>
    <mergeCell ref="F12:I12"/>
    <mergeCell ref="B5:I5"/>
    <mergeCell ref="A3:L3"/>
    <mergeCell ref="B8:I8"/>
    <mergeCell ref="B4:I4"/>
    <mergeCell ref="B9:I9"/>
    <mergeCell ref="A1:J1"/>
    <mergeCell ref="A266:L266"/>
    <mergeCell ref="A274:L274"/>
    <mergeCell ref="B7:I7"/>
    <mergeCell ref="B6:I6"/>
    <mergeCell ref="A11:L11"/>
    <mergeCell ref="A12:D12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workbookViewId="0">
      <selection sqref="A1:L1"/>
    </sheetView>
  </sheetViews>
  <sheetFormatPr defaultRowHeight="15.75" x14ac:dyDescent="0.25"/>
  <cols>
    <col min="1" max="2" width="30" customWidth="1"/>
    <col min="3" max="3" width="18.42578125" customWidth="1"/>
    <col min="4" max="4" width="16.140625" customWidth="1"/>
    <col min="5" max="5" width="15" customWidth="1"/>
    <col min="6" max="6" width="16.140625" customWidth="1"/>
    <col min="7" max="7" width="13.85546875" customWidth="1"/>
    <col min="8" max="12" width="8" customWidth="1"/>
  </cols>
  <sheetData>
    <row r="1" spans="1:12" x14ac:dyDescent="0.25">
      <c r="A1" s="76" t="s">
        <v>366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3" spans="1:12" x14ac:dyDescent="0.25">
      <c r="A3" s="74" t="s">
        <v>333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x14ac:dyDescent="0.25">
      <c r="A4" s="31" t="s">
        <v>334</v>
      </c>
      <c r="B4" s="78" t="s">
        <v>367</v>
      </c>
      <c r="C4" s="75"/>
      <c r="D4" s="75"/>
      <c r="E4" s="75"/>
      <c r="F4" s="75"/>
      <c r="G4" s="75"/>
      <c r="H4" s="75"/>
      <c r="I4" s="75"/>
      <c r="J4" s="75"/>
    </row>
    <row r="5" spans="1:12" x14ac:dyDescent="0.25">
      <c r="A5" s="31" t="s">
        <v>336</v>
      </c>
      <c r="B5" s="78" t="s">
        <v>368</v>
      </c>
      <c r="C5" s="75"/>
      <c r="D5" s="75"/>
      <c r="E5" s="75"/>
      <c r="F5" s="75"/>
      <c r="G5" s="75"/>
      <c r="H5" s="75"/>
      <c r="I5" s="75"/>
      <c r="J5" s="75"/>
    </row>
    <row r="6" spans="1:12" x14ac:dyDescent="0.25">
      <c r="A6" s="31" t="s">
        <v>338</v>
      </c>
      <c r="B6" s="78" t="s">
        <v>369</v>
      </c>
      <c r="C6" s="75"/>
      <c r="D6" s="75"/>
      <c r="E6" s="75"/>
      <c r="F6" s="75"/>
      <c r="G6" s="75"/>
      <c r="H6" s="75"/>
      <c r="I6" s="75"/>
      <c r="J6" s="75"/>
    </row>
    <row r="7" spans="1:12" x14ac:dyDescent="0.25">
      <c r="A7" s="31" t="s">
        <v>340</v>
      </c>
      <c r="B7" s="78" t="s">
        <v>370</v>
      </c>
      <c r="C7" s="75"/>
      <c r="D7" s="75"/>
      <c r="E7" s="75"/>
      <c r="F7" s="75"/>
      <c r="G7" s="75"/>
      <c r="H7" s="75"/>
      <c r="I7" s="75"/>
      <c r="J7" s="75"/>
    </row>
    <row r="8" spans="1:12" x14ac:dyDescent="0.25">
      <c r="A8" s="31" t="s">
        <v>342</v>
      </c>
      <c r="B8" s="78" t="s">
        <v>371</v>
      </c>
      <c r="C8" s="75"/>
      <c r="D8" s="75"/>
      <c r="E8" s="75"/>
      <c r="F8" s="75"/>
      <c r="G8" s="75"/>
      <c r="H8" s="75"/>
      <c r="I8" s="75"/>
      <c r="J8" s="75"/>
    </row>
    <row r="9" spans="1:12" x14ac:dyDescent="0.25">
      <c r="A9" s="31" t="s">
        <v>372</v>
      </c>
      <c r="B9" s="78" t="s">
        <v>373</v>
      </c>
      <c r="C9" s="75"/>
      <c r="D9" s="75"/>
      <c r="E9" s="75"/>
      <c r="F9" s="75"/>
      <c r="G9" s="75"/>
      <c r="H9" s="75"/>
      <c r="I9" s="75"/>
      <c r="J9" s="75"/>
    </row>
    <row r="10" spans="1:12" x14ac:dyDescent="0.25">
      <c r="A10" s="31" t="s">
        <v>374</v>
      </c>
      <c r="B10" s="78" t="s">
        <v>375</v>
      </c>
      <c r="C10" s="75"/>
      <c r="D10" s="75"/>
      <c r="E10" s="75"/>
      <c r="F10" s="75"/>
      <c r="G10" s="75"/>
      <c r="H10" s="75"/>
      <c r="I10" s="75"/>
      <c r="J10" s="75"/>
    </row>
    <row r="11" spans="1:12" x14ac:dyDescent="0.25">
      <c r="A11" s="32" t="s">
        <v>344</v>
      </c>
      <c r="B11" s="78" t="s">
        <v>376</v>
      </c>
      <c r="C11" s="75"/>
      <c r="D11" s="75"/>
      <c r="E11" s="75"/>
      <c r="F11" s="75"/>
      <c r="G11" s="75"/>
      <c r="H11" s="75"/>
      <c r="I11" s="75"/>
      <c r="J11" s="75"/>
    </row>
    <row r="13" spans="1:12" x14ac:dyDescent="0.25">
      <c r="A13" s="74" t="s">
        <v>377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</row>
    <row r="14" spans="1:12" x14ac:dyDescent="0.25">
      <c r="A14" s="41"/>
      <c r="B14" s="41" t="s">
        <v>10</v>
      </c>
      <c r="C14" s="41" t="s">
        <v>13</v>
      </c>
      <c r="D14" s="41" t="s">
        <v>16</v>
      </c>
    </row>
    <row r="15" spans="1:12" x14ac:dyDescent="0.25">
      <c r="A15" s="36" t="s">
        <v>10</v>
      </c>
      <c r="B15" s="44">
        <v>3.8602040000000002E-4</v>
      </c>
      <c r="C15" s="45">
        <v>1.11121E-4</v>
      </c>
      <c r="D15" s="45">
        <v>5.3999000000000003E-5</v>
      </c>
    </row>
    <row r="16" spans="1:12" x14ac:dyDescent="0.25">
      <c r="A16" s="36" t="s">
        <v>13</v>
      </c>
      <c r="B16" s="45">
        <v>1.11121E-4</v>
      </c>
      <c r="C16" s="44">
        <v>3.6196919999999998E-4</v>
      </c>
      <c r="D16" s="45">
        <v>9.0274300000000004E-5</v>
      </c>
    </row>
    <row r="17" spans="1:12" x14ac:dyDescent="0.25">
      <c r="A17" s="36" t="s">
        <v>16</v>
      </c>
      <c r="B17" s="45">
        <v>5.3999000000000003E-5</v>
      </c>
      <c r="C17" s="45">
        <v>9.0274300000000004E-5</v>
      </c>
      <c r="D17" s="44">
        <v>4.8236250000000002E-4</v>
      </c>
    </row>
    <row r="19" spans="1:12" x14ac:dyDescent="0.25">
      <c r="A19" s="74" t="s">
        <v>378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</row>
    <row r="20" spans="1:12" x14ac:dyDescent="0.25">
      <c r="A20" s="41"/>
      <c r="B20" s="41" t="s">
        <v>10</v>
      </c>
      <c r="C20" s="41" t="s">
        <v>13</v>
      </c>
      <c r="D20" s="41" t="s">
        <v>16</v>
      </c>
    </row>
    <row r="21" spans="1:12" x14ac:dyDescent="0.25">
      <c r="A21" s="36" t="s">
        <v>10</v>
      </c>
      <c r="B21" s="46">
        <v>1</v>
      </c>
      <c r="C21" s="47">
        <v>0.29730000000000001</v>
      </c>
      <c r="D21" s="47">
        <v>0.12509999999999999</v>
      </c>
    </row>
    <row r="22" spans="1:12" x14ac:dyDescent="0.25">
      <c r="A22" s="36" t="s">
        <v>13</v>
      </c>
      <c r="B22" s="47">
        <v>0.29730000000000001</v>
      </c>
      <c r="C22" s="46">
        <v>1</v>
      </c>
      <c r="D22" s="47">
        <v>0.216</v>
      </c>
    </row>
    <row r="23" spans="1:12" x14ac:dyDescent="0.25">
      <c r="A23" s="36" t="s">
        <v>16</v>
      </c>
      <c r="B23" s="47">
        <v>0.12509999999999999</v>
      </c>
      <c r="C23" s="47">
        <v>0.216</v>
      </c>
      <c r="D23" s="46">
        <v>1</v>
      </c>
    </row>
    <row r="25" spans="1:12" x14ac:dyDescent="0.25">
      <c r="A25" s="74" t="s">
        <v>379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</row>
    <row r="26" spans="1:12" ht="28.5" x14ac:dyDescent="0.25">
      <c r="A26" s="41" t="s">
        <v>361</v>
      </c>
      <c r="B26" s="41" t="s">
        <v>380</v>
      </c>
      <c r="C26" s="41" t="s">
        <v>381</v>
      </c>
      <c r="D26" s="41" t="s">
        <v>382</v>
      </c>
      <c r="E26" s="41" t="s">
        <v>383</v>
      </c>
      <c r="F26" s="41"/>
    </row>
    <row r="27" spans="1:12" x14ac:dyDescent="0.25">
      <c r="A27" s="23" t="s">
        <v>10</v>
      </c>
      <c r="B27" s="48">
        <v>858340</v>
      </c>
      <c r="C27" s="49">
        <v>447.56408499999998</v>
      </c>
      <c r="D27" s="50">
        <v>384162064.60049999</v>
      </c>
    </row>
    <row r="28" spans="1:12" x14ac:dyDescent="0.25">
      <c r="A28" s="23" t="s">
        <v>13</v>
      </c>
      <c r="B28" s="48">
        <v>1040599</v>
      </c>
      <c r="C28" s="49">
        <v>473.03917300000001</v>
      </c>
      <c r="D28" s="50">
        <v>492244298.68190002</v>
      </c>
    </row>
    <row r="29" spans="1:12" x14ac:dyDescent="0.25">
      <c r="A29" s="23" t="s">
        <v>16</v>
      </c>
      <c r="B29" s="48">
        <v>11018</v>
      </c>
      <c r="C29" s="49">
        <v>145.60340400000001</v>
      </c>
      <c r="D29" s="50">
        <v>1604231.3470000001</v>
      </c>
    </row>
    <row r="30" spans="1:12" x14ac:dyDescent="0.25">
      <c r="A30" s="29" t="s">
        <v>383</v>
      </c>
      <c r="D30" s="51">
        <v>878010594.62950003</v>
      </c>
    </row>
    <row r="31" spans="1:12" x14ac:dyDescent="0.25">
      <c r="A31" s="29" t="s">
        <v>384</v>
      </c>
      <c r="D31" s="51">
        <v>29631.243600000002</v>
      </c>
    </row>
    <row r="33" spans="1:12" x14ac:dyDescent="0.25">
      <c r="A33" s="74" t="s">
        <v>385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</row>
    <row r="34" spans="1:12" x14ac:dyDescent="0.25">
      <c r="A34" s="41" t="s">
        <v>386</v>
      </c>
      <c r="B34" s="41" t="s">
        <v>387</v>
      </c>
      <c r="C34" s="41" t="s">
        <v>388</v>
      </c>
    </row>
    <row r="35" spans="1:12" x14ac:dyDescent="0.25">
      <c r="A35" s="36" t="s">
        <v>32</v>
      </c>
      <c r="B35" s="23" t="s">
        <v>389</v>
      </c>
      <c r="C35" s="52">
        <v>2.3263479999999999</v>
      </c>
    </row>
    <row r="36" spans="1:12" x14ac:dyDescent="0.25">
      <c r="A36" s="36" t="s">
        <v>390</v>
      </c>
      <c r="B36" s="23" t="s">
        <v>391</v>
      </c>
      <c r="C36" s="52">
        <v>29631.243600000002</v>
      </c>
    </row>
    <row r="37" spans="1:12" x14ac:dyDescent="0.25">
      <c r="A37" s="36" t="s">
        <v>392</v>
      </c>
      <c r="B37" s="23" t="s">
        <v>393</v>
      </c>
      <c r="C37" s="52">
        <v>68932.58</v>
      </c>
    </row>
    <row r="38" spans="1:12" x14ac:dyDescent="0.25">
      <c r="A38" s="36" t="s">
        <v>394</v>
      </c>
      <c r="B38" s="23" t="s">
        <v>395</v>
      </c>
      <c r="C38" s="52">
        <v>78973.61</v>
      </c>
    </row>
    <row r="39" spans="1:12" x14ac:dyDescent="0.25">
      <c r="A39" s="36" t="s">
        <v>396</v>
      </c>
      <c r="B39" s="23" t="s">
        <v>397</v>
      </c>
      <c r="C39" s="53">
        <v>3.6090999999999998E-2</v>
      </c>
    </row>
    <row r="40" spans="1:12" x14ac:dyDescent="0.25">
      <c r="A40" s="36" t="s">
        <v>398</v>
      </c>
      <c r="B40" s="23" t="s">
        <v>399</v>
      </c>
      <c r="C40" s="52">
        <v>1.1456649999999999</v>
      </c>
    </row>
    <row r="42" spans="1:12" x14ac:dyDescent="0.25">
      <c r="A42" s="74" t="s">
        <v>400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</row>
    <row r="43" spans="1:12" x14ac:dyDescent="0.25">
      <c r="A43" s="41" t="s">
        <v>361</v>
      </c>
      <c r="B43" s="41" t="s">
        <v>401</v>
      </c>
      <c r="C43" s="41" t="s">
        <v>402</v>
      </c>
      <c r="D43" s="41" t="s">
        <v>403</v>
      </c>
      <c r="E43" s="41" t="s">
        <v>404</v>
      </c>
      <c r="F43" s="41" t="s">
        <v>405</v>
      </c>
      <c r="G43" s="41" t="s">
        <v>364</v>
      </c>
    </row>
    <row r="44" spans="1:12" x14ac:dyDescent="0.25">
      <c r="A44" s="23" t="s">
        <v>10</v>
      </c>
      <c r="B44" s="48">
        <v>858340</v>
      </c>
      <c r="C44" s="54">
        <v>1.510447E-2</v>
      </c>
      <c r="D44" s="54">
        <v>3.5138240000000001E-2</v>
      </c>
      <c r="E44" s="55">
        <v>30160.55</v>
      </c>
      <c r="F44" s="42">
        <v>34553.870000000003</v>
      </c>
      <c r="G44" s="43">
        <v>0.4375</v>
      </c>
    </row>
    <row r="45" spans="1:12" x14ac:dyDescent="0.25">
      <c r="A45" s="23" t="s">
        <v>13</v>
      </c>
      <c r="B45" s="48">
        <v>1040599</v>
      </c>
      <c r="C45" s="54">
        <v>1.5964200000000001E-2</v>
      </c>
      <c r="D45" s="54">
        <v>3.7138289999999997E-2</v>
      </c>
      <c r="E45" s="55">
        <v>38646.080000000002</v>
      </c>
      <c r="F45" s="42">
        <v>44275.45</v>
      </c>
      <c r="G45" s="43">
        <v>0.56059999999999999</v>
      </c>
    </row>
    <row r="46" spans="1:12" x14ac:dyDescent="0.25">
      <c r="A46" s="23" t="s">
        <v>16</v>
      </c>
      <c r="B46" s="48">
        <v>11018</v>
      </c>
      <c r="C46" s="54">
        <v>4.91385E-3</v>
      </c>
      <c r="D46" s="54">
        <v>1.143132E-2</v>
      </c>
      <c r="E46" s="55">
        <v>125.95</v>
      </c>
      <c r="F46" s="42">
        <v>144.29</v>
      </c>
      <c r="G46" s="43">
        <v>1.8E-3</v>
      </c>
    </row>
    <row r="47" spans="1:12" x14ac:dyDescent="0.25">
      <c r="A47" s="29" t="s">
        <v>406</v>
      </c>
      <c r="E47" s="56">
        <v>68932.58</v>
      </c>
      <c r="G47" s="57" t="s">
        <v>407</v>
      </c>
    </row>
    <row r="48" spans="1:12" x14ac:dyDescent="0.25">
      <c r="A48" s="29" t="s">
        <v>408</v>
      </c>
      <c r="E48" s="52">
        <v>68932.58</v>
      </c>
    </row>
    <row r="49" spans="1:11" x14ac:dyDescent="0.25">
      <c r="A49" s="77" t="s">
        <v>409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</row>
  </sheetData>
  <mergeCells count="16">
    <mergeCell ref="A1:L1"/>
    <mergeCell ref="A13:L13"/>
    <mergeCell ref="A49:K49"/>
    <mergeCell ref="B9:J9"/>
    <mergeCell ref="B8:J8"/>
    <mergeCell ref="B4:J4"/>
    <mergeCell ref="A3:L3"/>
    <mergeCell ref="B6:J6"/>
    <mergeCell ref="B7:J7"/>
    <mergeCell ref="B11:J11"/>
    <mergeCell ref="B5:J5"/>
    <mergeCell ref="A25:L25"/>
    <mergeCell ref="A42:L42"/>
    <mergeCell ref="B10:J10"/>
    <mergeCell ref="A19:L19"/>
    <mergeCell ref="A33:L33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2"/>
  <sheetViews>
    <sheetView workbookViewId="0">
      <selection activeCell="E85" sqref="E85"/>
    </sheetView>
  </sheetViews>
  <sheetFormatPr defaultRowHeight="15.75" x14ac:dyDescent="0.25"/>
  <cols>
    <col min="1" max="2" width="30" customWidth="1"/>
    <col min="3" max="3" width="25.28515625" customWidth="1"/>
    <col min="4" max="4" width="15" customWidth="1"/>
    <col min="5" max="5" width="30" customWidth="1"/>
    <col min="6" max="12" width="8" customWidth="1"/>
  </cols>
  <sheetData>
    <row r="1" spans="1:12" x14ac:dyDescent="0.25">
      <c r="A1" s="76" t="s">
        <v>410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3" spans="1:12" x14ac:dyDescent="0.25">
      <c r="A3" s="74" t="s">
        <v>333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x14ac:dyDescent="0.25">
      <c r="A4" s="31" t="s">
        <v>334</v>
      </c>
      <c r="B4" s="78" t="s">
        <v>411</v>
      </c>
      <c r="C4" s="75"/>
      <c r="D4" s="75"/>
      <c r="E4" s="75"/>
      <c r="F4" s="75"/>
      <c r="G4" s="75"/>
      <c r="H4" s="75"/>
      <c r="I4" s="75"/>
      <c r="J4" s="75"/>
    </row>
    <row r="5" spans="1:12" x14ac:dyDescent="0.25">
      <c r="A5" s="31" t="s">
        <v>336</v>
      </c>
      <c r="B5" s="78" t="s">
        <v>412</v>
      </c>
      <c r="C5" s="75"/>
      <c r="D5" s="75"/>
      <c r="E5" s="75"/>
      <c r="F5" s="75"/>
      <c r="G5" s="75"/>
      <c r="H5" s="75"/>
      <c r="I5" s="75"/>
      <c r="J5" s="75"/>
    </row>
    <row r="6" spans="1:12" x14ac:dyDescent="0.25">
      <c r="A6" s="31" t="s">
        <v>338</v>
      </c>
      <c r="B6" s="78" t="s">
        <v>413</v>
      </c>
      <c r="C6" s="75"/>
      <c r="D6" s="75"/>
      <c r="E6" s="75"/>
      <c r="F6" s="75"/>
      <c r="G6" s="75"/>
      <c r="H6" s="75"/>
      <c r="I6" s="75"/>
      <c r="J6" s="75"/>
    </row>
    <row r="7" spans="1:12" x14ac:dyDescent="0.25">
      <c r="A7" s="31" t="s">
        <v>340</v>
      </c>
      <c r="B7" s="78" t="s">
        <v>414</v>
      </c>
      <c r="C7" s="75"/>
      <c r="D7" s="75"/>
      <c r="E7" s="75"/>
      <c r="F7" s="75"/>
      <c r="G7" s="75"/>
      <c r="H7" s="75"/>
      <c r="I7" s="75"/>
      <c r="J7" s="75"/>
    </row>
    <row r="8" spans="1:12" x14ac:dyDescent="0.25">
      <c r="A8" s="31" t="s">
        <v>342</v>
      </c>
      <c r="B8" s="78" t="s">
        <v>415</v>
      </c>
      <c r="C8" s="75"/>
      <c r="D8" s="75"/>
      <c r="E8" s="75"/>
      <c r="F8" s="75"/>
      <c r="G8" s="75"/>
      <c r="H8" s="75"/>
      <c r="I8" s="75"/>
      <c r="J8" s="75"/>
    </row>
    <row r="9" spans="1:12" x14ac:dyDescent="0.25">
      <c r="A9" s="31" t="s">
        <v>372</v>
      </c>
      <c r="B9" s="78" t="s">
        <v>416</v>
      </c>
      <c r="C9" s="75"/>
      <c r="D9" s="75"/>
      <c r="E9" s="75"/>
      <c r="F9" s="75"/>
      <c r="G9" s="75"/>
      <c r="H9" s="75"/>
      <c r="I9" s="75"/>
      <c r="J9" s="75"/>
    </row>
    <row r="11" spans="1:12" x14ac:dyDescent="0.25">
      <c r="A11" s="74" t="s">
        <v>417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x14ac:dyDescent="0.25">
      <c r="A12" s="41"/>
      <c r="B12" s="41" t="s">
        <v>418</v>
      </c>
      <c r="C12" s="41" t="s">
        <v>419</v>
      </c>
      <c r="D12" s="41" t="s">
        <v>420</v>
      </c>
      <c r="E12" s="41" t="s">
        <v>421</v>
      </c>
    </row>
    <row r="13" spans="1:12" x14ac:dyDescent="0.25">
      <c r="A13" s="36" t="s">
        <v>10</v>
      </c>
      <c r="B13" s="58">
        <v>1.9647400999999998E-2</v>
      </c>
      <c r="C13" s="59" t="s">
        <v>422</v>
      </c>
      <c r="D13" s="59" t="s">
        <v>422</v>
      </c>
      <c r="E13" s="78" t="s">
        <v>423</v>
      </c>
      <c r="F13" s="75"/>
      <c r="G13" s="75"/>
      <c r="H13" s="75"/>
      <c r="I13" s="75"/>
      <c r="J13" s="75"/>
    </row>
    <row r="14" spans="1:12" x14ac:dyDescent="0.25">
      <c r="A14" s="36" t="s">
        <v>13</v>
      </c>
      <c r="B14" s="58">
        <v>5.6557619999999999E-3</v>
      </c>
      <c r="C14" s="58">
        <v>1.8165395000000001E-2</v>
      </c>
      <c r="D14" s="59" t="s">
        <v>422</v>
      </c>
      <c r="E14" s="78" t="s">
        <v>424</v>
      </c>
      <c r="F14" s="75"/>
      <c r="G14" s="75"/>
      <c r="H14" s="75"/>
      <c r="I14" s="75"/>
      <c r="J14" s="75"/>
    </row>
    <row r="15" spans="1:12" x14ac:dyDescent="0.25">
      <c r="A15" s="36" t="s">
        <v>16</v>
      </c>
      <c r="B15" s="58">
        <v>2.748402E-3</v>
      </c>
      <c r="C15" s="58">
        <v>4.1138640000000001E-3</v>
      </c>
      <c r="D15" s="58">
        <v>2.1398245999999999E-2</v>
      </c>
      <c r="E15" s="78" t="s">
        <v>425</v>
      </c>
      <c r="F15" s="75"/>
      <c r="G15" s="75"/>
      <c r="H15" s="75"/>
      <c r="I15" s="75"/>
      <c r="J15" s="75"/>
    </row>
    <row r="17" spans="1:12" x14ac:dyDescent="0.25">
      <c r="A17" s="74" t="s">
        <v>426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</row>
    <row r="18" spans="1:12" ht="28.5" x14ac:dyDescent="0.25">
      <c r="A18" s="60"/>
      <c r="B18" s="60" t="s">
        <v>10</v>
      </c>
      <c r="C18" s="60" t="s">
        <v>13</v>
      </c>
      <c r="D18" s="60" t="s">
        <v>16</v>
      </c>
    </row>
    <row r="19" spans="1:12" x14ac:dyDescent="0.25">
      <c r="A19" s="36" t="s">
        <v>10</v>
      </c>
      <c r="B19" s="61">
        <v>3.8602040000000002E-4</v>
      </c>
      <c r="C19" s="61">
        <v>1.11121E-4</v>
      </c>
      <c r="D19" s="61">
        <v>5.3999000000000003E-5</v>
      </c>
    </row>
    <row r="20" spans="1:12" x14ac:dyDescent="0.25">
      <c r="A20" s="36" t="s">
        <v>13</v>
      </c>
      <c r="B20" s="61">
        <v>1.11121E-4</v>
      </c>
      <c r="C20" s="61">
        <v>3.6196919999999998E-4</v>
      </c>
      <c r="D20" s="61">
        <v>9.0274300000000004E-5</v>
      </c>
    </row>
    <row r="21" spans="1:12" x14ac:dyDescent="0.25">
      <c r="A21" s="36" t="s">
        <v>16</v>
      </c>
      <c r="B21" s="61">
        <v>5.3999000000000003E-5</v>
      </c>
      <c r="C21" s="61">
        <v>9.0274300000000004E-5</v>
      </c>
      <c r="D21" s="61">
        <v>4.8236250000000002E-4</v>
      </c>
    </row>
    <row r="22" spans="1:12" x14ac:dyDescent="0.25">
      <c r="A22" s="77" t="s">
        <v>427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</row>
    <row r="24" spans="1:12" x14ac:dyDescent="0.25">
      <c r="A24" s="74" t="s">
        <v>428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</row>
    <row r="25" spans="1:12" x14ac:dyDescent="0.25">
      <c r="A25" s="41" t="s">
        <v>429</v>
      </c>
      <c r="B25" s="41" t="s">
        <v>430</v>
      </c>
      <c r="C25" s="41" t="s">
        <v>431</v>
      </c>
      <c r="D25" s="41" t="s">
        <v>432</v>
      </c>
      <c r="E25" s="41" t="s">
        <v>433</v>
      </c>
      <c r="F25" s="41" t="s">
        <v>434</v>
      </c>
    </row>
    <row r="26" spans="1:12" x14ac:dyDescent="0.25">
      <c r="A26" s="62">
        <v>1</v>
      </c>
      <c r="B26" s="63">
        <v>7.4190000000000002E-3</v>
      </c>
      <c r="C26" s="63">
        <v>-1.4973999999999999E-2</v>
      </c>
      <c r="D26" s="63">
        <v>1.1013999999999999E-2</v>
      </c>
      <c r="E26" s="42">
        <v>-9092.56</v>
      </c>
      <c r="F26" s="62"/>
    </row>
    <row r="27" spans="1:12" x14ac:dyDescent="0.25">
      <c r="A27" s="62">
        <v>2</v>
      </c>
      <c r="B27" s="63">
        <v>1.9911999999999999E-2</v>
      </c>
      <c r="C27" s="63">
        <v>-2.7928000000000001E-2</v>
      </c>
      <c r="D27" s="63">
        <v>-3.4909000000000003E-2</v>
      </c>
      <c r="E27" s="42">
        <v>-12354.8</v>
      </c>
      <c r="F27" s="62"/>
    </row>
    <row r="28" spans="1:12" x14ac:dyDescent="0.25">
      <c r="A28" s="62">
        <v>3</v>
      </c>
      <c r="B28" s="63">
        <v>3.9439999999999996E-3</v>
      </c>
      <c r="C28" s="63">
        <v>-2.8270000000000001E-3</v>
      </c>
      <c r="D28" s="63">
        <v>-2.9120000000000001E-3</v>
      </c>
      <c r="E28" s="64">
        <v>410.95</v>
      </c>
      <c r="F28" s="62"/>
    </row>
    <row r="29" spans="1:12" x14ac:dyDescent="0.25">
      <c r="A29" s="62">
        <v>4</v>
      </c>
      <c r="B29" s="63">
        <v>-1.5328E-2</v>
      </c>
      <c r="C29" s="63">
        <v>1.3344E-2</v>
      </c>
      <c r="D29" s="63">
        <v>1.6313000000000001E-2</v>
      </c>
      <c r="E29" s="64">
        <v>909.19</v>
      </c>
      <c r="F29" s="62"/>
    </row>
    <row r="30" spans="1:12" x14ac:dyDescent="0.25">
      <c r="A30" s="62">
        <v>5</v>
      </c>
      <c r="B30" s="63">
        <v>2.7299999999999998E-3</v>
      </c>
      <c r="C30" s="63">
        <v>2.3043999999999999E-2</v>
      </c>
      <c r="D30" s="63">
        <v>1.3219E-2</v>
      </c>
      <c r="E30" s="64">
        <v>26468.58</v>
      </c>
      <c r="F30" s="62"/>
    </row>
    <row r="31" spans="1:12" x14ac:dyDescent="0.25">
      <c r="A31" s="62">
        <v>6</v>
      </c>
      <c r="B31" s="63">
        <v>-1.5450999999999999E-2</v>
      </c>
      <c r="C31" s="63">
        <v>4.0330000000000001E-3</v>
      </c>
      <c r="D31" s="63">
        <v>-2.2966E-2</v>
      </c>
      <c r="E31" s="42">
        <v>-9318.4500000000007</v>
      </c>
      <c r="F31" s="62"/>
    </row>
    <row r="32" spans="1:12" x14ac:dyDescent="0.25">
      <c r="A32" s="62">
        <v>7</v>
      </c>
      <c r="B32" s="63">
        <v>1.8692E-2</v>
      </c>
      <c r="C32" s="63">
        <v>6.2560000000000003E-3</v>
      </c>
      <c r="D32" s="63">
        <v>-3.3500000000000001E-3</v>
      </c>
      <c r="E32" s="64">
        <v>22516.31</v>
      </c>
      <c r="F32" s="62"/>
    </row>
    <row r="33" spans="1:6" x14ac:dyDescent="0.25">
      <c r="A33" s="62">
        <v>8</v>
      </c>
      <c r="B33" s="63">
        <v>-1.1946E-2</v>
      </c>
      <c r="C33" s="63">
        <v>2.0551E-2</v>
      </c>
      <c r="D33" s="63">
        <v>-1.7520000000000001E-3</v>
      </c>
      <c r="E33" s="64">
        <v>11112.08</v>
      </c>
      <c r="F33" s="62"/>
    </row>
    <row r="34" spans="1:6" x14ac:dyDescent="0.25">
      <c r="A34" s="62">
        <v>9</v>
      </c>
      <c r="B34" s="63">
        <v>-6.9829999999999996E-3</v>
      </c>
      <c r="C34" s="63">
        <v>-6.6249999999999998E-3</v>
      </c>
      <c r="D34" s="63">
        <v>7.1609999999999998E-3</v>
      </c>
      <c r="E34" s="42">
        <v>-12809.07</v>
      </c>
      <c r="F34" s="62"/>
    </row>
    <row r="35" spans="1:6" x14ac:dyDescent="0.25">
      <c r="A35" s="62">
        <v>10</v>
      </c>
      <c r="B35" s="63">
        <v>8.6119999999999999E-3</v>
      </c>
      <c r="C35" s="63">
        <v>1.1757999999999999E-2</v>
      </c>
      <c r="D35" s="63">
        <v>1.0318000000000001E-2</v>
      </c>
      <c r="E35" s="64">
        <v>19741.84</v>
      </c>
      <c r="F35" s="62"/>
    </row>
    <row r="36" spans="1:6" x14ac:dyDescent="0.25">
      <c r="A36" s="62">
        <v>11</v>
      </c>
      <c r="B36" s="63">
        <v>4.351E-2</v>
      </c>
      <c r="C36" s="63">
        <v>6.9239999999999996E-3</v>
      </c>
      <c r="D36" s="63">
        <v>-8.3499999999999998E-3</v>
      </c>
      <c r="E36" s="64">
        <v>44459.68</v>
      </c>
      <c r="F36" s="62"/>
    </row>
    <row r="37" spans="1:6" x14ac:dyDescent="0.25">
      <c r="A37" s="62">
        <v>12</v>
      </c>
      <c r="B37" s="63">
        <v>-1.4555999999999999E-2</v>
      </c>
      <c r="C37" s="63">
        <v>8.7810000000000006E-3</v>
      </c>
      <c r="D37" s="63">
        <v>2.2852000000000001E-2</v>
      </c>
      <c r="E37" s="42">
        <v>-3104.74</v>
      </c>
      <c r="F37" s="62"/>
    </row>
    <row r="38" spans="1:6" x14ac:dyDescent="0.25">
      <c r="A38" s="62">
        <v>13</v>
      </c>
      <c r="B38" s="63">
        <v>-8.0599999999999997E-4</v>
      </c>
      <c r="C38" s="63">
        <v>-1.3712E-2</v>
      </c>
      <c r="D38" s="63">
        <v>-2.3015000000000001E-2</v>
      </c>
      <c r="E38" s="42">
        <v>-15214.59</v>
      </c>
      <c r="F38" s="62"/>
    </row>
    <row r="39" spans="1:6" x14ac:dyDescent="0.25">
      <c r="A39" s="62">
        <v>14</v>
      </c>
      <c r="B39" s="63">
        <v>1.4215E-2</v>
      </c>
      <c r="C39" s="63">
        <v>1.9375E-2</v>
      </c>
      <c r="D39" s="63">
        <v>1.4865E-2</v>
      </c>
      <c r="E39" s="64">
        <v>32526.75</v>
      </c>
      <c r="F39" s="62"/>
    </row>
    <row r="40" spans="1:6" x14ac:dyDescent="0.25">
      <c r="A40" s="62">
        <v>15</v>
      </c>
      <c r="B40" s="63">
        <v>-1.1643000000000001E-2</v>
      </c>
      <c r="C40" s="63">
        <v>2.6480000000000002E-3</v>
      </c>
      <c r="D40" s="63">
        <v>2.0000000000000002E-5</v>
      </c>
      <c r="E40" s="42">
        <v>-7238.66</v>
      </c>
      <c r="F40" s="62"/>
    </row>
    <row r="41" spans="1:6" x14ac:dyDescent="0.25">
      <c r="A41" s="62">
        <v>16</v>
      </c>
      <c r="B41" s="63">
        <v>5.7289999999999997E-3</v>
      </c>
      <c r="C41" s="63">
        <v>1.9261E-2</v>
      </c>
      <c r="D41" s="63">
        <v>7.3670000000000003E-3</v>
      </c>
      <c r="E41" s="64">
        <v>25041.4</v>
      </c>
      <c r="F41" s="62"/>
    </row>
    <row r="42" spans="1:6" x14ac:dyDescent="0.25">
      <c r="A42" s="62">
        <v>17</v>
      </c>
      <c r="B42" s="63">
        <v>1.4770999999999999E-2</v>
      </c>
      <c r="C42" s="63">
        <v>7.2620000000000002E-3</v>
      </c>
      <c r="D42" s="63">
        <v>6.7270000000000003E-3</v>
      </c>
      <c r="E42" s="64">
        <v>20309.16</v>
      </c>
      <c r="F42" s="62"/>
    </row>
    <row r="43" spans="1:6" x14ac:dyDescent="0.25">
      <c r="A43" s="62">
        <v>18</v>
      </c>
      <c r="B43" s="63">
        <v>1.3835E-2</v>
      </c>
      <c r="C43" s="63">
        <v>-2.0705000000000001E-2</v>
      </c>
      <c r="D43" s="63">
        <v>-1.2703000000000001E-2</v>
      </c>
      <c r="E43" s="42">
        <v>-9810.2900000000009</v>
      </c>
      <c r="F43" s="62"/>
    </row>
    <row r="44" spans="1:6" x14ac:dyDescent="0.25">
      <c r="A44" s="62">
        <v>19</v>
      </c>
      <c r="B44" s="63">
        <v>-7.809E-3</v>
      </c>
      <c r="C44" s="63">
        <v>-1.2071999999999999E-2</v>
      </c>
      <c r="D44" s="63">
        <v>-1.1412E-2</v>
      </c>
      <c r="E44" s="42">
        <v>-19390.5</v>
      </c>
      <c r="F44" s="62"/>
    </row>
    <row r="45" spans="1:6" x14ac:dyDescent="0.25">
      <c r="A45" s="62">
        <v>20</v>
      </c>
      <c r="B45" s="63">
        <v>3.0804000000000002E-2</v>
      </c>
      <c r="C45" s="63">
        <v>-5.0790000000000002E-3</v>
      </c>
      <c r="D45" s="63">
        <v>1.9663E-2</v>
      </c>
      <c r="E45" s="64">
        <v>21371.77</v>
      </c>
      <c r="F45" s="62"/>
    </row>
    <row r="46" spans="1:6" x14ac:dyDescent="0.25">
      <c r="A46" s="62">
        <v>21</v>
      </c>
      <c r="B46" s="63">
        <v>-3.1632E-2</v>
      </c>
      <c r="C46" s="63">
        <v>-1.3407000000000001E-2</v>
      </c>
      <c r="D46" s="63">
        <v>-4.1229999999999999E-3</v>
      </c>
      <c r="E46" s="42">
        <v>-41147.589999999997</v>
      </c>
      <c r="F46" s="62"/>
    </row>
    <row r="47" spans="1:6" x14ac:dyDescent="0.25">
      <c r="A47" s="62">
        <v>22</v>
      </c>
      <c r="B47" s="63">
        <v>1.295E-2</v>
      </c>
      <c r="C47" s="63">
        <v>1.8429000000000001E-2</v>
      </c>
      <c r="D47" s="63">
        <v>1.9910000000000001E-2</v>
      </c>
      <c r="E47" s="64">
        <v>30512.52</v>
      </c>
      <c r="F47" s="62"/>
    </row>
    <row r="48" spans="1:6" x14ac:dyDescent="0.25">
      <c r="A48" s="62">
        <v>23</v>
      </c>
      <c r="B48" s="63">
        <v>-5.4190000000000002E-3</v>
      </c>
      <c r="C48" s="63">
        <v>-8.1770000000000002E-3</v>
      </c>
      <c r="D48" s="63">
        <v>1.3894999999999999E-2</v>
      </c>
      <c r="E48" s="42">
        <v>-13007.39</v>
      </c>
      <c r="F48" s="62"/>
    </row>
    <row r="49" spans="1:6" x14ac:dyDescent="0.25">
      <c r="A49" s="62">
        <v>24</v>
      </c>
      <c r="B49" s="63">
        <v>-2.3259999999999999E-3</v>
      </c>
      <c r="C49" s="63">
        <v>-2.2061000000000001E-2</v>
      </c>
      <c r="D49" s="63">
        <v>-3.1627000000000002E-2</v>
      </c>
      <c r="E49" s="42">
        <v>-25302.09</v>
      </c>
      <c r="F49" s="62"/>
    </row>
    <row r="50" spans="1:6" x14ac:dyDescent="0.25">
      <c r="A50" s="62">
        <v>25</v>
      </c>
      <c r="B50" s="63">
        <v>-1.6632999999999998E-2</v>
      </c>
      <c r="C50" s="63">
        <v>6.025E-3</v>
      </c>
      <c r="D50" s="63">
        <v>9.6299999999999999E-4</v>
      </c>
      <c r="E50" s="42">
        <v>-7996.09</v>
      </c>
      <c r="F50" s="62"/>
    </row>
    <row r="51" spans="1:6" x14ac:dyDescent="0.25">
      <c r="A51" s="62">
        <v>26</v>
      </c>
      <c r="B51" s="63">
        <v>1.4999E-2</v>
      </c>
      <c r="C51" s="63">
        <v>-1.6620000000000001E-3</v>
      </c>
      <c r="D51" s="63">
        <v>1.9289999999999999E-3</v>
      </c>
      <c r="E51" s="64">
        <v>11165.79</v>
      </c>
      <c r="F51" s="62"/>
    </row>
    <row r="52" spans="1:6" x14ac:dyDescent="0.25">
      <c r="A52" s="62">
        <v>27</v>
      </c>
      <c r="B52" s="63">
        <v>1.3724E-2</v>
      </c>
      <c r="C52" s="63">
        <v>1.13E-4</v>
      </c>
      <c r="D52" s="63">
        <v>8.6180000000000007E-3</v>
      </c>
      <c r="E52" s="64">
        <v>11991.92</v>
      </c>
      <c r="F52" s="62"/>
    </row>
    <row r="53" spans="1:6" x14ac:dyDescent="0.25">
      <c r="A53" s="62">
        <v>28</v>
      </c>
      <c r="B53" s="63">
        <v>-1.1573E-2</v>
      </c>
      <c r="C53" s="63">
        <v>-8.1449999999999995E-3</v>
      </c>
      <c r="D53" s="63">
        <v>-1.3084999999999999E-2</v>
      </c>
      <c r="E53" s="42">
        <v>-18552.810000000001</v>
      </c>
      <c r="F53" s="62"/>
    </row>
    <row r="54" spans="1:6" x14ac:dyDescent="0.25">
      <c r="A54" s="62">
        <v>29</v>
      </c>
      <c r="B54" s="63">
        <v>-2.2062999999999999E-2</v>
      </c>
      <c r="C54" s="63">
        <v>4.2770000000000004E-3</v>
      </c>
      <c r="D54" s="63">
        <v>-1.2931E-2</v>
      </c>
      <c r="E54" s="42">
        <v>-14629.44</v>
      </c>
      <c r="F54" s="62"/>
    </row>
    <row r="55" spans="1:6" x14ac:dyDescent="0.25">
      <c r="A55" s="62">
        <v>30</v>
      </c>
      <c r="B55" s="63">
        <v>1.678E-3</v>
      </c>
      <c r="C55" s="63">
        <v>1.0998000000000001E-2</v>
      </c>
      <c r="D55" s="63">
        <v>9.9640000000000006E-3</v>
      </c>
      <c r="E55" s="64">
        <v>12994.15</v>
      </c>
      <c r="F55" s="62"/>
    </row>
    <row r="56" spans="1:6" x14ac:dyDescent="0.25">
      <c r="A56" s="62">
        <v>31</v>
      </c>
      <c r="B56" s="63">
        <v>1.4505000000000001E-2</v>
      </c>
      <c r="C56" s="63">
        <v>4.1679999999999998E-3</v>
      </c>
      <c r="D56" s="63">
        <v>-9.2370000000000004E-3</v>
      </c>
      <c r="E56" s="64">
        <v>16686.39</v>
      </c>
      <c r="F56" s="62"/>
    </row>
    <row r="57" spans="1:6" x14ac:dyDescent="0.25">
      <c r="A57" s="62">
        <v>32</v>
      </c>
      <c r="B57" s="63">
        <v>-1.34E-4</v>
      </c>
      <c r="C57" s="63">
        <v>-2.8908E-2</v>
      </c>
      <c r="D57" s="63">
        <v>-3.9729E-2</v>
      </c>
      <c r="E57" s="42">
        <v>-30634.17</v>
      </c>
      <c r="F57" s="62"/>
    </row>
    <row r="58" spans="1:6" x14ac:dyDescent="0.25">
      <c r="A58" s="62">
        <v>33</v>
      </c>
      <c r="B58" s="63">
        <v>-2.4555E-2</v>
      </c>
      <c r="C58" s="63">
        <v>-2.3401999999999999E-2</v>
      </c>
      <c r="D58" s="63">
        <v>-7.8700000000000005E-4</v>
      </c>
      <c r="E58" s="42">
        <v>-45437.69</v>
      </c>
      <c r="F58" s="62"/>
    </row>
    <row r="59" spans="1:6" x14ac:dyDescent="0.25">
      <c r="A59" s="62">
        <v>34</v>
      </c>
      <c r="B59" s="63">
        <v>-1.6358000000000001E-2</v>
      </c>
      <c r="C59" s="63">
        <v>-9.7959999999999992E-3</v>
      </c>
      <c r="D59" s="63">
        <v>2.2154E-2</v>
      </c>
      <c r="E59" s="42">
        <v>-23990.87</v>
      </c>
      <c r="F59" s="62"/>
    </row>
    <row r="60" spans="1:6" x14ac:dyDescent="0.25">
      <c r="A60" s="62">
        <v>35</v>
      </c>
      <c r="B60" s="63">
        <v>-5.5669999999999999E-3</v>
      </c>
      <c r="C60" s="63">
        <v>1.3576E-2</v>
      </c>
      <c r="D60" s="63">
        <v>-1.9526000000000002E-2</v>
      </c>
      <c r="E60" s="64">
        <v>9133.84</v>
      </c>
      <c r="F60" s="62"/>
    </row>
    <row r="61" spans="1:6" x14ac:dyDescent="0.25">
      <c r="A61" s="62">
        <v>36</v>
      </c>
      <c r="B61" s="63">
        <v>-2.604E-3</v>
      </c>
      <c r="C61" s="63">
        <v>-1.6225E-2</v>
      </c>
      <c r="D61" s="63">
        <v>-1.3331000000000001E-2</v>
      </c>
      <c r="E61" s="42">
        <v>-19266.02</v>
      </c>
      <c r="F61" s="62"/>
    </row>
    <row r="62" spans="1:6" x14ac:dyDescent="0.25">
      <c r="A62" s="62">
        <v>37</v>
      </c>
      <c r="B62" s="63">
        <v>1.7942E-2</v>
      </c>
      <c r="C62" s="63">
        <v>-2.4431000000000001E-2</v>
      </c>
      <c r="D62" s="63">
        <v>2.8960000000000001E-3</v>
      </c>
      <c r="E62" s="42">
        <v>-9990.2099999999991</v>
      </c>
      <c r="F62" s="62"/>
    </row>
    <row r="63" spans="1:6" x14ac:dyDescent="0.25">
      <c r="A63" s="62">
        <v>38</v>
      </c>
      <c r="B63" s="63">
        <v>6.1029999999999999E-3</v>
      </c>
      <c r="C63" s="63">
        <v>-7.254E-3</v>
      </c>
      <c r="D63" s="63">
        <v>-3.4336999999999999E-2</v>
      </c>
      <c r="E63" s="42">
        <v>-2688.47</v>
      </c>
      <c r="F63" s="62"/>
    </row>
    <row r="64" spans="1:6" x14ac:dyDescent="0.25">
      <c r="A64" s="62">
        <v>39</v>
      </c>
      <c r="B64" s="63">
        <v>2.849E-3</v>
      </c>
      <c r="C64" s="63">
        <v>-7.0159999999999997E-3</v>
      </c>
      <c r="D64" s="63">
        <v>1.3960000000000001E-3</v>
      </c>
      <c r="E64" s="42">
        <v>-4840.03</v>
      </c>
      <c r="F64" s="62"/>
    </row>
    <row r="65" spans="1:12" x14ac:dyDescent="0.25">
      <c r="A65" s="62">
        <v>40</v>
      </c>
      <c r="B65" s="63">
        <v>1.8619999999999999E-3</v>
      </c>
      <c r="C65" s="63">
        <v>3.1414999999999998E-2</v>
      </c>
      <c r="D65" s="63">
        <v>-7.4999999999999993E-5</v>
      </c>
      <c r="E65" s="64">
        <v>34287.19</v>
      </c>
      <c r="F65" s="62"/>
    </row>
    <row r="66" spans="1:12" x14ac:dyDescent="0.25">
      <c r="A66" s="62">
        <v>41</v>
      </c>
      <c r="B66" s="63">
        <v>-1.8676999999999999E-2</v>
      </c>
      <c r="C66" s="63">
        <v>-3.3799999999999998E-4</v>
      </c>
      <c r="D66" s="63">
        <v>1.029E-3</v>
      </c>
      <c r="E66" s="42">
        <v>-16371.29</v>
      </c>
      <c r="F66" s="62"/>
    </row>
    <row r="67" spans="1:12" x14ac:dyDescent="0.25">
      <c r="A67" s="62">
        <v>42</v>
      </c>
      <c r="B67" s="63">
        <v>2.8136999999999999E-2</v>
      </c>
      <c r="C67" s="63">
        <v>2.5052000000000001E-2</v>
      </c>
      <c r="D67" s="63">
        <v>1.3204E-2</v>
      </c>
      <c r="E67" s="64">
        <v>50365.02</v>
      </c>
      <c r="F67" s="62"/>
    </row>
    <row r="68" spans="1:12" x14ac:dyDescent="0.25">
      <c r="A68" s="62">
        <v>43</v>
      </c>
      <c r="B68" s="63">
        <v>3.0182E-2</v>
      </c>
      <c r="C68" s="63">
        <v>-1.1124E-2</v>
      </c>
      <c r="D68" s="63">
        <v>-1.6160999999999998E-2</v>
      </c>
      <c r="E68" s="64">
        <v>14152.95</v>
      </c>
      <c r="F68" s="62"/>
    </row>
    <row r="69" spans="1:12" x14ac:dyDescent="0.25">
      <c r="A69" s="62">
        <v>44</v>
      </c>
      <c r="B69" s="63">
        <v>-1.6773E-2</v>
      </c>
      <c r="C69" s="63">
        <v>-1.0127000000000001E-2</v>
      </c>
      <c r="D69" s="63">
        <v>-3.5212E-2</v>
      </c>
      <c r="E69" s="42">
        <v>-25323.03</v>
      </c>
      <c r="F69" s="62"/>
    </row>
    <row r="70" spans="1:12" x14ac:dyDescent="0.25">
      <c r="A70" s="62">
        <v>45</v>
      </c>
      <c r="B70" s="63">
        <v>1.3911E-2</v>
      </c>
      <c r="C70" s="63">
        <v>1.75E-3</v>
      </c>
      <c r="D70" s="63">
        <v>-3.2244000000000002E-2</v>
      </c>
      <c r="E70" s="64">
        <v>13406.1</v>
      </c>
      <c r="F70" s="62"/>
    </row>
    <row r="71" spans="1:12" x14ac:dyDescent="0.25">
      <c r="A71" s="62">
        <v>46</v>
      </c>
      <c r="B71" s="63">
        <v>-1.8520999999999999E-2</v>
      </c>
      <c r="C71" s="63">
        <v>2.1450000000000002E-3</v>
      </c>
      <c r="D71" s="63">
        <v>1.4829999999999999E-2</v>
      </c>
      <c r="E71" s="42">
        <v>-13501.6</v>
      </c>
      <c r="F71" s="62"/>
    </row>
    <row r="72" spans="1:12" x14ac:dyDescent="0.25">
      <c r="A72" s="62">
        <v>47</v>
      </c>
      <c r="B72" s="63">
        <v>4.0662999999999998E-2</v>
      </c>
      <c r="C72" s="63">
        <v>6.6419000000000006E-2</v>
      </c>
      <c r="D72" s="63">
        <v>2.4739000000000001E-2</v>
      </c>
      <c r="E72" s="64">
        <v>104290.34</v>
      </c>
      <c r="F72" s="62"/>
    </row>
    <row r="73" spans="1:12" x14ac:dyDescent="0.25">
      <c r="A73" s="62">
        <v>48</v>
      </c>
      <c r="B73" s="63">
        <v>-1.8010000000000002E-2</v>
      </c>
      <c r="C73" s="63">
        <v>-4.2132000000000003E-2</v>
      </c>
      <c r="D73" s="63">
        <v>-7.365E-3</v>
      </c>
      <c r="E73" s="42">
        <v>-59381.9</v>
      </c>
      <c r="F73" s="62"/>
    </row>
    <row r="74" spans="1:12" x14ac:dyDescent="0.25">
      <c r="A74" s="62">
        <v>49</v>
      </c>
      <c r="B74" s="63">
        <v>-1.4540000000000001E-2</v>
      </c>
      <c r="C74" s="63">
        <v>-9.9489999999999995E-3</v>
      </c>
      <c r="D74" s="63">
        <v>-1.8644000000000001E-2</v>
      </c>
      <c r="E74" s="42">
        <v>-23038.27</v>
      </c>
      <c r="F74" s="62"/>
    </row>
    <row r="75" spans="1:12" x14ac:dyDescent="0.25">
      <c r="A75" s="62">
        <v>50</v>
      </c>
      <c r="B75" s="63">
        <v>-1.3339999999999999E-3</v>
      </c>
      <c r="C75" s="63">
        <v>2.0761999999999999E-2</v>
      </c>
      <c r="D75" s="63">
        <v>5.7559999999999998E-3</v>
      </c>
      <c r="E75" s="64">
        <v>20523.240000000002</v>
      </c>
      <c r="F75" s="62"/>
    </row>
    <row r="77" spans="1:12" x14ac:dyDescent="0.25">
      <c r="A77" s="77" t="s">
        <v>435</v>
      </c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9" spans="1:12" x14ac:dyDescent="0.25">
      <c r="A79" s="74" t="s">
        <v>436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1:12" x14ac:dyDescent="0.25">
      <c r="A80" s="36" t="s">
        <v>437</v>
      </c>
      <c r="B80" s="52">
        <v>66135.64</v>
      </c>
      <c r="C80" s="78" t="s">
        <v>438</v>
      </c>
      <c r="D80" s="75"/>
      <c r="E80" s="75"/>
      <c r="F80" s="75"/>
    </row>
    <row r="81" spans="1:12" x14ac:dyDescent="0.25">
      <c r="A81" s="36" t="s">
        <v>439</v>
      </c>
      <c r="B81" s="52">
        <v>74402.649999999994</v>
      </c>
      <c r="C81" s="78" t="s">
        <v>440</v>
      </c>
      <c r="D81" s="75"/>
      <c r="E81" s="75"/>
      <c r="F81" s="75"/>
    </row>
    <row r="82" spans="1:12" x14ac:dyDescent="0.25">
      <c r="A82" s="36" t="s">
        <v>441</v>
      </c>
      <c r="B82" s="53">
        <v>3.4626999999999998E-2</v>
      </c>
      <c r="C82" s="78" t="s">
        <v>397</v>
      </c>
      <c r="D82" s="75"/>
      <c r="E82" s="75"/>
      <c r="F82" s="75"/>
    </row>
    <row r="83" spans="1:12" x14ac:dyDescent="0.25">
      <c r="A83" s="36" t="s">
        <v>398</v>
      </c>
      <c r="B83" s="52">
        <v>1.1250009999999999</v>
      </c>
      <c r="C83" s="78" t="s">
        <v>399</v>
      </c>
      <c r="D83" s="75"/>
      <c r="E83" s="75"/>
      <c r="F83" s="75"/>
    </row>
    <row r="84" spans="1:12" x14ac:dyDescent="0.25">
      <c r="A84" s="36" t="s">
        <v>442</v>
      </c>
      <c r="B84" s="65">
        <v>50</v>
      </c>
      <c r="C84" s="78" t="s">
        <v>443</v>
      </c>
      <c r="D84" s="75"/>
      <c r="E84" s="75"/>
      <c r="F84" s="75"/>
    </row>
    <row r="86" spans="1:12" x14ac:dyDescent="0.25">
      <c r="A86" s="74" t="s">
        <v>444</v>
      </c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</row>
    <row r="87" spans="1:12" x14ac:dyDescent="0.25">
      <c r="A87" s="41" t="s">
        <v>361</v>
      </c>
      <c r="B87" s="41" t="s">
        <v>362</v>
      </c>
      <c r="C87" s="41" t="s">
        <v>363</v>
      </c>
      <c r="D87" s="41" t="s">
        <v>364</v>
      </c>
    </row>
    <row r="88" spans="1:12" x14ac:dyDescent="0.25">
      <c r="A88" s="23" t="s">
        <v>10</v>
      </c>
      <c r="B88" s="42">
        <v>38488.620000000003</v>
      </c>
      <c r="C88" s="42">
        <v>35983.1</v>
      </c>
      <c r="D88" s="43">
        <v>0.58199999999999996</v>
      </c>
    </row>
    <row r="89" spans="1:12" x14ac:dyDescent="0.25">
      <c r="A89" s="23" t="s">
        <v>13</v>
      </c>
      <c r="B89" s="42">
        <v>43723.62</v>
      </c>
      <c r="C89" s="42">
        <v>38301.94</v>
      </c>
      <c r="D89" s="43">
        <v>0.66110000000000002</v>
      </c>
    </row>
    <row r="90" spans="1:12" x14ac:dyDescent="0.25">
      <c r="A90" s="23" t="s">
        <v>16</v>
      </c>
      <c r="B90" s="42">
        <v>586.55999999999995</v>
      </c>
      <c r="C90" s="42">
        <v>117.61</v>
      </c>
      <c r="D90" s="43">
        <v>8.8999999999999999E-3</v>
      </c>
    </row>
    <row r="92" spans="1:12" x14ac:dyDescent="0.25">
      <c r="A92" s="77" t="s">
        <v>445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</row>
  </sheetData>
  <mergeCells count="24">
    <mergeCell ref="A1:L1"/>
    <mergeCell ref="A79:L79"/>
    <mergeCell ref="A3:L3"/>
    <mergeCell ref="E15:J15"/>
    <mergeCell ref="A86:L86"/>
    <mergeCell ref="C83:F83"/>
    <mergeCell ref="B9:J9"/>
    <mergeCell ref="A17:L17"/>
    <mergeCell ref="B6:J6"/>
    <mergeCell ref="B5:J5"/>
    <mergeCell ref="B4:J4"/>
    <mergeCell ref="C84:F84"/>
    <mergeCell ref="B7:J7"/>
    <mergeCell ref="A22:K22"/>
    <mergeCell ref="A24:L24"/>
    <mergeCell ref="C80:F80"/>
    <mergeCell ref="A11:L11"/>
    <mergeCell ref="E14:J14"/>
    <mergeCell ref="A92:K92"/>
    <mergeCell ref="A77:K77"/>
    <mergeCell ref="E13:J13"/>
    <mergeCell ref="C82:F82"/>
    <mergeCell ref="B8:J8"/>
    <mergeCell ref="C81:F8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workbookViewId="0"/>
  </sheetViews>
  <sheetFormatPr defaultRowHeight="15.75" x14ac:dyDescent="0.25"/>
  <cols>
    <col min="1" max="1" width="30" customWidth="1"/>
    <col min="2" max="2" width="24.140625" customWidth="1"/>
    <col min="3" max="3" width="26.42578125" customWidth="1"/>
    <col min="4" max="4" width="23" customWidth="1"/>
    <col min="5" max="5" width="27.5703125" customWidth="1"/>
    <col min="6" max="6" width="9.140625" customWidth="1"/>
    <col min="7" max="7" width="8" customWidth="1"/>
    <col min="8" max="8" width="10.28515625" customWidth="1"/>
    <col min="9" max="12" width="8" customWidth="1"/>
  </cols>
  <sheetData>
    <row r="1" spans="1:12" x14ac:dyDescent="0.25">
      <c r="A1" s="76" t="s">
        <v>446</v>
      </c>
      <c r="B1" s="75"/>
      <c r="C1" s="75"/>
      <c r="D1" s="75"/>
      <c r="E1" s="75"/>
      <c r="F1" s="75"/>
      <c r="G1" s="75"/>
      <c r="H1" s="75"/>
    </row>
    <row r="3" spans="1:12" x14ac:dyDescent="0.25">
      <c r="A3" s="74" t="s">
        <v>447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x14ac:dyDescent="0.25">
      <c r="A4" s="1" t="s">
        <v>448</v>
      </c>
      <c r="B4" s="1" t="s">
        <v>449</v>
      </c>
      <c r="C4" s="1" t="s">
        <v>450</v>
      </c>
      <c r="D4" s="1" t="s">
        <v>451</v>
      </c>
      <c r="E4" s="1" t="s">
        <v>43</v>
      </c>
    </row>
    <row r="5" spans="1:12" x14ac:dyDescent="0.25">
      <c r="A5" s="66" t="s">
        <v>392</v>
      </c>
      <c r="B5" s="67">
        <v>52735.256300000001</v>
      </c>
      <c r="C5" s="5">
        <v>68932.580400000006</v>
      </c>
      <c r="D5" s="5">
        <v>66135.644</v>
      </c>
      <c r="E5" s="2" t="s">
        <v>452</v>
      </c>
    </row>
    <row r="6" spans="1:12" x14ac:dyDescent="0.25">
      <c r="A6" s="66" t="s">
        <v>394</v>
      </c>
      <c r="B6" s="67">
        <v>68722.3024</v>
      </c>
      <c r="C6" s="5">
        <v>78973.611699999994</v>
      </c>
      <c r="D6" s="5">
        <v>74402.645199999999</v>
      </c>
      <c r="E6" s="2" t="s">
        <v>453</v>
      </c>
    </row>
    <row r="7" spans="1:12" x14ac:dyDescent="0.25">
      <c r="A7" s="66" t="s">
        <v>441</v>
      </c>
      <c r="B7" s="68">
        <v>2.76E-2</v>
      </c>
      <c r="C7" s="8">
        <v>3.61E-2</v>
      </c>
      <c r="D7" s="8">
        <v>3.4599999999999999E-2</v>
      </c>
      <c r="E7" s="2" t="s">
        <v>454</v>
      </c>
    </row>
    <row r="8" spans="1:12" x14ac:dyDescent="0.25">
      <c r="A8" s="66" t="s">
        <v>399</v>
      </c>
      <c r="B8" s="69">
        <v>1.3031999999999999</v>
      </c>
      <c r="C8" s="70">
        <v>1.1456999999999999</v>
      </c>
      <c r="D8" s="70">
        <v>1.125</v>
      </c>
      <c r="E8" s="2" t="s">
        <v>455</v>
      </c>
    </row>
    <row r="9" spans="1:12" x14ac:dyDescent="0.25">
      <c r="A9" s="66" t="s">
        <v>456</v>
      </c>
      <c r="B9" s="67">
        <v>29571.921699999999</v>
      </c>
      <c r="C9" s="5">
        <v>29631.243600000002</v>
      </c>
      <c r="D9" s="5">
        <v>29868.076400000002</v>
      </c>
      <c r="E9" s="2" t="s">
        <v>457</v>
      </c>
    </row>
    <row r="11" spans="1:12" x14ac:dyDescent="0.25">
      <c r="A11" s="74" t="s">
        <v>458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ht="28.5" x14ac:dyDescent="0.25">
      <c r="A12" s="1" t="s">
        <v>361</v>
      </c>
      <c r="B12" s="1" t="s">
        <v>3</v>
      </c>
      <c r="C12" s="1" t="s">
        <v>4</v>
      </c>
      <c r="D12" s="1" t="s">
        <v>459</v>
      </c>
      <c r="E12" s="1" t="s">
        <v>460</v>
      </c>
      <c r="F12" s="1" t="s">
        <v>461</v>
      </c>
      <c r="G12" s="1" t="s">
        <v>462</v>
      </c>
      <c r="H12" s="1" t="s">
        <v>463</v>
      </c>
      <c r="I12" s="1" t="s">
        <v>464</v>
      </c>
    </row>
    <row r="13" spans="1:12" x14ac:dyDescent="0.25">
      <c r="A13" s="2" t="s">
        <v>10</v>
      </c>
      <c r="B13" s="3" t="s">
        <v>11</v>
      </c>
      <c r="C13" s="3" t="s">
        <v>12</v>
      </c>
      <c r="D13" s="5">
        <v>37369.67</v>
      </c>
      <c r="E13" s="5">
        <v>30160.55</v>
      </c>
      <c r="F13" s="5">
        <v>38488.620000000003</v>
      </c>
      <c r="G13" s="8">
        <v>0.70860000000000001</v>
      </c>
      <c r="H13" s="8">
        <v>0.4375</v>
      </c>
      <c r="I13" s="8">
        <v>0.58199999999999996</v>
      </c>
    </row>
    <row r="14" spans="1:12" x14ac:dyDescent="0.25">
      <c r="A14" s="2" t="s">
        <v>13</v>
      </c>
      <c r="B14" s="3" t="s">
        <v>14</v>
      </c>
      <c r="C14" s="3" t="s">
        <v>15</v>
      </c>
      <c r="D14" s="5">
        <v>37181.89</v>
      </c>
      <c r="E14" s="5">
        <v>38646.080000000002</v>
      </c>
      <c r="F14" s="5">
        <v>43723.62</v>
      </c>
      <c r="G14" s="8">
        <v>0.70509999999999995</v>
      </c>
      <c r="H14" s="8">
        <v>0.56059999999999999</v>
      </c>
      <c r="I14" s="8">
        <v>0.66110000000000002</v>
      </c>
    </row>
    <row r="15" spans="1:12" x14ac:dyDescent="0.25">
      <c r="A15" s="2" t="s">
        <v>16</v>
      </c>
      <c r="B15" s="3" t="s">
        <v>17</v>
      </c>
      <c r="C15" s="3" t="s">
        <v>18</v>
      </c>
      <c r="D15" s="5">
        <v>598.82000000000005</v>
      </c>
      <c r="E15" s="5">
        <v>125.95</v>
      </c>
      <c r="F15" s="5">
        <v>586.55999999999995</v>
      </c>
      <c r="G15" s="8">
        <v>1.14E-2</v>
      </c>
      <c r="H15" s="8">
        <v>1.8E-3</v>
      </c>
      <c r="I15" s="8">
        <v>8.8999999999999999E-3</v>
      </c>
    </row>
    <row r="17" spans="1:12" x14ac:dyDescent="0.25">
      <c r="A17" s="74" t="s">
        <v>465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</row>
    <row r="18" spans="1:12" x14ac:dyDescent="0.25">
      <c r="A18" s="33" t="s">
        <v>466</v>
      </c>
      <c r="B18" s="33" t="s">
        <v>467</v>
      </c>
      <c r="C18" s="33" t="s">
        <v>468</v>
      </c>
      <c r="D18" s="33" t="s">
        <v>469</v>
      </c>
      <c r="E18" s="33" t="s">
        <v>470</v>
      </c>
      <c r="F18" s="33" t="s">
        <v>471</v>
      </c>
    </row>
    <row r="19" spans="1:12" x14ac:dyDescent="0.25">
      <c r="A19" s="2" t="s">
        <v>472</v>
      </c>
      <c r="B19" s="2" t="s">
        <v>473</v>
      </c>
      <c r="C19" s="2" t="s">
        <v>474</v>
      </c>
      <c r="D19" s="2" t="s">
        <v>475</v>
      </c>
      <c r="E19" s="2" t="s">
        <v>476</v>
      </c>
      <c r="F19" s="71" t="s">
        <v>477</v>
      </c>
    </row>
    <row r="20" spans="1:12" x14ac:dyDescent="0.25">
      <c r="A20" s="2" t="s">
        <v>478</v>
      </c>
      <c r="B20" s="2" t="s">
        <v>479</v>
      </c>
      <c r="C20" s="2" t="s">
        <v>479</v>
      </c>
      <c r="D20" s="2" t="s">
        <v>479</v>
      </c>
      <c r="E20" s="2" t="s">
        <v>480</v>
      </c>
      <c r="F20" s="71" t="s">
        <v>479</v>
      </c>
    </row>
    <row r="21" spans="1:12" x14ac:dyDescent="0.25">
      <c r="A21" s="2" t="s">
        <v>481</v>
      </c>
      <c r="B21" s="2" t="s">
        <v>479</v>
      </c>
      <c r="C21" s="2" t="s">
        <v>479</v>
      </c>
      <c r="D21" s="2" t="s">
        <v>479</v>
      </c>
      <c r="E21" s="2" t="s">
        <v>482</v>
      </c>
      <c r="F21" s="71" t="s">
        <v>479</v>
      </c>
    </row>
    <row r="22" spans="1:12" x14ac:dyDescent="0.25">
      <c r="A22" s="2" t="s">
        <v>483</v>
      </c>
      <c r="B22" s="2" t="s">
        <v>422</v>
      </c>
      <c r="C22" s="2" t="s">
        <v>484</v>
      </c>
      <c r="D22" s="2" t="s">
        <v>485</v>
      </c>
      <c r="E22" s="2" t="s">
        <v>486</v>
      </c>
      <c r="F22" s="71" t="s">
        <v>479</v>
      </c>
    </row>
    <row r="24" spans="1:12" x14ac:dyDescent="0.25">
      <c r="A24" s="77" t="s">
        <v>487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</row>
  </sheetData>
  <mergeCells count="5">
    <mergeCell ref="A11:L11"/>
    <mergeCell ref="A24:K24"/>
    <mergeCell ref="A17:L17"/>
    <mergeCell ref="A1:H1"/>
    <mergeCell ref="A3:L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①基本設定</vt:lpstr>
      <vt:lpstr>②原始價格與FX</vt:lpstr>
      <vt:lpstr>③回報計算FX調整</vt:lpstr>
      <vt:lpstr>④HS歷史模擬法</vt:lpstr>
      <vt:lpstr>⑤參數法Parametric</vt:lpstr>
      <vt:lpstr>⑥Monte Carlo模擬</vt:lpstr>
      <vt:lpstr>⑦三法彙總比較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Chihsuan Wang</cp:lastModifiedBy>
  <dcterms:created xsi:type="dcterms:W3CDTF">2026-04-13T08:25:34Z</dcterms:created>
  <dcterms:modified xsi:type="dcterms:W3CDTF">2026-04-13T08:37:54Z</dcterms:modified>
</cp:coreProperties>
</file>